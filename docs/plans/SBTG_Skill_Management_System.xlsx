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8.xml" ContentType="application/vnd.openxmlformats-officedocument.spreadsheetml.table+xml"/>
  <Override PartName="/xl/worksheets/sheet13.xml" ContentType="application/vnd.openxmlformats-officedocument.spreadsheetml.worksheet+xml"/>
  <Override PartName="/xl/tables/table9.xml" ContentType="application/vnd.openxmlformats-officedocument.spreadsheetml.table+xml"/>
  <Override PartName="/xl/worksheets/sheet14.xml" ContentType="application/vnd.openxmlformats-officedocument.spreadsheetml.worksheet+xml"/>
  <Override PartName="/xl/tables/table10.xml" ContentType="application/vnd.openxmlformats-officedocument.spreadsheetml.table+xml"/>
  <Override PartName="/xl/worksheets/sheet15.xml" ContentType="application/vnd.openxmlformats-officedocument.spreadsheetml.worksheet+xml"/>
  <Override PartName="/xl/tables/table11.xml" ContentType="application/vnd.openxmlformats-officedocument.spreadsheetml.table+xml"/>
  <Override PartName="/xl/worksheets/sheet16.xml" ContentType="application/vnd.openxmlformats-officedocument.spreadsheetml.worksheet+xml"/>
  <Override PartName="/xl/tables/table12.xml" ContentType="application/vnd.openxmlformats-officedocument.spreadsheetml.table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1a89e17e654e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 Guide" sheetId="1" r:id="R5e5a72d14d524f91"/>
    <x:sheet xmlns:r="http://schemas.openxmlformats.org/officeDocument/2006/relationships" name="01 Staff Master" sheetId="2" r:id="R7482e27dbec3465a"/>
    <x:sheet xmlns:r="http://schemas.openxmlformats.org/officeDocument/2006/relationships" name="02 Skill Catalogue" sheetId="3" r:id="R8789007074114376"/>
    <x:sheet xmlns:r="http://schemas.openxmlformats.org/officeDocument/2006/relationships" name="03 Position Requirements" sheetId="4" r:id="R916ccd6d6cdb4b9a"/>
    <x:sheet xmlns:r="http://schemas.openxmlformats.org/officeDocument/2006/relationships" name="04 Assessment Log" sheetId="5" r:id="R236652c6e39744c3"/>
    <x:sheet xmlns:r="http://schemas.openxmlformats.org/officeDocument/2006/relationships" name="05 Development Actions" sheetId="6" r:id="Rff433d45f56d4f63"/>
    <x:sheet xmlns:r="http://schemas.openxmlformats.org/officeDocument/2006/relationships" name="06 Training Register" sheetId="7" r:id="R42426a4fe3304528"/>
    <x:sheet xmlns:r="http://schemas.openxmlformats.org/officeDocument/2006/relationships" name="07 HOD-HR Dashboard" sheetId="8" r:id="R40768c31d8c04404"/>
    <x:sheet xmlns:r="http://schemas.openxmlformats.org/officeDocument/2006/relationships" name="08 HOD Matrix Template" sheetId="9" r:id="R6df4743c83e44de1"/>
    <x:sheet xmlns:r="http://schemas.openxmlformats.org/officeDocument/2006/relationships" name="09 Critical Skill Coverage" sheetId="10" r:id="Rb4fcfdc4cc4e4fcd"/>
    <x:sheet xmlns:r="http://schemas.openxmlformats.org/officeDocument/2006/relationships" name="99 Lists" sheetId="11" r:id="R2f3f0af08179437c"/>
    <x:sheet xmlns:r="http://schemas.openxmlformats.org/officeDocument/2006/relationships" name="10 Training Requests" sheetId="12" r:id="R8db6bf3ca91b4445"/>
    <x:sheet xmlns:r="http://schemas.openxmlformats.org/officeDocument/2006/relationships" name="11 Training Attendance" sheetId="13" r:id="Rd246f63ffb574634"/>
    <x:sheet xmlns:r="http://schemas.openxmlformats.org/officeDocument/2006/relationships" name="12 Training Evaluation" sheetId="14" r:id="Rcfecee8aff2849da"/>
    <x:sheet xmlns:r="http://schemas.openxmlformats.org/officeDocument/2006/relationships" name="13 Effectiveness Review" sheetId="15" r:id="R18b5e7e1c9e44e43"/>
    <x:sheet xmlns:r="http://schemas.openxmlformats.org/officeDocument/2006/relationships" name="14 Employee Skill Register" sheetId="16" r:id="Rab57be8d7d064d4e"/>
    <x:sheet xmlns:r="http://schemas.openxmlformats.org/officeDocument/2006/relationships" name="15 Staff Training Passport" sheetId="17" r:id="R98ff7d3354024dae"/>
    <x:sheet xmlns:r="http://schemas.openxmlformats.org/officeDocument/2006/relationships" name="16 Training Form Pack" sheetId="18" r:id="R179873e284b54ce8"/>
  </x:sheets>
</x:workbook>
</file>

<file path=xl/comments1.xml><?xml version="1.0" encoding="utf-8"?>
<x:comments xmlns:x="http://schemas.openxmlformats.org/spreadsheetml/2006/main">
  <x:authors>
    <x:author>tc={7DC7BD13-183E-462A-BBCF-8A1E64047A80}</x:author>
  </x:authors>
  <x:commentList>
    <x:comment ref="I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Faith Toh: Active skill weights for each Department + Position profile should total 100%. The Profile Check column flags any variance.</x:t>
        </x:r>
      </x:text>
    </x:comment>
  </x:commentList>
</x:comments>
</file>

<file path=xl/comments2.xml><?xml version="1.0" encoding="utf-8"?>
<x:comments xmlns:x="http://schemas.openxmlformats.org/spreadsheetml/2006/main">
  <x:authors>
    <x:author>tc={92DACCB7-89C1-401F-9282-61BC44DCF460}</x:author>
  </x:authors>
  <x:commentList>
    <x:comment ref="R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Faith Toh: Priority Score = skill gap × position weight × criticality multiplier (Critical 3, Essential 2, Development 1). Use it to sequence action, not to replace safety or quality gates.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yyyy-mm-dd"/>
    <x:numFmt numFmtId="201" formatCode="0.0%"/>
    <x:numFmt numFmtId="202" formatCode="0.00"/>
    <x:numFmt numFmtId="203" formatCode="&quot;RM&quot;#,##0.00"/>
    <x:numFmt numFmtId="204" formatCode="0%"/>
    <x:numFmt numFmtId="205" formatCode="0"/>
    <x:numFmt numFmtId="206" formatCode="dd-mmm-yyyy"/>
    <x:numFmt numFmtId="207" formatCode="#,##0.00"/>
    <x:numFmt numFmtId="208" formatCode="0.0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F2937"/>
      <x:name val="Carlito"/>
    </x:font>
    <x:font>
      <x:b/>
      <x:sz val="11"/>
      <x:color rgb="FFFFFFFF"/>
      <x:name val="Carlito"/>
    </x:font>
    <x:font>
      <x:b/>
      <x:sz val="12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b/>
      <x:sz val="14"/>
      <x:color rgb="FF17365D"/>
      <x:name val="Carlito"/>
    </x:font>
    <x:font>
      <x:i/>
      <x:sz val="11"/>
      <x:color rgb="FF1F2937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1F4E78"/>
      </x:patternFill>
    </x:fill>
    <x:fill>
      <x:patternFill patternType="solid">
        <x:fgColor rgb="FF0F6B78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0F6B78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</x:fills>
  <x:borders count="5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20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201" fontId="0" fillId="6" borderId="0" xfId="0" applyNumberFormat="1" applyFont="1" applyFill="1" applyBorder="1"/>
    <x:xf numFmtId="201" fontId="0" fillId="7" borderId="0" xfId="0" applyNumberFormat="1" applyFont="1" applyFill="1" applyBorder="1"/>
    <x:xf numFmtId="202" fontId="0" fillId="7" borderId="0" xfId="0" applyNumberFormat="1" applyFont="1" applyFill="1" applyBorder="1"/>
    <x:xf numFmtId="200" fontId="0" fillId="7" borderId="0" xfId="0" applyNumberFormat="1" applyFont="1" applyFill="1" applyBorder="1"/>
    <x:xf numFmtId="203" fontId="0" fillId="6" borderId="0" xfId="0" applyNumberFormat="1" applyFont="1" applyFill="1" applyBorder="1"/>
    <x:xf numFmtId="0" fontId="0" fillId="8" borderId="0" xfId="0" applyNumberFormat="1" applyFont="1" applyFill="1" applyBorder="1"/>
    <x:xf numFmtId="0" fontId="0" fillId="8" borderId="2" xfId="0" applyNumberFormat="1" applyFont="1" applyFill="1" applyBorder="1"/>
    <x:xf numFmtId="0" fontId="0" fillId="8" borderId="3" xfId="0" applyNumberFormat="1" applyFont="1" applyFill="1" applyBorder="1"/>
    <x:xf numFmtId="0" fontId="0" fillId="8" borderId="4" xfId="0" applyNumberFormat="1" applyFont="1" applyFill="1" applyBorder="1"/>
    <x:xf numFmtId="0" fontId="0" fillId="8" borderId="2" xfId="0" applyNumberFormat="1" applyFont="1" applyFill="1" applyBorder="1" applyAlignment="1">
      <x:alignment vertical="center"/>
    </x:xf>
    <x:xf numFmtId="0" fontId="0" fillId="8" borderId="3" xfId="0" applyNumberFormat="1" applyFont="1" applyFill="1" applyBorder="1" applyAlignment="1">
      <x:alignment vertical="center"/>
    </x:xf>
    <x:xf numFmtId="0" fontId="5" fillId="8" borderId="2" xfId="0" applyNumberFormat="1" applyFont="1" applyFill="1" applyBorder="1" applyAlignment="1">
      <x:alignment vertical="center"/>
    </x:xf>
    <x:xf numFmtId="0" fontId="5" fillId="8" borderId="3" xfId="0" applyNumberFormat="1" applyFont="1" applyFill="1" applyBorder="1" applyAlignment="1">
      <x:alignment vertical="center"/>
    </x:xf>
    <x:xf numFmtId="0" fontId="0" fillId="6" borderId="3" xfId="0" applyNumberFormat="1" applyFont="1" applyFill="1" applyBorder="1" applyAlignment="1">
      <x:alignment vertical="center"/>
    </x:xf>
    <x:xf numFmtId="200" fontId="0" fillId="6" borderId="3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horizontal="center" wrapText="1"/>
    </x:xf>
    <x:xf numFmtId="204" fontId="0" fillId="7" borderId="0" xfId="0" applyNumberFormat="1" applyFont="1" applyFill="1" applyBorder="1"/>
    <x:xf numFmtId="200" fontId="0" fillId="0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horizontal="center"/>
    </x:xf>
    <x:xf numFmtId="204" fontId="7" fillId="7" borderId="1" xfId="0" applyNumberFormat="1" applyFont="1" applyFill="1" applyBorder="1" applyAlignment="1">
      <x:alignment horizontal="center"/>
    </x:xf>
    <x:xf numFmtId="205" fontId="7" fillId="7" borderId="1" xfId="0" applyNumberFormat="1" applyFont="1" applyFill="1" applyBorder="1" applyAlignment="1">
      <x:alignment horizontal="center"/>
    </x:xf>
    <x:xf numFmtId="205" fontId="3" fillId="4" borderId="1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205" fontId="3" fillId="5" borderId="1" xfId="0" applyNumberFormat="1" applyFont="1" applyFill="1" applyBorder="1" applyAlignment="1">
      <x:alignment horizontal="center" wrapText="1"/>
    </x:xf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4" fontId="0" fillId="0" borderId="1" xfId="0" applyNumberFormat="1" applyFont="1" applyFill="1" applyBorder="1"/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0" xfId="0" applyNumberFormat="1" applyFont="1" applyFill="1" applyBorder="1" applyAlignment="1">
      <x:alignment wrapText="1"/>
    </x:xf>
    <x:xf numFmtId="0" fontId="2" fillId="1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4" fillId="11" borderId="0" xfId="0" applyNumberFormat="1" applyFont="1" applyFill="1" applyBorder="1"/>
    <x:xf numFmtId="0" fontId="4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1" xfId="0" applyNumberFormat="1" applyFont="1" applyFill="1" applyBorder="1"/>
    <x:xf numFmtId="0" fontId="3" fillId="12" borderId="1" xfId="0" applyNumberFormat="1" applyFont="1" applyFill="1" applyBorder="1" applyAlignment="1">
      <x:alignment wrapText="1"/>
    </x:xf>
    <x:xf numFmtId="0" fontId="3" fillId="12" borderId="1" xfId="0" applyNumberFormat="1" applyFont="1" applyFill="1" applyBorder="1" applyAlignment="1">
      <x:alignment horizontal="center" wrapText="1"/>
    </x:xf>
    <x:xf numFmtId="0" fontId="3" fillId="12" borderId="1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0" fillId="14" borderId="0" xfId="0" applyNumberFormat="1" applyFont="1" applyFill="1" applyBorder="1"/>
    <x:xf numFmtId="206" fontId="0" fillId="13" borderId="0" xfId="0" applyNumberFormat="1" applyFont="1" applyFill="1" applyBorder="1"/>
    <x:xf numFmtId="207" fontId="0" fillId="13" borderId="0" xfId="0" applyNumberFormat="1" applyFont="1" applyFill="1" applyBorder="1"/>
    <x:xf numFmtId="0" fontId="0" fillId="13" borderId="0" xfId="0" applyNumberFormat="1" applyFont="1" applyFill="1" applyBorder="1" applyAlignment="1">
      <x:alignment wrapText="1"/>
    </x:xf>
    <x:xf numFmtId="206" fontId="0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 applyAlignment="1">
      <x:alignment wrapText="1"/>
    </x:xf>
    <x:xf numFmtId="207" fontId="0" fillId="13" borderId="0" xfId="0" applyNumberFormat="1" applyFont="1" applyFill="1" applyBorder="1" applyAlignment="1">
      <x:alignment wrapText="1"/>
    </x:xf>
    <x:xf numFmtId="0" fontId="0" fillId="13" borderId="1" xfId="0" applyNumberFormat="1" applyFont="1" applyFill="1" applyBorder="1" applyAlignment="1">
      <x:alignment wrapText="1"/>
    </x:xf>
    <x:xf numFmtId="206" fontId="0" fillId="13" borderId="1" xfId="0" applyNumberFormat="1" applyFont="1" applyFill="1" applyBorder="1" applyAlignment="1">
      <x:alignment wrapText="1"/>
    </x:xf>
    <x:xf numFmtId="0" fontId="0" fillId="14" borderId="1" xfId="0" applyNumberFormat="1" applyFont="1" applyFill="1" applyBorder="1" applyAlignment="1">
      <x:alignment wrapText="1"/>
    </x:xf>
    <x:xf numFmtId="207" fontId="0" fillId="13" borderId="1" xfId="0" applyNumberFormat="1" applyFont="1" applyFill="1" applyBorder="1" applyAlignment="1">
      <x:alignment wrapText="1"/>
    </x:xf>
    <x:xf numFmtId="206" fontId="0" fillId="14" borderId="0" xfId="0" applyNumberFormat="1" applyFont="1" applyFill="1" applyBorder="1"/>
    <x:xf numFmtId="204" fontId="0" fillId="13" borderId="0" xfId="0" applyNumberFormat="1" applyFont="1" applyFill="1" applyBorder="1"/>
    <x:xf numFmtId="204" fontId="0" fillId="14" borderId="0" xfId="0" applyNumberFormat="1" applyFont="1" applyFill="1" applyBorder="1"/>
    <x:xf numFmtId="206" fontId="0" fillId="14" borderId="0" xfId="0" applyNumberFormat="1" applyFont="1" applyFill="1" applyBorder="1" applyAlignment="1">
      <x:alignment wrapText="1"/>
    </x:xf>
    <x:xf numFmtId="204" fontId="0" fillId="13" borderId="0" xfId="0" applyNumberFormat="1" applyFont="1" applyFill="1" applyBorder="1" applyAlignment="1">
      <x:alignment wrapText="1"/>
    </x:xf>
    <x:xf numFmtId="204" fontId="0" fillId="14" borderId="0" xfId="0" applyNumberFormat="1" applyFont="1" applyFill="1" applyBorder="1" applyAlignment="1">
      <x:alignment wrapText="1"/>
    </x:xf>
    <x:xf numFmtId="206" fontId="0" fillId="14" borderId="1" xfId="0" applyNumberFormat="1" applyFont="1" applyFill="1" applyBorder="1" applyAlignment="1">
      <x:alignment wrapText="1"/>
    </x:xf>
    <x:xf numFmtId="204" fontId="0" fillId="13" borderId="1" xfId="0" applyNumberFormat="1" applyFont="1" applyFill="1" applyBorder="1" applyAlignment="1">
      <x:alignment wrapText="1"/>
    </x:xf>
    <x:xf numFmtId="204" fontId="0" fillId="14" borderId="1" xfId="0" applyNumberFormat="1" applyFont="1" applyFill="1" applyBorder="1" applyAlignment="1">
      <x:alignment wrapText="1"/>
    </x:xf>
    <x:xf numFmtId="208" fontId="0" fillId="14" borderId="0" xfId="0" applyNumberFormat="1" applyFont="1" applyFill="1" applyBorder="1"/>
    <x:xf numFmtId="208" fontId="0" fillId="14" borderId="0" xfId="0" applyNumberFormat="1" applyFont="1" applyFill="1" applyBorder="1" applyAlignment="1">
      <x:alignment wrapText="1"/>
    </x:xf>
    <x:xf numFmtId="208" fontId="0" fillId="14" borderId="1" xfId="0" applyNumberFormat="1" applyFont="1" applyFill="1" applyBorder="1" applyAlignment="1">
      <x:alignment wrapText="1"/>
    </x:xf>
    <x:xf numFmtId="0" fontId="0" fillId="13" borderId="1" xfId="0" applyNumberFormat="1" applyFont="1" applyFill="1" applyBorder="1"/>
    <x:xf numFmtId="0" fontId="0" fillId="11" borderId="1" xfId="0" applyNumberFormat="1" applyFont="1" applyFill="1" applyBorder="1"/>
    <x:xf numFmtId="0" fontId="3" fillId="11" borderId="1" xfId="0" applyNumberFormat="1" applyFont="1" applyFill="1" applyBorder="1"/>
    <x:xf numFmtId="0" fontId="3" fillId="11" borderId="1" xfId="0" applyNumberFormat="1" applyFont="1" applyFill="1" applyBorder="1" applyAlignment="1">
      <x:alignment wrapText="1"/>
    </x:xf>
    <x:xf numFmtId="0" fontId="0" fillId="14" borderId="1" xfId="0" applyNumberFormat="1" applyFont="1" applyFill="1" applyBorder="1"/>
    <x:xf numFmtId="206" fontId="0" fillId="14" borderId="1" xfId="0" applyNumberFormat="1" applyFont="1" applyFill="1" applyBorder="1"/>
    <x:xf numFmtId="0" fontId="3" fillId="12" borderId="0" xfId="0" applyNumberFormat="1" applyFont="1" applyFill="1" applyBorder="1" applyAlignment="1">
      <x:alignment wrapText="1"/>
    </x:xf>
    <x:xf numFmtId="0" fontId="7" fillId="14" borderId="0" xfId="0" applyNumberFormat="1" applyFont="1" applyFill="1" applyBorder="1"/>
    <x:xf numFmtId="0" fontId="7" fillId="14" borderId="1" xfId="0" applyNumberFormat="1" applyFont="1" applyFill="1" applyBorder="1"/>
    <x:xf numFmtId="0" fontId="7" fillId="14" borderId="1" xfId="0" applyNumberFormat="1" applyFont="1" applyFill="1" applyBorder="1" applyAlignment="1">
      <x:alignment horizontal="center"/>
    </x:xf>
    <x:xf numFmtId="204" fontId="7" fillId="14" borderId="1" xfId="0" applyNumberFormat="1" applyFont="1" applyFill="1" applyBorder="1" applyAlignment="1">
      <x:alignment horizontal="center"/>
    </x:xf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/>
    <x:xf numFmtId="0" fontId="5" fillId="10" borderId="0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horizontal="center" wrapText="1"/>
    </x:xf>
    <x:xf numFmtId="0" fontId="0" fillId="15" borderId="0" xfId="0" applyNumberFormat="1" applyFont="1" applyFill="1" applyBorder="1"/>
    <x:xf numFmtId="0" fontId="5" fillId="15" borderId="0" xfId="0" applyNumberFormat="1" applyFont="1" applyFill="1" applyBorder="1"/>
    <x:xf numFmtId="0" fontId="5" fillId="15" borderId="0" xfId="0" applyNumberFormat="1" applyFont="1" applyFill="1" applyBorder="1" applyAlignment="1">
      <x:alignment wrapText="1"/>
    </x:xf>
    <x:xf numFmtId="0" fontId="5" fillId="15" borderId="0" xfId="0" applyNumberFormat="1" applyFont="1" applyFill="1" applyBorder="1" applyAlignment="1">
      <x:alignment vertical="center" wrapText="1"/>
    </x:xf>
    <x:xf numFmtId="0" fontId="3" fillId="11" borderId="0" xfId="0" applyNumberFormat="1" applyFont="1" applyFill="1" applyBorder="1"/>
    <x:xf numFmtId="0" fontId="3" fillId="11" borderId="1" xfId="0" applyNumberFormat="1" applyFont="1" applyFill="1" applyBorder="1" applyAlignment="1">
      <x:alignment horizontal="center" wrapText="1"/>
    </x:xf>
    <x:xf numFmtId="208" fontId="0" fillId="0" borderId="0" xfId="0" applyNumberFormat="1" applyFont="1" applyFill="1" applyBorder="1"/>
    <x:xf numFmtId="208" fontId="0" fillId="0" borderId="1" xfId="0" applyNumberFormat="1" applyFont="1" applyFill="1" applyBorder="1"/>
  </x:cellXfs>
  <x:cellStyles count="1">
    <x:cellStyle name="Normal" xfId="0"/>
  </x:cellStyles>
  <x:dxfs count="29"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BF9000"/>
      </x:font>
      <x:fill>
        <x:patternFill>
          <x:bgColor rgb="FFFFF2CC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548235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548235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3b15f9d1ad440a" /><Relationship Type="http://schemas.openxmlformats.org/officeDocument/2006/relationships/theme" Target="/xl/theme/theme1.xml" Id="R68d86dadb9894afd" /><Relationship Type="http://schemas.openxmlformats.org/officeDocument/2006/relationships/sharedStrings" Target="/xl/sharedStrings.xml" Id="Re0bfc6d84bd841d0" /><Relationship Type="http://schemas.openxmlformats.org/officeDocument/2006/relationships/worksheet" Target="/xl/worksheets/sheet1.xml" Id="R5e5a72d14d524f91" /><Relationship Type="http://schemas.openxmlformats.org/officeDocument/2006/relationships/worksheet" Target="/xl/worksheets/sheet2.xml" Id="R7482e27dbec3465a" /><Relationship Type="http://schemas.openxmlformats.org/officeDocument/2006/relationships/worksheet" Target="/xl/worksheets/sheet3.xml" Id="R8789007074114376" /><Relationship Type="http://schemas.openxmlformats.org/officeDocument/2006/relationships/worksheet" Target="/xl/worksheets/sheet4.xml" Id="R916ccd6d6cdb4b9a" /><Relationship Type="http://schemas.openxmlformats.org/officeDocument/2006/relationships/worksheet" Target="/xl/worksheets/sheet5.xml" Id="R236652c6e39744c3" /><Relationship Type="http://schemas.openxmlformats.org/officeDocument/2006/relationships/worksheet" Target="/xl/worksheets/sheet6.xml" Id="Rff433d45f56d4f63" /><Relationship Type="http://schemas.openxmlformats.org/officeDocument/2006/relationships/worksheet" Target="/xl/worksheets/sheet7.xml" Id="R42426a4fe3304528" /><Relationship Type="http://schemas.openxmlformats.org/officeDocument/2006/relationships/worksheet" Target="/xl/worksheets/sheet8.xml" Id="R40768c31d8c04404" /><Relationship Type="http://schemas.openxmlformats.org/officeDocument/2006/relationships/worksheet" Target="/xl/worksheets/sheet9.xml" Id="R6df4743c83e44de1" /><Relationship Type="http://schemas.openxmlformats.org/officeDocument/2006/relationships/worksheet" Target="/xl/worksheets/sheet10.xml" Id="Rb4fcfdc4cc4e4fcd" /><Relationship Type="http://schemas.openxmlformats.org/officeDocument/2006/relationships/worksheet" Target="/xl/worksheets/sheet11.xml" Id="R2f3f0af08179437c" /><Relationship Type="http://schemas.openxmlformats.org/officeDocument/2006/relationships/worksheet" Target="/xl/worksheets/sheet12.xml" Id="R8db6bf3ca91b4445" /><Relationship Type="http://schemas.openxmlformats.org/officeDocument/2006/relationships/worksheet" Target="/xl/worksheets/sheet13.xml" Id="Rd246f63ffb574634" /><Relationship Type="http://schemas.openxmlformats.org/officeDocument/2006/relationships/worksheet" Target="/xl/worksheets/sheet14.xml" Id="Rcfecee8aff2849da" /><Relationship Type="http://schemas.openxmlformats.org/officeDocument/2006/relationships/worksheet" Target="/xl/worksheets/sheet15.xml" Id="R18b5e7e1c9e44e43" /><Relationship Type="http://schemas.openxmlformats.org/officeDocument/2006/relationships/worksheet" Target="/xl/worksheets/sheet16.xml" Id="Rab57be8d7d064d4e" /><Relationship Type="http://schemas.openxmlformats.org/officeDocument/2006/relationships/worksheet" Target="/xl/worksheets/sheet17.xml" Id="R98ff7d3354024dae" /><Relationship Type="http://schemas.openxmlformats.org/officeDocument/2006/relationships/worksheet" Target="/xl/worksheets/sheet18.xml" Id="R179873e284b54ce8" /><Relationship Type="http://schemas.microsoft.com/office/2017/10/relationships/person" Target="/xl/persons/person.xml" Id="R52b40175a24e457b" /></Relationships>
</file>

<file path=xl/persons/person.xml><?xml version="1.0" encoding="utf-8"?>
<xltc:personList xmlns:xltc="http://schemas.microsoft.com/office/spreadsheetml/2018/threadedcomments">
  <xltc:person displayName="Faith Toh" id="{F38F5DAD-BE27-4A69-A02A-C24077283E21}"/>
</xltc:personList>
</file>

<file path=xl/tables/table1.xml><?xml version="1.0" encoding="utf-8"?>
<x:table xmlns:x="http://schemas.openxmlformats.org/spreadsheetml/2006/main" id="1" name="StaffMasterTable" displayName="StaffMasterTable" ref="A5:M105" headerRowCount="1" totalsRowCount="0" totalsRowShown="0">
  <x:autoFilter ref="A5:M105"/>
  <x:tableColumns count="13">
    <x:tableColumn id="1" name="Staff ID"/>
    <x:tableColumn id="2" name="Staff Name"/>
    <x:tableColumn id="3" name="Department"/>
    <x:tableColumn id="4" name="Section / Line"/>
    <x:tableColumn id="5" name="Position"/>
    <x:tableColumn id="6" name="Tier"/>
    <x:tableColumn id="7" name="Shift"/>
    <x:tableColumn id="8" name="Manager"/>
    <x:tableColumn id="9" name="Hire Date"/>
    <x:tableColumn id="10" name="Employment Type"/>
    <x:tableColumn id="11" name="Active?"/>
    <x:tableColumn id="12" name="Required Skills Count"/>
    <x:tableColumn id="13" name="Profile Readines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killCatalogueTable" displayName="SkillCatalogueTable" ref="A5:K95" headerRowCount="1" totalsRowCount="0" totalsRowShown="0">
  <x:autoFilter ref="A5:K95"/>
  <x:tableColumns count="11">
    <x:tableColumn id="1" name="Skill ID"/>
    <x:tableColumn id="2" name="Department / Shared"/>
    <x:tableColumn id="3" name="Category"/>
    <x:tableColumn id="4" name="Skill / Competency"/>
    <x:tableColumn id="5" name="Definition / Standard"/>
    <x:tableColumn id="6" name="Safety or Quality Critical?"/>
    <x:tableColumn id="7" name="Minimum Evidence Guide"/>
    <x:tableColumn id="8" name="Default Assessment Method"/>
    <x:tableColumn id="9" name="Default Reassessment (Months)"/>
    <x:tableColumn id="10" name="Skill Owner"/>
    <x:tableColumn id="11" name="Active?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ositionRequirementsTable" displayName="PositionRequirementsTable" ref="A5:R285" headerRowCount="1" totalsRowCount="0" totalsRowShown="0">
  <x:autoFilter ref="A5:R285"/>
  <x:tableColumns count="18">
    <x:tableColumn id="1" name="Requirement Key"/>
    <x:tableColumn id="2" name="Department"/>
    <x:tableColumn id="3" name="Position"/>
    <x:tableColumn id="4" name="Tier"/>
    <x:tableColumn id="5" name="Skill ID"/>
    <x:tableColumn id="6" name="Skill Name"/>
    <x:tableColumn id="7" name="Category"/>
    <x:tableColumn id="8" name="Criticality"/>
    <x:tableColumn id="9" name="Weight %"/>
    <x:tableColumn id="10" name="Required Level"/>
    <x:tableColumn id="11" name="Mandatory Certification?"/>
    <x:tableColumn id="12" name="Reassessment (Months)"/>
    <x:tableColumn id="13" name="Active?"/>
    <x:tableColumn id="14" name="Requirement Owner"/>
    <x:tableColumn id="15" name="Effective Date"/>
    <x:tableColumn id="16" name="Position-Specific Evidence / Standard"/>
    <x:tableColumn id="17" name="Position Weight Total"/>
    <x:tableColumn id="18" name="Profile Che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ssessmentLogTable" displayName="AssessmentLogTable" ref="A5:AE155" headerRowCount="1" totalsRowCount="0" totalsRowShown="0">
  <x:autoFilter ref="A5:AE155"/>
  <x:tableColumns count="31">
    <x:tableColumn id="1" name="Assessment ID"/>
    <x:tableColumn id="2" name="Assessment Date"/>
    <x:tableColumn id="3" name="Assessment Cycle"/>
    <x:tableColumn id="4" name="Staff ID"/>
    <x:tableColumn id="5" name="Staff Name"/>
    <x:tableColumn id="6" name="Department"/>
    <x:tableColumn id="7" name="Position"/>
    <x:tableColumn id="8" name="Tier"/>
    <x:tableColumn id="9" name="Requirement Key"/>
    <x:tableColumn id="10" name="Skill ID"/>
    <x:tableColumn id="11" name="Skill Name"/>
    <x:tableColumn id="12" name="Criticality"/>
    <x:tableColumn id="13" name="Weight %"/>
    <x:tableColumn id="14" name="Required Level"/>
    <x:tableColumn id="15" name="Evaluated Level"/>
    <x:tableColumn id="16" name="Gap"/>
    <x:tableColumn id="17" name="Weighted Gap"/>
    <x:tableColumn id="18" name="Priority Score"/>
    <x:tableColumn id="19" name="Result"/>
    <x:tableColumn id="20" name="Assessment Method"/>
    <x:tableColumn id="21" name="Evidence / Observation"/>
    <x:tableColumn id="22" name="Assessor"/>
    <x:tableColumn id="23" name="HOD Verification"/>
    <x:tableColumn id="24" name="Certificate / Licence No."/>
    <x:tableColumn id="25" name="Valid Until"/>
    <x:tableColumn id="26" name="Next Assessment Due"/>
    <x:tableColumn id="27" name="Latest?"/>
    <x:tableColumn id="28" name="Action Required?"/>
    <x:tableColumn id="29" name="Days to Due"/>
    <x:tableColumn id="30" name="Current Status"/>
    <x:tableColumn id="31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evelopmentActionsTable" displayName="DevelopmentActionsTable" ref="A5:AD105" headerRowCount="1" totalsRowCount="0" totalsRowShown="0">
  <x:autoFilter ref="A5:AD105"/>
  <x:tableColumns count="30">
    <x:tableColumn id="1" name="Action ID"/>
    <x:tableColumn id="2" name="Linked Assessment ID"/>
    <x:tableColumn id="3" name="Staff ID"/>
    <x:tableColumn id="4" name="Staff Name"/>
    <x:tableColumn id="5" name="Department"/>
    <x:tableColumn id="6" name="Position"/>
    <x:tableColumn id="7" name="Skill ID"/>
    <x:tableColumn id="8" name="Skill Name"/>
    <x:tableColumn id="9" name="Required Level"/>
    <x:tableColumn id="10" name="Starting Level"/>
    <x:tableColumn id="11" name="Gap at Start"/>
    <x:tableColumn id="12" name="Priority Score"/>
    <x:tableColumn id="13" name="Action Type"/>
    <x:tableColumn id="14" name="Learning / Improvement Objective"/>
    <x:tableColumn id="15" name="Training / Intervention"/>
    <x:tableColumn id="16" name="Trainer / Coach"/>
    <x:tableColumn id="17" name="HOD Action Owner"/>
    <x:tableColumn id="18" name="HR Coordinator"/>
    <x:tableColumn id="19" name="Start Date"/>
    <x:tableColumn id="20" name="Due Date"/>
    <x:tableColumn id="21" name="Status"/>
    <x:tableColumn id="22" name="Completion Date"/>
    <x:tableColumn id="23" name="Completion Evidence"/>
    <x:tableColumn id="24" name="Reassessment Due"/>
    <x:tableColumn id="25" name="Post-Training Assessment ID"/>
    <x:tableColumn id="26" name="Post Level"/>
    <x:tableColumn id="27" name="Improvement"/>
    <x:tableColumn id="28" name="Closure Status"/>
    <x:tableColumn id="29" name="Days Overdue"/>
    <x:tableColumn id="30" name="Next Step / 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rainingRegisterTable" displayName="TrainingRegisterTable" ref="A5:Y55" headerRowCount="1" totalsRowCount="0" totalsRowShown="0">
  <x:autoFilter ref="A5:Y55"/>
  <x:tableColumns count="25">
    <x:tableColumn id="1" name="Training ID"/>
    <x:tableColumn id="2" name="Module Code"/>
    <x:tableColumn id="3" name="Training Title"/>
    <x:tableColumn id="4" name="Skills Covered (IDs)"/>
    <x:tableColumn id="5" name="Target Department"/>
    <x:tableColumn id="6" name="Target Tier / Position"/>
    <x:tableColumn id="7" name="Participant Staff IDs"/>
    <x:tableColumn id="8" name="Delivery Method"/>
    <x:tableColumn id="9" name="Trainer / Provider"/>
    <x:tableColumn id="10" name="HOD Sponsor"/>
    <x:tableColumn id="11" name="HR Coordinator"/>
    <x:tableColumn id="12" name="Planned Start"/>
    <x:tableColumn id="13" name="Planned End"/>
    <x:tableColumn id="14" name="Status"/>
    <x:tableColumn id="15" name="Actual Completion Date"/>
    <x:tableColumn id="16" name="Planned Participants"/>
    <x:tableColumn id="17" name="Attendance Count"/>
    <x:tableColumn id="18" name="Pass Count"/>
    <x:tableColumn id="19" name="Pass Rate"/>
    <x:tableColumn id="20" name="Budget (RM)"/>
    <x:tableColumn id="21" name="Actual Cost (RM)"/>
    <x:tableColumn id="22" name="Effectiveness Review Date"/>
    <x:tableColumn id="23" name="Effectiveness Outcome"/>
    <x:tableColumn id="24" name="Evidence / Record Location"/>
    <x:tableColumn id="25" name="Next Run / 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riticalSkillCoverageTable" displayName="CriticalSkillCoverageTable" ref="A5:M55" headerRowCount="1" totalsRowCount="0" totalsRowShown="0">
  <x:autoFilter ref="A5:M55"/>
  <x:tableColumns count="13">
    <x:tableColumn id="1" name="Skill ID"/>
    <x:tableColumn id="2" name="Skill Name"/>
    <x:tableColumn id="3" name="Department / Shared"/>
    <x:tableColumn id="4" name="Critical?"/>
    <x:tableColumn id="5" name="Minimum Competent Headcount"/>
    <x:tableColumn id="6" name="Current Competent Headcount"/>
    <x:tableColumn id="7" name="Coverage Gap"/>
    <x:tableColumn id="8" name="Risk Status"/>
    <x:tableColumn id="9" name="Primary Expert / Owner"/>
    <x:tableColumn id="10" name="Backup 1"/>
    <x:tableColumn id="11" name="Backup 2"/>
    <x:tableColumn id="12" name="Coverage Action"/>
    <x:tableColumn id="13" name="Due Da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rainingRequests" displayName="TrainingRequests" ref="A5:AF105" headerRowCount="1" totalsRowCount="0" totalsRowShown="0">
  <x:autoFilter ref="A5:AF105"/>
  <x:tableColumns count="32">
    <x:tableColumn id="1" name="Request ID"/>
    <x:tableColumn id="2" name="Request Date"/>
    <x:tableColumn id="3" name="Requestor"/>
    <x:tableColumn id="4" name="Department"/>
    <x:tableColumn id="5" name="Need Source"/>
    <x:tableColumn id="6" name="Linked Action ID"/>
    <x:tableColumn id="7" name="Staff ID / Group"/>
    <x:tableColumn id="8" name="Staff Name"/>
    <x:tableColumn id="9" name="Position"/>
    <x:tableColumn id="10" name="Skill ID"/>
    <x:tableColumn id="11" name="Skill Name"/>
    <x:tableColumn id="12" name="Current Level"/>
    <x:tableColumn id="13" name="Target Level"/>
    <x:tableColumn id="14" name="Gap"/>
    <x:tableColumn id="15" name="Need / Problem"/>
    <x:tableColumn id="16" name="Learning Objective"/>
    <x:tableColumn id="17" name="Expected Job / KPI Result"/>
    <x:tableColumn id="18" name="Delivery Method"/>
    <x:tableColumn id="19" name="Trainer / Provider"/>
    <x:tableColumn id="20" name="Proposed Start"/>
    <x:tableColumn id="21" name="Proposed End"/>
    <x:tableColumn id="22" name="Estimated Cost (RM)"/>
    <x:tableColumn id="23" name="HOD Recommendation"/>
    <x:tableColumn id="24" name="HR Review"/>
    <x:tableColumn id="25" name="Approval Status"/>
    <x:tableColumn id="26" name="Approver"/>
    <x:tableColumn id="27" name="Approval Date"/>
    <x:tableColumn id="28" name="Approved Budget (RM)"/>
    <x:tableColumn id="29" name="Priority"/>
    <x:tableColumn id="30" name="Linked Training ID"/>
    <x:tableColumn id="31" name="Workflow Status"/>
    <x:tableColumn id="32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rainingAttendance" displayName="TrainingAttendance" ref="A5:Z155" headerRowCount="1" totalsRowCount="0" totalsRowShown="0">
  <x:autoFilter ref="A5:Z155"/>
  <x:tableColumns count="26">
    <x:tableColumn id="1" name="Attendance ID"/>
    <x:tableColumn id="2" name="Training ID"/>
    <x:tableColumn id="3" name="Training Title"/>
    <x:tableColumn id="4" name="Training Date"/>
    <x:tableColumn id="5" name="Staff ID"/>
    <x:tableColumn id="6" name="Staff Name"/>
    <x:tableColumn id="7" name="Department"/>
    <x:tableColumn id="8" name="Position"/>
    <x:tableColumn id="9" name="Skill IDs Covered"/>
    <x:tableColumn id="10" name="Request / Nomination ID"/>
    <x:tableColumn id="11" name="Attendance Status"/>
    <x:tableColumn id="12" name="Training Hours"/>
    <x:tableColumn id="13" name="Pre-Test %"/>
    <x:tableColumn id="14" name="Post-Test %"/>
    <x:tableColumn id="15" name="Test Improvement"/>
    <x:tableColumn id="16" name="Pass Mark %"/>
    <x:tableColumn id="17" name="Test Result"/>
    <x:tableColumn id="18" name="Certificate No"/>
    <x:tableColumn id="19" name="Certificate Valid Until"/>
    <x:tableColumn id="20" name="Evaluation Due"/>
    <x:tableColumn id="21" name="Evaluation Status"/>
    <x:tableColumn id="22" name="Effectiveness Review Due"/>
    <x:tableColumn id="23" name="Effectiveness Status"/>
    <x:tableColumn id="24" name="Record Owner"/>
    <x:tableColumn id="25" name="Evidence / Certificate Location"/>
    <x:tableColumn id="26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rainingEvaluations" displayName="TrainingEvaluations" ref="A5:X155" headerRowCount="1" totalsRowCount="0" totalsRowShown="0">
  <x:autoFilter ref="A5:X155"/>
  <x:tableColumns count="24">
    <x:tableColumn id="1" name="Evaluation ID"/>
    <x:tableColumn id="2" name="Training ID"/>
    <x:tableColumn id="3" name="Staff ID"/>
    <x:tableColumn id="4" name="Staff Name"/>
    <x:tableColumn id="5" name="Department"/>
    <x:tableColumn id="6" name="Evaluation Date"/>
    <x:tableColumn id="7" name="Relevance"/>
    <x:tableColumn id="8" name="Objectives Met"/>
    <x:tableColumn id="9" name="Content Quality"/>
    <x:tableColumn id="10" name="Trainer Effectiveness"/>
    <x:tableColumn id="11" name="Materials / Exercises"/>
    <x:tableColumn id="12" name="Pace / Duration"/>
    <x:tableColumn id="13" name="Practical Usefulness"/>
    <x:tableColumn id="14" name="Overall Satisfaction"/>
    <x:tableColumn id="15" name="Average Rating"/>
    <x:tableColumn id="16" name="Most Useful Learning"/>
    <x:tableColumn id="17" name="Job Application Commitment"/>
    <x:tableColumn id="18" name="Support Needed"/>
    <x:tableColumn id="19" name="Recommend?"/>
    <x:tableColumn id="20" name="Issues / Improvement Suggestions"/>
    <x:tableColumn id="21" name="HR Follow-up"/>
    <x:tableColumn id="22" name="HOD Visibility"/>
    <x:tableColumn id="23" name="Completion Status"/>
    <x:tableColumn id="24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rainingEffectivenessReviews" displayName="TrainingEffectivenessReviews" ref="A5:Y155" headerRowCount="1" totalsRowCount="0" totalsRowShown="0">
  <x:autoFilter ref="A5:Y155"/>
  <x:tableColumns count="25">
    <x:tableColumn id="1" name="Review ID"/>
    <x:tableColumn id="2" name="Training ID"/>
    <x:tableColumn id="3" name="Staff ID"/>
    <x:tableColumn id="4" name="Staff Name"/>
    <x:tableColumn id="5" name="Department"/>
    <x:tableColumn id="6" name="Skill ID"/>
    <x:tableColumn id="7" name="Skill Name"/>
    <x:tableColumn id="8" name="Review Stage"/>
    <x:tableColumn id="9" name="Review Date"/>
    <x:tableColumn id="10" name="Reviewer"/>
    <x:tableColumn id="11" name="Pre Level"/>
    <x:tableColumn id="12" name="Target Level"/>
    <x:tableColumn id="13" name="Post Assessment ID"/>
    <x:tableColumn id="14" name="Post Level"/>
    <x:tableColumn id="15" name="Skill Improvement"/>
    <x:tableColumn id="16" name="Applied at Work (1-5)"/>
    <x:tableColumn id="17" name="Behavior / Output Improvement (1-5)"/>
    <x:tableColumn id="18" name="KPI / Quality / Safety Impact (1-5)"/>
    <x:tableColumn id="19" name="Evidence / Result"/>
    <x:tableColumn id="20" name="Effectiveness Outcome"/>
    <x:tableColumn id="21" name="Further Action"/>
    <x:tableColumn id="22" name="HOD Verification"/>
    <x:tableColumn id="23" name="Next Review Due"/>
    <x:tableColumn id="24" name="Closure Status"/>
    <x:tableColumn id="2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EmployeeSkillRegister" displayName="EmployeeSkillRegister" ref="A5:V205" headerRowCount="1" totalsRowCount="0" totalsRowShown="0">
  <x:autoFilter ref="A5:V205"/>
  <x:tableColumns count="22">
    <x:tableColumn id="1" name="Record Key"/>
    <x:tableColumn id="2" name="Staff ID"/>
    <x:tableColumn id="3" name="Staff Name"/>
    <x:tableColumn id="4" name="Department"/>
    <x:tableColumn id="5" name="Position"/>
    <x:tableColumn id="6" name="Tier"/>
    <x:tableColumn id="7" name="Skill ID"/>
    <x:tableColumn id="8" name="Skill Name"/>
    <x:tableColumn id="9" name="Criticality"/>
    <x:tableColumn id="10" name="Required Level"/>
    <x:tableColumn id="11" name="Current Level"/>
    <x:tableColumn id="12" name="Gap"/>
    <x:tableColumn id="13" name="Latest Assessment Date"/>
    <x:tableColumn id="14" name="Next Assessment Due"/>
    <x:tableColumn id="15" name="Assessment Status"/>
    <x:tableColumn id="16" name="Open Development Actions"/>
    <x:tableColumn id="17" name="Training Events"/>
    <x:tableColumn id="18" name="Last Training Date"/>
    <x:tableColumn id="19" name="Effective Reviews"/>
    <x:tableColumn id="20" name="Competency Status"/>
    <x:tableColumn id="21" name="HOD / Requirement Owner"/>
    <x:tableColumn id="22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I5" dT="2026-08-30T06:20:38.104" personId="{F38F5DAD-BE27-4A69-A02A-C24077283E21}" id="{7DC7BD13-183E-462A-BBCF-8A1E64047A80}">
    <xltc:text>Faith Toh: Active skill weights for each Department + Position profile should total 100%. The Profile Check column flags any variance.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R5" dT="2026-08-30T06:20:42.538" personId="{F38F5DAD-BE27-4A69-A02A-C24077283E21}" id="{92DACCB7-89C1-401F-9282-61BC44DCF460}">
    <xltc:text>Faith Toh: Priority Score = skill gap × position weight × criticality multiplier (Critical 3, Essential 2, Development 1). Use it to sequence action, not to replace safety or quality gates.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b3219befb424f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030fe9d9e647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1.xml" Id="R9cc2f19dccca4d91" /><Relationship Type="http://schemas.openxmlformats.org/officeDocument/2006/relationships/vmlDrawing" Target="/xl/drawings/vmldrawing.vml" Id="R7cd1e0ea64f24e4a" /><Relationship Type="http://schemas.microsoft.com/office/2017/10/relationships/threadedComment" Target="/xl/threadedcomments/threadedcomment.xml" Id="Raa7147d7525c4c40" /><Relationship Type="http://schemas.openxmlformats.org/officeDocument/2006/relationships/table" Target="/xl/tables/table3.xml" Id="R24478a3bd60d46d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2.xml" Id="R226685bf93314318" /><Relationship Type="http://schemas.openxmlformats.org/officeDocument/2006/relationships/vmlDrawing" Target="/xl/drawings/vmldrawing2.vml" Id="R20c5f97ea21d45a2" /><Relationship Type="http://schemas.microsoft.com/office/2017/10/relationships/threadedComment" Target="/xl/threadedcomments/threadedcomment2.xml" Id="Rfd9cc48fc3cd4b67" /><Relationship Type="http://schemas.openxmlformats.org/officeDocument/2006/relationships/table" Target="/xl/tables/table4.xml" Id="R12b1c79867aa411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9143f9928fe488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cf4e140123c432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7375f05aab6e45a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8.xml" Id="R121d13bf8d524cb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9.xml" Id="R871d8026dd284d8c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0.xml" Id="Ra13b523ebfcd486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1.xml" Id="Rf590c7aed4234577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2.xml" Id="R7396df0325084f9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28" hidden="0" customWidth="1"/>
    <x:col min="4" max="4" width="24" hidden="0" customWidth="1"/>
    <x:col min="5" max="5" width="42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3" t="str">
        <x:v>SBTG Skill Management System</x:v>
      </x:c>
      <x:c r="B1" s="3"/>
      <x:c r="C1" s="3"/>
      <x:c r="D1" s="3"/>
      <x:c r="E1" s="3"/>
      <x:c r="F1" s="3"/>
      <x:c r="G1" s="3"/>
      <x:c r="H1" s="3"/>
    </x:row>
    <x:row r="2" ht="36" customHeight="1">
      <x:c r="A2" s="7" t="str">
        <x:v>Master operating guide — from position requirement to verified capability, development action, training and reassessment.</x:v>
      </x:c>
      <x:c r="B2" s="7"/>
      <x:c r="C2" s="7"/>
      <x:c r="D2" s="7"/>
      <x:c r="E2" s="7"/>
      <x:c r="F2" s="7"/>
      <x:c r="G2" s="7"/>
      <x:c r="H2" s="7"/>
    </x:row>
    <x:row r="4" ht="24" customHeight="1">
      <x:c r="A4" s="18" t="str">
        <x:v>1. CLOSED-LOOP OPERATING FLOW</x:v>
      </x:c>
      <x:c r="B4" s="18"/>
      <x:c r="C4" s="18"/>
      <x:c r="D4" s="18"/>
      <x:c r="E4" s="18"/>
      <x:c r="F4" s="18"/>
      <x:c r="G4" s="18"/>
      <x:c r="H4" s="18"/>
    </x:row>
    <x:row r="5" ht="34" customHeight="1">
      <x:c r="A5" s="13" t="str">
        <x:v>Step</x:v>
      </x:c>
      <x:c r="B5" s="13" t="str">
        <x:v>Stage</x:v>
      </x:c>
      <x:c r="C5" s="13" t="str">
        <x:v>Accountable Owner</x:v>
      </x:c>
      <x:c r="D5" s="13" t="str">
        <x:v>Minimum Frequency</x:v>
      </x:c>
      <x:c r="E5" s="13" t="str">
        <x:v>Required Evidence / Output</x:v>
      </x:c>
    </x:row>
    <x:row r="6" ht="38" customHeight="1">
      <x:c r="A6" s="19" t="n">
        <x:v>1</x:v>
      </x:c>
      <x:c r="B6" s="19" t="str">
        <x:v>Define positions and tiers</x:v>
      </x:c>
      <x:c r="C6" s="19" t="str">
        <x:v>HOD; HR governs</x:v>
      </x:c>
      <x:c r="D6" s="19" t="str">
        <x:v>Annual and whenever work changes</x:v>
      </x:c>
      <x:c r="E6" s="19" t="str">
        <x:v>Approved positions, tiers and responsibilities</x:v>
      </x:c>
    </x:row>
    <x:row r="7" ht="38" customHeight="1">
      <x:c r="A7" s="19" t="n">
        <x:v>2</x:v>
      </x:c>
      <x:c r="B7" s="19" t="str">
        <x:v>Set required skills by position</x:v>
      </x:c>
      <x:c r="C7" s="19" t="str">
        <x:v>HOD / technical owner</x:v>
      </x:c>
      <x:c r="D7" s="19" t="str">
        <x:v>Annual; after new machine, product or process</x:v>
      </x:c>
      <x:c r="E7" s="19" t="str">
        <x:v>Required level, criticality, weight and evidence standard total 100%</x:v>
      </x:c>
    </x:row>
    <x:row r="8" ht="38" customHeight="1">
      <x:c r="A8" s="19" t="n">
        <x:v>3</x:v>
      </x:c>
      <x:c r="B8" s="19" t="str">
        <x:v>Assess each staff member</x:v>
      </x:c>
      <x:c r="C8" s="19" t="str">
        <x:v>Qualified assessor</x:v>
      </x:c>
      <x:c r="D8" s="19" t="str">
        <x:v>Baseline, annual and as scheduled</x:v>
      </x:c>
      <x:c r="E8" s="19" t="str">
        <x:v>Observed score 0–5 with evidence; no score by impression alone</x:v>
      </x:c>
    </x:row>
    <x:row r="9" ht="38" customHeight="1">
      <x:c r="A9" s="19" t="n">
        <x:v>4</x:v>
      </x:c>
      <x:c r="B9" s="19" t="str">
        <x:v>Verify current competency</x:v>
      </x:c>
      <x:c r="C9" s="19" t="str">
        <x:v>HOD</x:v>
      </x:c>
      <x:c r="D9" s="19" t="str">
        <x:v>Within 5 working days</x:v>
      </x:c>
      <x:c r="E9" s="19" t="str">
        <x:v>Verified/rejected assessment and authorised work scope</x:v>
      </x:c>
    </x:row>
    <x:row r="10" ht="38" customHeight="1">
      <x:c r="A10" s="19" t="n">
        <x:v>5</x:v>
      </x:c>
      <x:c r="B10" s="19" t="str">
        <x:v>Close gaps with named actions</x:v>
      </x:c>
      <x:c r="C10" s="19" t="str">
        <x:v>HOD owns; HR coordinates</x:v>
      </x:c>
      <x:c r="D10" s="19" t="str">
        <x:v>Within 10 working days of verified gap</x:v>
      </x:c>
      <x:c r="E10" s="19" t="str">
        <x:v>Action, trainer/coach, owner, due date and expected level</x:v>
      </x:c>
    </x:row>
    <x:row r="11" ht="38" customHeight="1">
      <x:c r="A11" s="19" t="n">
        <x:v>6</x:v>
      </x:c>
      <x:c r="B11" s="19" t="str">
        <x:v>Train and reassess</x:v>
      </x:c>
      <x:c r="C11" s="19" t="str">
        <x:v>Trainer + independent assessor</x:v>
      </x:c>
      <x:c r="D11" s="19" t="str">
        <x:v>By action due date</x:v>
      </x:c>
      <x:c r="E11" s="19" t="str">
        <x:v>Completion evidence and new Assessment Log row</x:v>
      </x:c>
    </x:row>
    <x:row r="12" ht="38" customHeight="1">
      <x:c r="A12" s="19" t="n">
        <x:v>7</x:v>
      </x:c>
      <x:c r="B12" s="19" t="str">
        <x:v>Update workforce risk and KPIs</x:v>
      </x:c>
      <x:c r="C12" s="19" t="str">
        <x:v>HR + HOD</x:v>
      </x:c>
      <x:c r="D12" s="19" t="str">
        <x:v>Monthly; quarterly management review</x:v>
      </x:c>
      <x:c r="E12" s="19" t="str">
        <x:v>Coverage, overdue actions, critical-skill backup and trend decisions</x:v>
      </x:c>
    </x:row>
    <x:row r="14" ht="24" customHeight="1">
      <x:c r="A14" s="18" t="str">
        <x:v>2. ACCOUNTABILITY — ONE OWNER PER DECISION</x:v>
      </x:c>
      <x:c r="B14" s="18"/>
      <x:c r="C14" s="18"/>
      <x:c r="D14" s="18"/>
      <x:c r="E14" s="18"/>
      <x:c r="F14" s="18"/>
      <x:c r="G14" s="18"/>
      <x:c r="H14" s="18"/>
    </x:row>
    <x:row r="15" ht="34" customHeight="1">
      <x:c r="A15" s="13" t="str">
        <x:v>Role</x:v>
      </x:c>
      <x:c r="B15" s="13" t="str">
        <x:v>Owns</x:v>
      </x:c>
      <x:c r="C15" s="13" t="str">
        <x:v>Must Not Delegate</x:v>
      </x:c>
      <x:c r="D15" s="13" t="str">
        <x:v>Primary Review</x:v>
      </x:c>
      <x:c r="E15" s="13" t="str">
        <x:v>Escalation Trigger</x:v>
      </x:c>
    </x:row>
    <x:row r="16" ht="42" customHeight="1">
      <x:c r="A16" s="19" t="str">
        <x:v>CEO / Management</x:v>
      </x:c>
      <x:c r="B16" s="19" t="str">
        <x:v>Talent-density direction and resources</x:v>
      </x:c>
      <x:c r="C16" s="19" t="str">
        <x:v>Decision on critical capability risk</x:v>
      </x:c>
      <x:c r="D16" s="19" t="str">
        <x:v>Quarterly</x:v>
      </x:c>
      <x:c r="E16" s="19" t="str">
        <x:v>Critical skill has no competent backup or action repeatedly slips</x:v>
      </x:c>
    </x:row>
    <x:row r="17" ht="42" customHeight="1">
      <x:c r="A17" s="19" t="str">
        <x:v>HOD</x:v>
      </x:c>
      <x:c r="B17" s="19" t="str">
        <x:v>Position standards, assessors, verification and gap closure</x:v>
      </x:c>
      <x:c r="C17" s="19" t="str">
        <x:v>Technical competency decision</x:v>
      </x:c>
      <x:c r="D17" s="19" t="str">
        <x:v>Monthly</x:v>
      </x:c>
      <x:c r="E17" s="19" t="str">
        <x:v>Critical/major gap, expired certification or unsafe work</x:v>
      </x:c>
    </x:row>
    <x:row r="18" ht="42" customHeight="1">
      <x:c r="A18" s="19" t="str">
        <x:v>HR</x:v>
      </x:c>
      <x:c r="B18" s="19" t="str">
        <x:v>System governance, consistency, schedule and training consolidation</x:v>
      </x:c>
      <x:c r="C18" s="19" t="str">
        <x:v>Chasing without named HOD ownership</x:v>
      </x:c>
      <x:c r="D18" s="19" t="str">
        <x:v>Monthly</x:v>
      </x:c>
      <x:c r="E18" s="19" t="str">
        <x:v>Missing profiles, overdue assessment/action or inconsistent scoring</x:v>
      </x:c>
    </x:row>
    <x:row r="19" ht="42" customHeight="1">
      <x:c r="A19" s="19" t="str">
        <x:v>Qualified Assessor</x:v>
      </x:c>
      <x:c r="B19" s="19" t="str">
        <x:v>Objective assessment against evidence standard</x:v>
      </x:c>
      <x:c r="C19" s="19" t="str">
        <x:v>HOD verification</x:v>
      </x:c>
      <x:c r="D19" s="19" t="str">
        <x:v>Per assessment</x:v>
      </x:c>
      <x:c r="E19" s="19" t="str">
        <x:v>Evidence inadequate or conflict of interest</x:v>
      </x:c>
    </x:row>
    <x:row r="20" ht="42" customHeight="1">
      <x:c r="A20" s="19" t="str">
        <x:v>Trainer / Coach</x:v>
      </x:c>
      <x:c r="B20" s="19" t="str">
        <x:v>Practice plan, completion evidence and learner readiness</x:v>
      </x:c>
      <x:c r="C20" s="19" t="str">
        <x:v>Independent reassessment</x:v>
      </x:c>
      <x:c r="D20" s="19" t="str">
        <x:v>Per action</x:v>
      </x:c>
      <x:c r="E20" s="19" t="str">
        <x:v>Learner cannot perform safely or repeatably</x:v>
      </x:c>
    </x:row>
    <x:row r="21" ht="42" customHeight="1">
      <x:c r="A21" s="19" t="str">
        <x:v>Staff Member</x:v>
      </x:c>
      <x:c r="B21" s="19" t="str">
        <x:v>Learning, safe execution and evidence</x:v>
      </x:c>
      <x:c r="C21" s="19" t="str">
        <x:v>Self-declaring competence</x:v>
      </x:c>
      <x:c r="D21" s="19" t="str">
        <x:v>Per action</x:v>
      </x:c>
      <x:c r="E21" s="19" t="str">
        <x:v>Unclear standard, insufficient practice or abnormal condition</x:v>
      </x:c>
    </x:row>
    <x:row r="23" ht="24" customHeight="1">
      <x:c r="A23" s="18" t="str">
        <x:v>3. COMMON PROFICIENCY SCALE — APPLY THE SAME MEANING ACROSS DEPARTMENTS</x:v>
      </x:c>
      <x:c r="B23" s="18"/>
      <x:c r="C23" s="18"/>
      <x:c r="D23" s="18"/>
      <x:c r="E23" s="18"/>
      <x:c r="F23" s="18"/>
      <x:c r="G23" s="18"/>
      <x:c r="H23" s="18"/>
    </x:row>
    <x:row r="24" ht="34" customHeight="1">
      <x:c r="A24" s="13" t="str">
        <x:v>Level</x:v>
      </x:c>
      <x:c r="B24" s="13" t="str">
        <x:v>Name</x:v>
      </x:c>
      <x:c r="C24" s="13" t="str">
        <x:v>Observable Standard</x:v>
      </x:c>
      <x:c r="D24" s="13" t="str">
        <x:v>Independent Work</x:v>
      </x:c>
      <x:c r="E24" s="13" t="str">
        <x:v>Train Others</x:v>
      </x:c>
      <x:c r="F24" s="13" t="str">
        <x:v>Normal Decision</x:v>
      </x:c>
    </x:row>
    <x:row r="25" ht="52" customHeight="1">
      <x:c r="A25" s="20" t="n">
        <x:v>0</x:v>
      </x:c>
      <x:c r="B25" s="19" t="str">
        <x:v>Not trained</x:v>
      </x:c>
      <x:c r="C25" s="19" t="str">
        <x:v>No demonstrated knowledge or authorised experience.</x:v>
      </x:c>
      <x:c r="D25" s="19" t="str">
        <x:v>No</x:v>
      </x:c>
      <x:c r="E25" s="19" t="str">
        <x:v>No</x:v>
      </x:c>
      <x:c r="F25" s="19" t="str">
        <x:v>Training and supervised practice required</x:v>
      </x:c>
    </x:row>
    <x:row r="26" ht="52" customHeight="1">
      <x:c r="A26" s="20" t="n">
        <x:v>1</x:v>
      </x:c>
      <x:c r="B26" s="19" t="str">
        <x:v>Aware</x:v>
      </x:c>
      <x:c r="C26" s="19" t="str">
        <x:v>Can explain the purpose and basic steps with guidance.</x:v>
      </x:c>
      <x:c r="D26" s="19" t="str">
        <x:v>No</x:v>
      </x:c>
      <x:c r="E26" s="19" t="str">
        <x:v>No</x:v>
      </x:c>
      <x:c r="F26" s="19" t="str">
        <x:v>Awareness only; not qualified to perform</x:v>
      </x:c>
    </x:row>
    <x:row r="27" ht="52" customHeight="1">
      <x:c r="A27" s="20" t="n">
        <x:v>2</x:v>
      </x:c>
      <x:c r="B27" s="19" t="str">
        <x:v>Supervised</x:v>
      </x:c>
      <x:c r="C27" s="19" t="str">
        <x:v>Can perform the task correctly with direct supervision.</x:v>
      </x:c>
      <x:c r="D27" s="19" t="str">
        <x:v>No</x:v>
      </x:c>
      <x:c r="E27" s="19" t="str">
        <x:v>No</x:v>
      </x:c>
      <x:c r="F27" s="19" t="str">
        <x:v>Continue supervised practice</x:v>
      </x:c>
    </x:row>
    <x:row r="28" ht="52" customHeight="1">
      <x:c r="A28" s="20" t="n">
        <x:v>3</x:v>
      </x:c>
      <x:c r="B28" s="19" t="str">
        <x:v>Competent</x:v>
      </x:c>
      <x:c r="C28" s="19" t="str">
        <x:v>Performs independently to the approved standard and escalates abnormalities.</x:v>
      </x:c>
      <x:c r="D28" s="19" t="str">
        <x:v>Yes</x:v>
      </x:c>
      <x:c r="E28" s="19" t="str">
        <x:v>No</x:v>
      </x:c>
      <x:c r="F28" s="19" t="str">
        <x:v>Qualified for normal work within authorised scope</x:v>
      </x:c>
    </x:row>
    <x:row r="29" ht="52" customHeight="1">
      <x:c r="A29" s="20" t="n">
        <x:v>4</x:v>
      </x:c>
      <x:c r="B29" s="19" t="str">
        <x:v>Advanced</x:v>
      </x:c>
      <x:c r="C29" s="19" t="str">
        <x:v>Handles non-routine problems, improves the process and coaches others.</x:v>
      </x:c>
      <x:c r="D29" s="19" t="str">
        <x:v>Yes</x:v>
      </x:c>
      <x:c r="E29" s="19" t="str">
        <x:v>Yes</x:v>
      </x:c>
      <x:c r="F29" s="19" t="str">
        <x:v>May coach; HOD verifies scope</x:v>
      </x:c>
    </x:row>
    <x:row r="30" ht="52" customHeight="1">
      <x:c r="A30" s="20" t="n">
        <x:v>5</x:v>
      </x:c>
      <x:c r="B30" s="19" t="str">
        <x:v>Expert / Authoriser</x:v>
      </x:c>
      <x:c r="C30" s="19" t="str">
        <x:v>Defines standards, certifies others and leads complex technical decisions.</x:v>
      </x:c>
      <x:c r="D30" s="19" t="str">
        <x:v>Yes</x:v>
      </x:c>
      <x:c r="E30" s="19" t="str">
        <x:v>Yes</x:v>
      </x:c>
      <x:c r="F30" s="19" t="str">
        <x:v>Formal HOD/technical-authority approval required</x:v>
      </x:c>
    </x:row>
    <x:row r="32" ht="24" customHeight="1">
      <x:c r="A32" s="18" t="str">
        <x:v>4. NON-NEGOTIABLE GOVERNANCE RULES</x:v>
      </x:c>
      <x:c r="B32" s="18"/>
      <x:c r="C32" s="18"/>
      <x:c r="D32" s="18"/>
      <x:c r="E32" s="18"/>
      <x:c r="F32" s="18"/>
      <x:c r="G32" s="18"/>
      <x:c r="H32" s="18"/>
    </x:row>
    <x:row r="33" ht="26" customHeight="1">
      <x:c r="A33" s="23" t="str">
        <x:v>1</x:v>
      </x:c>
      <x:c r="B33" s="19" t="str">
        <x:v>Safety, quality and legal authorisations are gates; a weighted average cannot compensate for a critical failure.</x:v>
      </x:c>
      <x:c r="C33" s="19"/>
      <x:c r="D33" s="19"/>
      <x:c r="E33" s="19"/>
      <x:c r="F33" s="19"/>
      <x:c r="G33" s="19"/>
      <x:c r="H33" s="19"/>
    </x:row>
    <x:row r="34" ht="26" customHeight="1">
      <x:c r="A34" s="23" t="str">
        <x:v>2</x:v>
      </x:c>
      <x:c r="B34" s="19" t="str">
        <x:v>One row in Assessment Log = one staff + one skill + one assessment date. Never overwrite history after training.</x:v>
      </x:c>
      <x:c r="C34" s="19"/>
      <x:c r="D34" s="19"/>
      <x:c r="E34" s="19"/>
      <x:c r="F34" s="19"/>
      <x:c r="G34" s="19"/>
      <x:c r="H34" s="19"/>
    </x:row>
    <x:row r="35" ht="26" customHeight="1">
      <x:c r="A35" s="23" t="str">
        <x:v>3</x:v>
      </x:c>
      <x:c r="B35" s="19" t="str">
        <x:v>A score requires observable evidence. Attendance at training is not proof of competence.</x:v>
      </x:c>
      <x:c r="C35" s="19"/>
      <x:c r="D35" s="19"/>
      <x:c r="E35" s="19"/>
      <x:c r="F35" s="19"/>
      <x:c r="G35" s="19"/>
      <x:c r="H35" s="19"/>
    </x:row>
    <x:row r="36" ht="26" customHeight="1">
      <x:c r="A36" s="23" t="str">
        <x:v>4</x:v>
      </x:c>
      <x:c r="B36" s="19" t="str">
        <x:v>Level 3 means independent work to standard. Level 4 means troubleshooting and coaching. Level 5 is rare and formally authorised.</x:v>
      </x:c>
      <x:c r="C36" s="19"/>
      <x:c r="D36" s="19"/>
      <x:c r="E36" s="19"/>
      <x:c r="F36" s="19"/>
      <x:c r="G36" s="19"/>
      <x:c r="H36" s="19"/>
    </x:row>
    <x:row r="37" ht="26" customHeight="1">
      <x:c r="A37" s="23" t="str">
        <x:v>5</x:v>
      </x:c>
      <x:c r="B37" s="19" t="str">
        <x:v>HOD owns technical requirement and gap closure. HR owns governance, records, consistency and training coordination.</x:v>
      </x:c>
      <x:c r="C37" s="19"/>
      <x:c r="D37" s="19"/>
      <x:c r="E37" s="19"/>
      <x:c r="F37" s="19"/>
      <x:c r="G37" s="19"/>
      <x:c r="H37" s="19"/>
    </x:row>
    <x:row r="38" ht="26" customHeight="1">
      <x:c r="A38" s="23" t="str">
        <x:v>6</x:v>
      </x:c>
      <x:c r="B38" s="19" t="str">
        <x:v>Each active position profile should total 100% weight and be reviewed when a machine, product, process or system changes.</x:v>
      </x:c>
      <x:c r="C38" s="19"/>
      <x:c r="D38" s="19"/>
      <x:c r="E38" s="19"/>
      <x:c r="F38" s="19"/>
      <x:c r="G38" s="19"/>
      <x:c r="H38" s="19"/>
    </x:row>
    <x:row r="39" ht="26" customHeight="1">
      <x:c r="A39" s="23" t="str">
        <x:v>7</x:v>
      </x:c>
      <x:c r="B39" s="19" t="str">
        <x:v>Post-training improvement is recorded through a new assessment linked back to the action; the latest record drives current status.</x:v>
      </x:c>
      <x:c r="C39" s="19"/>
      <x:c r="D39" s="19"/>
      <x:c r="E39" s="19"/>
      <x:c r="F39" s="19"/>
      <x:c r="G39" s="19"/>
      <x:c r="H39" s="19"/>
    </x:row>
    <x:row r="40" ht="26" customHeight="1">
      <x:c r="A40" s="23" t="str">
        <x:v>8</x:v>
      </x:c>
      <x:c r="B40" s="19" t="str">
        <x:v>Critical skills require a defined minimum competent headcount and at least one named backup wherever practical.</x:v>
      </x:c>
      <x:c r="C40" s="19"/>
      <x:c r="D40" s="19"/>
      <x:c r="E40" s="19"/>
      <x:c r="F40" s="19"/>
      <x:c r="G40" s="19"/>
      <x:c r="H40" s="19"/>
    </x:row>
    <x:row r="42" ht="24" customHeight="1">
      <x:c r="A42" s="18" t="str">
        <x:v>5. WORKBOOK MAP AND SOURCE OF TRUTH</x:v>
      </x:c>
      <x:c r="B42" s="18"/>
      <x:c r="C42" s="18"/>
      <x:c r="D42" s="18"/>
      <x:c r="E42" s="18"/>
      <x:c r="F42" s="18"/>
      <x:c r="G42" s="18"/>
      <x:c r="H42" s="18"/>
    </x:row>
    <x:row r="43" ht="34" customHeight="1">
      <x:c r="A43" s="13" t="str">
        <x:v>Sheet</x:v>
      </x:c>
      <x:c r="B43" s="13" t="str">
        <x:v>Purpose</x:v>
      </x:c>
      <x:c r="C43" s="13" t="str">
        <x:v>Primary Owner</x:v>
      </x:c>
      <x:c r="D43" s="13" t="str">
        <x:v>Source of Truth?</x:v>
      </x:c>
    </x:row>
    <x:row r="44" ht="38" customHeight="1">
      <x:c r="A44" s="19" t="str">
        <x:v>01 Staff Master</x:v>
      </x:c>
      <x:c r="B44" s="19" t="str">
        <x:v>Active staff, position and reporting data</x:v>
      </x:c>
      <x:c r="C44" s="19" t="str">
        <x:v>HR</x:v>
      </x:c>
      <x:c r="D44" s="19" t="str">
        <x:v>Yes</x:v>
      </x:c>
    </x:row>
    <x:row r="45" ht="38" customHeight="1">
      <x:c r="A45" s="19" t="str">
        <x:v>02 Skill Catalogue</x:v>
      </x:c>
      <x:c r="B45" s="19" t="str">
        <x:v>Controlled competency definitions and evidence</x:v>
      </x:c>
      <x:c r="C45" s="19" t="str">
        <x:v>HOD + HR</x:v>
      </x:c>
      <x:c r="D45" s="19" t="str">
        <x:v>Yes</x:v>
      </x:c>
    </x:row>
    <x:row r="46" ht="38" customHeight="1">
      <x:c r="A46" s="19" t="str">
        <x:v>03 Position Requirements</x:v>
      </x:c>
      <x:c r="B46" s="19" t="str">
        <x:v>Required skill/level by department, position and tier</x:v>
      </x:c>
      <x:c r="C46" s="19" t="str">
        <x:v>HOD</x:v>
      </x:c>
      <x:c r="D46" s="19" t="str">
        <x:v>Yes</x:v>
      </x:c>
    </x:row>
    <x:row r="47" ht="38" customHeight="1">
      <x:c r="A47" s="19" t="str">
        <x:v>04 Assessment Log</x:v>
      </x:c>
      <x:c r="B47" s="19" t="str">
        <x:v>Historical skill scores and verification</x:v>
      </x:c>
      <x:c r="C47" s="19" t="str">
        <x:v>Assessor + HOD</x:v>
      </x:c>
      <x:c r="D47" s="19" t="str">
        <x:v>Yes</x:v>
      </x:c>
    </x:row>
    <x:row r="48" ht="38" customHeight="1">
      <x:c r="A48" s="19" t="str">
        <x:v>05 Development Actions</x:v>
      </x:c>
      <x:c r="B48" s="19" t="str">
        <x:v>Gap-closure action, trainer, owner and date</x:v>
      </x:c>
      <x:c r="C48" s="19" t="str">
        <x:v>HOD + HR</x:v>
      </x:c>
      <x:c r="D48" s="19" t="str">
        <x:v>Yes</x:v>
      </x:c>
    </x:row>
    <x:row r="49" ht="38" customHeight="1">
      <x:c r="A49" s="19" t="str">
        <x:v>06 Training Register</x:v>
      </x:c>
      <x:c r="B49" s="19" t="str">
        <x:v>Controlled training event, delivery, schedule, cost and completion</x:v>
      </x:c>
      <x:c r="C49" s="19" t="str">
        <x:v>HR + HOD</x:v>
      </x:c>
      <x:c r="D49" s="19" t="str">
        <x:v>Yes</x:v>
      </x:c>
    </x:row>
    <x:row r="50" ht="38" customHeight="1">
      <x:c r="A50" s="19" t="str">
        <x:v>07 HOD-HR Dashboard</x:v>
      </x:c>
      <x:c r="B50" s="19" t="str">
        <x:v>Monthly governance and decision view</x:v>
      </x:c>
      <x:c r="C50" s="19" t="str">
        <x:v>HR</x:v>
      </x:c>
      <x:c r="D50" s="19" t="str">
        <x:v>Calculated</x:v>
      </x:c>
    </x:row>
    <x:row r="51" ht="38" customHeight="1">
      <x:c r="A51" s="19" t="str">
        <x:v>08 HOD Matrix Template</x:v>
      </x:c>
      <x:c r="B51" s="19" t="str">
        <x:v>Optional batch evaluation worksheet/print form</x:v>
      </x:c>
      <x:c r="C51" s="19" t="str">
        <x:v>HOD</x:v>
      </x:c>
      <x:c r="D51" s="19" t="str">
        <x:v>No — transfer verified results to Assessment Log</x:v>
      </x:c>
    </x:row>
    <x:row r="52" ht="38" customHeight="1">
      <x:c r="A52" s="19" t="str">
        <x:v>09 Critical Skill Coverage</x:v>
      </x:c>
      <x:c r="B52" s="19" t="str">
        <x:v>Single-point dependency and backup plan</x:v>
      </x:c>
      <x:c r="C52" s="19" t="str">
        <x:v>HOD + HR</x:v>
      </x:c>
      <x:c r="D52" s="19" t="str">
        <x:v>Yes</x:v>
      </x:c>
    </x:row>
    <x:row r="54" ht="24" customHeight="1">
      <x:c r="A54" s="77" t="str">
        <x:v>TRAINING &amp; SKILL CLOSED LOOP</x:v>
      </x:c>
      <x:c r="B54" s="77"/>
      <x:c r="C54" s="77"/>
      <x:c r="D54" s="77"/>
      <x:c r="E54" s="77"/>
      <x:c r="F54" s="77"/>
      <x:c r="G54" s="77"/>
      <x:c r="H54" s="77"/>
    </x:row>
    <x:row r="55" ht="38" customHeight="1">
      <x:c r="A55" s="83" t="str">
        <x:v>Step</x:v>
      </x:c>
      <x:c r="B55" s="83" t="str">
        <x:v>Record</x:v>
      </x:c>
      <x:c r="C55" s="83" t="str">
        <x:v>Accountable Owner</x:v>
      </x:c>
      <x:c r="D55" s="83" t="str">
        <x:v>Control / Decision</x:v>
      </x:c>
      <x:c r="E55" s="83" t="str">
        <x:v>Required Evidence</x:v>
      </x:c>
    </x:row>
    <x:row r="56">
      <x:c r="A56" s="15" t="n">
        <x:v>1</x:v>
      </x:c>
      <x:c r="B56" s="15" t="str">
        <x:v>Skill requirement &amp; individual skill record</x:v>
      </x:c>
      <x:c r="C56" s="15" t="str">
        <x:v>HOD + HR</x:v>
      </x:c>
      <x:c r="D56" s="15" t="str">
        <x:v>Position requirement is active and each required staff-skill row exists</x:v>
      </x:c>
      <x:c r="E56" s="15" t="str">
        <x:v>Approved required level and owner</x:v>
      </x:c>
    </x:row>
    <x:row r="57">
      <x:c r="A57" s="15" t="n">
        <x:v>2</x:v>
      </x:c>
      <x:c r="B57" s="15" t="str">
        <x:v>Assessment</x:v>
      </x:c>
      <x:c r="C57" s="15" t="str">
        <x:v>Qualified Assessor</x:v>
      </x:c>
      <x:c r="D57" s="15" t="str">
        <x:v>Observe/test against the skill evidence standard</x:v>
      </x:c>
      <x:c r="E57" s="15" t="str">
        <x:v>Verified assessed level and next due date</x:v>
      </x:c>
    </x:row>
    <x:row r="58">
      <x:c r="A58" s="15" t="n">
        <x:v>3</x:v>
      </x:c>
      <x:c r="B58" s="15" t="str">
        <x:v>Development action</x:v>
      </x:c>
      <x:c r="C58" s="15" t="str">
        <x:v>HOD</x:v>
      </x:c>
      <x:c r="D58" s="15" t="str">
        <x:v>Choose containment, OJT, coaching, course, rotation or other action</x:v>
      </x:c>
      <x:c r="E58" s="15" t="str">
        <x:v>Owner, due date, target level and success evidence</x:v>
      </x:c>
    </x:row>
    <x:row r="59">
      <x:c r="A59" s="15" t="n">
        <x:v>4</x:v>
      </x:c>
      <x:c r="B59" s="15" t="str">
        <x:v>Training request &amp; approval</x:v>
      </x:c>
      <x:c r="C59" s="15" t="str">
        <x:v>HOD + HR + Approver</x:v>
      </x:c>
      <x:c r="D59" s="15" t="str">
        <x:v>Approve only when the business/skill need and expected result are clear</x:v>
      </x:c>
      <x:c r="E59" s="15" t="str">
        <x:v>Approved request, budget and Training ID</x:v>
      </x:c>
    </x:row>
    <x:row r="60">
      <x:c r="A60" s="15" t="n">
        <x:v>5</x:v>
      </x:c>
      <x:c r="B60" s="15" t="str">
        <x:v>Attendance, learning test &amp; participant evaluation</x:v>
      </x:c>
      <x:c r="C60" s="15" t="str">
        <x:v>Trainer + Staff + HR</x:v>
      </x:c>
      <x:c r="D60" s="15" t="str">
        <x:v>Capture attendance, hours, pre/post test and evaluation after every training</x:v>
      </x:c>
      <x:c r="E60" s="15" t="str">
        <x:v>Participant record, result, certificate and completed evaluation</x:v>
      </x:c>
    </x:row>
    <x:row r="61">
      <x:c r="A61" s="15" t="n">
        <x:v>6</x:v>
      </x:c>
      <x:c r="B61" s="15" t="str">
        <x:v>30/60/90-day effectiveness review</x:v>
      </x:c>
      <x:c r="C61" s="15" t="str">
        <x:v>Supervisor / HOD</x:v>
      </x:c>
      <x:c r="D61" s="15" t="str">
        <x:v>Check whether learning is applied and improves work</x:v>
      </x:c>
      <x:c r="E61" s="15" t="str">
        <x:v>Behavior/KPI evidence and effectiveness outcome</x:v>
      </x:c>
    </x:row>
    <x:row r="62">
      <x:c r="A62" s="15" t="n">
        <x:v>7</x:v>
      </x:c>
      <x:c r="B62" s="15" t="str">
        <x:v>Post-training reassessment</x:v>
      </x:c>
      <x:c r="C62" s="15" t="str">
        <x:v>Independent / Qualified Assessor</x:v>
      </x:c>
      <x:c r="D62" s="15" t="str">
        <x:v>Reassess the skill using the same approved standard</x:v>
      </x:c>
      <x:c r="E62" s="15" t="str">
        <x:v>New verified assessment linked to the effectiveness review</x:v>
      </x:c>
    </x:row>
    <x:row r="63">
      <x:c r="A63" s="15" t="n">
        <x:v>8</x:v>
      </x:c>
      <x:c r="B63" s="15" t="str">
        <x:v>Update score and close / continue</x:v>
      </x:c>
      <x:c r="C63" s="15" t="str">
        <x:v>HOD + HR</x:v>
      </x:c>
      <x:c r="D63" s="15" t="str">
        <x:v>Close only if target level and effectiveness evidence are achieved</x:v>
      </x:c>
      <x:c r="E63" s="15" t="str">
        <x:v>Updated staff passport; further action if not effective</x:v>
      </x:c>
    </x:row>
    <x:row r="66" ht="24" customHeight="1">
      <x:c r="A66" s="77" t="str">
        <x:v>NEW TRAINING PLATFORM MODULES</x:v>
      </x:c>
      <x:c r="B66" s="77"/>
      <x:c r="C66" s="77"/>
      <x:c r="D66" s="77"/>
      <x:c r="E66" s="77"/>
      <x:c r="F66" s="77"/>
      <x:c r="G66" s="77"/>
      <x:c r="H66" s="77"/>
    </x:row>
    <x:row r="67" ht="38" customHeight="1">
      <x:c r="A67" s="83" t="str">
        <x:v>Sheet</x:v>
      </x:c>
      <x:c r="B67" s="83" t="str">
        <x:v>Purpose</x:v>
      </x:c>
      <x:c r="C67" s="83" t="str">
        <x:v>Primary Owner</x:v>
      </x:c>
      <x:c r="D67" s="83" t="str">
        <x:v>Review Rhythm</x:v>
      </x:c>
    </x:row>
    <x:row r="68">
      <x:c r="A68" s="15" t="str">
        <x:v>10 Training Requests</x:v>
      </x:c>
      <x:c r="B68" s="15" t="str">
        <x:v>Need, approval, budget and link to scheduled training</x:v>
      </x:c>
      <x:c r="C68" s="15" t="str">
        <x:v>HOD + HR</x:v>
      </x:c>
      <x:c r="D68" s="15" t="str">
        <x:v>Weekly</x:v>
      </x:c>
    </x:row>
    <x:row r="69">
      <x:c r="A69" s="15" t="str">
        <x:v>11 Training Attendance</x:v>
      </x:c>
      <x:c r="B69" s="15" t="str">
        <x:v>Participant attendance, hours, tests, certificate and due dates</x:v>
      </x:c>
      <x:c r="C69" s="15" t="str">
        <x:v>HR / Training Coordinator</x:v>
      </x:c>
      <x:c r="D69" s="15" t="str">
        <x:v>After each training</x:v>
      </x:c>
    </x:row>
    <x:row r="70">
      <x:c r="A70" s="15" t="str">
        <x:v>12 Training Evaluation</x:v>
      </x:c>
      <x:c r="B70" s="15" t="str">
        <x:v>Participant rating, learning application and support required</x:v>
      </x:c>
      <x:c r="C70" s="15" t="str">
        <x:v>Participant + HR</x:v>
      </x:c>
      <x:c r="D70" s="15" t="str">
        <x:v>Within 3 days</x:v>
      </x:c>
    </x:row>
    <x:row r="71">
      <x:c r="A71" s="15" t="str">
        <x:v>13 Effectiveness Review</x:v>
      </x:c>
      <x:c r="B71" s="15" t="str">
        <x:v>30/60/90-day application, impact and linked reassessment</x:v>
      </x:c>
      <x:c r="C71" s="15" t="str">
        <x:v>Supervisor / HOD</x:v>
      </x:c>
      <x:c r="D71" s="15" t="str">
        <x:v>At due date</x:v>
      </x:c>
    </x:row>
    <x:row r="72">
      <x:c r="A72" s="15" t="str">
        <x:v>14 Employee Skill Register</x:v>
      </x:c>
      <x:c r="B72" s="15" t="str">
        <x:v>One row per staff × required skill; current individual skill matrix</x:v>
      </x:c>
      <x:c r="C72" s="15" t="str">
        <x:v>HOD + HR</x:v>
      </x:c>
      <x:c r="D72" s="15" t="str">
        <x:v>Monthly / on change</x:v>
      </x:c>
    </x:row>
    <x:row r="73">
      <x:c r="A73" s="15" t="str">
        <x:v>15 Staff Training Passport</x:v>
      </x:c>
      <x:c r="B73" s="15" t="str">
        <x:v>Selectable one-person skill and training record</x:v>
      </x:c>
      <x:c r="C73" s="15" t="str">
        <x:v>HOD + HR</x:v>
      </x:c>
      <x:c r="D73" s="15" t="str">
        <x:v>Appraisal / development</x:v>
      </x:c>
    </x:row>
    <x:row r="74">
      <x:c r="A74" s="15" t="str">
        <x:v>16 Training Form Pack</x:v>
      </x:c>
      <x:c r="B74" s="15" t="str">
        <x:v>Printable request, evaluation and effectiveness forms</x:v>
      </x:c>
      <x:c r="C74" s="15" t="str">
        <x:v>HR</x:v>
      </x:c>
      <x:c r="D74" s="15" t="str">
        <x:v>As needed</x:v>
      </x:c>
    </x:row>
  </x:sheetData>
  <x:mergeCells>
    <x:mergeCell ref="A1:H1"/>
    <x:mergeCell ref="A2:H2"/>
    <x:mergeCell ref="A4:H4"/>
    <x:mergeCell ref="A14:H14"/>
    <x:mergeCell ref="A23:H23"/>
    <x:mergeCell ref="A32:H32"/>
    <x:mergeCell ref="B33:H33"/>
    <x:mergeCell ref="B34:H34"/>
    <x:mergeCell ref="B35:H35"/>
    <x:mergeCell ref="B36:H36"/>
    <x:mergeCell ref="B37:H37"/>
    <x:mergeCell ref="B38:H38"/>
    <x:mergeCell ref="B39:H39"/>
    <x:mergeCell ref="B40:H40"/>
    <x:mergeCell ref="A42:H42"/>
    <x:mergeCell ref="A54:H54"/>
    <x:mergeCell ref="A66:H6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8" hidden="0" customWidth="1"/>
    <x:col min="5" max="5" width="34" hidden="0" customWidth="1"/>
    <x:col min="6" max="6" width="24" hidden="0" customWidth="1"/>
    <x:col min="7" max="7" width="12" hidden="0" customWidth="1"/>
    <x:col min="8" max="8" width="22" hidden="0" customWidth="1"/>
    <x:col min="9" max="9" width="14" hidden="0" customWidth="1"/>
    <x:col min="10" max="10" width="20" hidden="0" customWidth="1"/>
    <x:col min="11" max="11" width="12" hidden="0" customWidth="1"/>
    <x:col min="12" max="12" width="18" hidden="0" customWidth="1"/>
    <x:col min="13" max="13" width="22" hidden="0" customWidth="1"/>
  </x:cols>
  <x:sheetData>
    <x:row r="1" ht="30" customHeight="1">
      <x:c r="A1" s="3" t="str">
        <x:v>01 — Staff Master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6" customHeight="1">
      <x:c r="A2" s="7" t="str">
        <x:v>Yellow cells are user inputs. Keep Staff ID unique. Position names must match 03 Position Requirements exactly.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5" ht="34" customHeight="1">
      <x:c r="A5" s="13" t="str">
        <x:v>Staff ID</x:v>
      </x:c>
      <x:c r="B5" s="13" t="str">
        <x:v>Staff Name</x:v>
      </x:c>
      <x:c r="C5" s="13" t="str">
        <x:v>Department</x:v>
      </x:c>
      <x:c r="D5" s="13" t="str">
        <x:v>Section / Line</x:v>
      </x:c>
      <x:c r="E5" s="13" t="str">
        <x:v>Position</x:v>
      </x:c>
      <x:c r="F5" s="13" t="str">
        <x:v>Tier</x:v>
      </x:c>
      <x:c r="G5" s="13" t="str">
        <x:v>Shift</x:v>
      </x:c>
      <x:c r="H5" s="13" t="str">
        <x:v>Manager</x:v>
      </x:c>
      <x:c r="I5" s="13" t="str">
        <x:v>Hire Date</x:v>
      </x:c>
      <x:c r="J5" s="13" t="str">
        <x:v>Employment Type</x:v>
      </x:c>
      <x:c r="K5" s="13" t="str">
        <x:v>Active?</x:v>
      </x:c>
      <x:c r="L5" s="13" t="str">
        <x:v>Required Skills Count</x:v>
      </x:c>
      <x:c r="M5" s="13" t="str">
        <x:v>Profile Readiness</x:v>
      </x:c>
    </x:row>
    <x:row r="6">
      <x:c r="A6" s="24"/>
      <x:c r="B6" s="24"/>
      <x:c r="C6" s="24"/>
      <x:c r="D6" s="24"/>
      <x:c r="E6" s="24"/>
      <x:c r="F6" s="24"/>
      <x:c r="G6" s="24"/>
      <x:c r="H6" s="24"/>
      <x:c r="I6" s="26"/>
      <x:c r="J6" s="24"/>
      <x:c r="K6" s="24"/>
      <x:c r="L6" s="25" t="str">
        <x:f>IF(A6="","",COUNTIFS('03 Position Requirements'!$B$6:$B$285,C6,'03 Position Requirements'!$C$6:$C$285,E6,'03 Position Requirements'!$M$6:$M$285,"Yes"))</x:f>
      </x:c>
      <x:c r="M6" s="25" t="str">
        <x:f>IF(A6="","",IF(K6&lt;&gt;"Yes","Inactive",IF(L6=0,"Missing Position Profile","Ready")))</x:f>
      </x:c>
    </x:row>
    <x:row r="7">
      <x:c r="A7" s="24"/>
      <x:c r="B7" s="24"/>
      <x:c r="C7" s="24"/>
      <x:c r="D7" s="24"/>
      <x:c r="E7" s="24"/>
      <x:c r="F7" s="24"/>
      <x:c r="G7" s="24"/>
      <x:c r="H7" s="24"/>
      <x:c r="I7" s="26"/>
      <x:c r="J7" s="24"/>
      <x:c r="K7" s="24"/>
      <x:c r="L7" s="25" t="str">
        <x:f>IF(A7="","",COUNTIFS('03 Position Requirements'!$B$6:$B$285,C7,'03 Position Requirements'!$C$6:$C$285,E7,'03 Position Requirements'!$M$6:$M$285,"Yes"))</x:f>
      </x:c>
      <x:c r="M7" s="25" t="str">
        <x:f>IF(A7="","",IF(K7&lt;&gt;"Yes","Inactive",IF(L7=0,"Missing Position Profile","Ready")))</x:f>
      </x:c>
    </x:row>
    <x:row r="8">
      <x:c r="A8" s="24"/>
      <x:c r="B8" s="24"/>
      <x:c r="C8" s="24"/>
      <x:c r="D8" s="24"/>
      <x:c r="E8" s="24"/>
      <x:c r="F8" s="24"/>
      <x:c r="G8" s="24"/>
      <x:c r="H8" s="24"/>
      <x:c r="I8" s="26"/>
      <x:c r="J8" s="24"/>
      <x:c r="K8" s="24"/>
      <x:c r="L8" s="25" t="str">
        <x:f>IF(A8="","",COUNTIFS('03 Position Requirements'!$B$6:$B$285,C8,'03 Position Requirements'!$C$6:$C$285,E8,'03 Position Requirements'!$M$6:$M$285,"Yes"))</x:f>
      </x:c>
      <x:c r="M8" s="25" t="str">
        <x:f>IF(A8="","",IF(K8&lt;&gt;"Yes","Inactive",IF(L8=0,"Missing Position Profile","Ready")))</x:f>
      </x:c>
    </x:row>
    <x:row r="9">
      <x:c r="A9" s="24"/>
      <x:c r="B9" s="24"/>
      <x:c r="C9" s="24"/>
      <x:c r="D9" s="24"/>
      <x:c r="E9" s="24"/>
      <x:c r="F9" s="24"/>
      <x:c r="G9" s="24"/>
      <x:c r="H9" s="24"/>
      <x:c r="I9" s="26"/>
      <x:c r="J9" s="24"/>
      <x:c r="K9" s="24"/>
      <x:c r="L9" s="25" t="str">
        <x:f>IF(A9="","",COUNTIFS('03 Position Requirements'!$B$6:$B$285,C9,'03 Position Requirements'!$C$6:$C$285,E9,'03 Position Requirements'!$M$6:$M$285,"Yes"))</x:f>
      </x:c>
      <x:c r="M9" s="25" t="str">
        <x:f>IF(A9="","",IF(K9&lt;&gt;"Yes","Inactive",IF(L9=0,"Missing Position Profile","Ready")))</x:f>
      </x:c>
    </x:row>
    <x:row r="10">
      <x:c r="A10" s="24"/>
      <x:c r="B10" s="24"/>
      <x:c r="C10" s="24"/>
      <x:c r="D10" s="24"/>
      <x:c r="E10" s="24"/>
      <x:c r="F10" s="24"/>
      <x:c r="G10" s="24"/>
      <x:c r="H10" s="24"/>
      <x:c r="I10" s="26"/>
      <x:c r="J10" s="24"/>
      <x:c r="K10" s="24"/>
      <x:c r="L10" s="25" t="str">
        <x:f>IF(A10="","",COUNTIFS('03 Position Requirements'!$B$6:$B$285,C10,'03 Position Requirements'!$C$6:$C$285,E10,'03 Position Requirements'!$M$6:$M$285,"Yes"))</x:f>
      </x:c>
      <x:c r="M10" s="25" t="str">
        <x:f>IF(A10="","",IF(K10&lt;&gt;"Yes","Inactive",IF(L10=0,"Missing Position Profile","Ready")))</x:f>
      </x:c>
    </x:row>
    <x:row r="11">
      <x:c r="A11" s="24"/>
      <x:c r="B11" s="24"/>
      <x:c r="C11" s="24"/>
      <x:c r="D11" s="24"/>
      <x:c r="E11" s="24"/>
      <x:c r="F11" s="24"/>
      <x:c r="G11" s="24"/>
      <x:c r="H11" s="24"/>
      <x:c r="I11" s="26"/>
      <x:c r="J11" s="24"/>
      <x:c r="K11" s="24"/>
      <x:c r="L11" s="25" t="str">
        <x:f>IF(A11="","",COUNTIFS('03 Position Requirements'!$B$6:$B$285,C11,'03 Position Requirements'!$C$6:$C$285,E11,'03 Position Requirements'!$M$6:$M$285,"Yes"))</x:f>
      </x:c>
      <x:c r="M11" s="25" t="str">
        <x:f>IF(A11="","",IF(K11&lt;&gt;"Yes","Inactive",IF(L11=0,"Missing Position Profile","Ready")))</x:f>
      </x:c>
    </x:row>
    <x:row r="12">
      <x:c r="A12" s="24"/>
      <x:c r="B12" s="24"/>
      <x:c r="C12" s="24"/>
      <x:c r="D12" s="24"/>
      <x:c r="E12" s="24"/>
      <x:c r="F12" s="24"/>
      <x:c r="G12" s="24"/>
      <x:c r="H12" s="24"/>
      <x:c r="I12" s="26"/>
      <x:c r="J12" s="24"/>
      <x:c r="K12" s="24"/>
      <x:c r="L12" s="25" t="str">
        <x:f>IF(A12="","",COUNTIFS('03 Position Requirements'!$B$6:$B$285,C12,'03 Position Requirements'!$C$6:$C$285,E12,'03 Position Requirements'!$M$6:$M$285,"Yes"))</x:f>
      </x:c>
      <x:c r="M12" s="25" t="str">
        <x:f>IF(A12="","",IF(K12&lt;&gt;"Yes","Inactive",IF(L12=0,"Missing Position Profile","Ready")))</x:f>
      </x:c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6"/>
      <x:c r="J13" s="24"/>
      <x:c r="K13" s="24"/>
      <x:c r="L13" s="25" t="str">
        <x:f>IF(A13="","",COUNTIFS('03 Position Requirements'!$B$6:$B$285,C13,'03 Position Requirements'!$C$6:$C$285,E13,'03 Position Requirements'!$M$6:$M$285,"Yes"))</x:f>
      </x:c>
      <x:c r="M13" s="25" t="str">
        <x:f>IF(A13="","",IF(K13&lt;&gt;"Yes","Inactive",IF(L13=0,"Missing Position Profile","Ready")))</x:f>
      </x:c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6"/>
      <x:c r="J14" s="24"/>
      <x:c r="K14" s="24"/>
      <x:c r="L14" s="25" t="str">
        <x:f>IF(A14="","",COUNTIFS('03 Position Requirements'!$B$6:$B$285,C14,'03 Position Requirements'!$C$6:$C$285,E14,'03 Position Requirements'!$M$6:$M$285,"Yes"))</x:f>
      </x:c>
      <x:c r="M14" s="25" t="str">
        <x:f>IF(A14="","",IF(K14&lt;&gt;"Yes","Inactive",IF(L14=0,"Missing Position Profile","Ready")))</x:f>
      </x:c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6"/>
      <x:c r="J15" s="24"/>
      <x:c r="K15" s="24"/>
      <x:c r="L15" s="25" t="str">
        <x:f>IF(A15="","",COUNTIFS('03 Position Requirements'!$B$6:$B$285,C15,'03 Position Requirements'!$C$6:$C$285,E15,'03 Position Requirements'!$M$6:$M$285,"Yes"))</x:f>
      </x:c>
      <x:c r="M15" s="25" t="str">
        <x:f>IF(A15="","",IF(K15&lt;&gt;"Yes","Inactive",IF(L15=0,"Missing Position Profile","Ready")))</x:f>
      </x:c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6"/>
      <x:c r="J16" s="24"/>
      <x:c r="K16" s="24"/>
      <x:c r="L16" s="25" t="str">
        <x:f>IF(A16="","",COUNTIFS('03 Position Requirements'!$B$6:$B$285,C16,'03 Position Requirements'!$C$6:$C$285,E16,'03 Position Requirements'!$M$6:$M$285,"Yes"))</x:f>
      </x:c>
      <x:c r="M16" s="25" t="str">
        <x:f>IF(A16="","",IF(K16&lt;&gt;"Yes","Inactive",IF(L16=0,"Missing Position Profile","Ready")))</x:f>
      </x:c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6"/>
      <x:c r="J17" s="24"/>
      <x:c r="K17" s="24"/>
      <x:c r="L17" s="25" t="str">
        <x:f>IF(A17="","",COUNTIFS('03 Position Requirements'!$B$6:$B$285,C17,'03 Position Requirements'!$C$6:$C$285,E17,'03 Position Requirements'!$M$6:$M$285,"Yes"))</x:f>
      </x:c>
      <x:c r="M17" s="25" t="str">
        <x:f>IF(A17="","",IF(K17&lt;&gt;"Yes","Inactive",IF(L17=0,"Missing Position Profile","Ready")))</x:f>
      </x:c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6"/>
      <x:c r="J18" s="24"/>
      <x:c r="K18" s="24"/>
      <x:c r="L18" s="25" t="str">
        <x:f>IF(A18="","",COUNTIFS('03 Position Requirements'!$B$6:$B$285,C18,'03 Position Requirements'!$C$6:$C$285,E18,'03 Position Requirements'!$M$6:$M$285,"Yes"))</x:f>
      </x:c>
      <x:c r="M18" s="25" t="str">
        <x:f>IF(A18="","",IF(K18&lt;&gt;"Yes","Inactive",IF(L18=0,"Missing Position Profile","Ready")))</x:f>
      </x:c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6"/>
      <x:c r="J19" s="24"/>
      <x:c r="K19" s="24"/>
      <x:c r="L19" s="25" t="str">
        <x:f>IF(A19="","",COUNTIFS('03 Position Requirements'!$B$6:$B$285,C19,'03 Position Requirements'!$C$6:$C$285,E19,'03 Position Requirements'!$M$6:$M$285,"Yes"))</x:f>
      </x:c>
      <x:c r="M19" s="25" t="str">
        <x:f>IF(A19="","",IF(K19&lt;&gt;"Yes","Inactive",IF(L19=0,"Missing Position Profile","Ready")))</x:f>
      </x:c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6"/>
      <x:c r="J20" s="24"/>
      <x:c r="K20" s="24"/>
      <x:c r="L20" s="25" t="str">
        <x:f>IF(A20="","",COUNTIFS('03 Position Requirements'!$B$6:$B$285,C20,'03 Position Requirements'!$C$6:$C$285,E20,'03 Position Requirements'!$M$6:$M$285,"Yes"))</x:f>
      </x:c>
      <x:c r="M20" s="25" t="str">
        <x:f>IF(A20="","",IF(K20&lt;&gt;"Yes","Inactive",IF(L20=0,"Missing Position Profile","Ready")))</x:f>
      </x:c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6"/>
      <x:c r="J21" s="24"/>
      <x:c r="K21" s="24"/>
      <x:c r="L21" s="25" t="str">
        <x:f>IF(A21="","",COUNTIFS('03 Position Requirements'!$B$6:$B$285,C21,'03 Position Requirements'!$C$6:$C$285,E21,'03 Position Requirements'!$M$6:$M$285,"Yes"))</x:f>
      </x:c>
      <x:c r="M21" s="25" t="str">
        <x:f>IF(A21="","",IF(K21&lt;&gt;"Yes","Inactive",IF(L21=0,"Missing Position Profile","Ready")))</x:f>
      </x:c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6"/>
      <x:c r="J22" s="24"/>
      <x:c r="K22" s="24"/>
      <x:c r="L22" s="25" t="str">
        <x:f>IF(A22="","",COUNTIFS('03 Position Requirements'!$B$6:$B$285,C22,'03 Position Requirements'!$C$6:$C$285,E22,'03 Position Requirements'!$M$6:$M$285,"Yes"))</x:f>
      </x:c>
      <x:c r="M22" s="25" t="str">
        <x:f>IF(A22="","",IF(K22&lt;&gt;"Yes","Inactive",IF(L22=0,"Missing Position Profile","Ready")))</x:f>
      </x:c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6"/>
      <x:c r="J23" s="24"/>
      <x:c r="K23" s="24"/>
      <x:c r="L23" s="25" t="str">
        <x:f>IF(A23="","",COUNTIFS('03 Position Requirements'!$B$6:$B$285,C23,'03 Position Requirements'!$C$6:$C$285,E23,'03 Position Requirements'!$M$6:$M$285,"Yes"))</x:f>
      </x:c>
      <x:c r="M23" s="25" t="str">
        <x:f>IF(A23="","",IF(K23&lt;&gt;"Yes","Inactive",IF(L23=0,"Missing Position Profile","Ready")))</x:f>
      </x:c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6"/>
      <x:c r="J24" s="24"/>
      <x:c r="K24" s="24"/>
      <x:c r="L24" s="25" t="str">
        <x:f>IF(A24="","",COUNTIFS('03 Position Requirements'!$B$6:$B$285,C24,'03 Position Requirements'!$C$6:$C$285,E24,'03 Position Requirements'!$M$6:$M$285,"Yes"))</x:f>
      </x:c>
      <x:c r="M24" s="25" t="str">
        <x:f>IF(A24="","",IF(K24&lt;&gt;"Yes","Inactive",IF(L24=0,"Missing Position Profile","Ready")))</x:f>
      </x:c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6"/>
      <x:c r="J25" s="24"/>
      <x:c r="K25" s="24"/>
      <x:c r="L25" s="25" t="str">
        <x:f>IF(A25="","",COUNTIFS('03 Position Requirements'!$B$6:$B$285,C25,'03 Position Requirements'!$C$6:$C$285,E25,'03 Position Requirements'!$M$6:$M$285,"Yes"))</x:f>
      </x:c>
      <x:c r="M25" s="25" t="str">
        <x:f>IF(A25="","",IF(K25&lt;&gt;"Yes","Inactive",IF(L25=0,"Missing Position Profile","Ready")))</x:f>
      </x:c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6"/>
      <x:c r="J26" s="24"/>
      <x:c r="K26" s="24"/>
      <x:c r="L26" s="25" t="str">
        <x:f>IF(A26="","",COUNTIFS('03 Position Requirements'!$B$6:$B$285,C26,'03 Position Requirements'!$C$6:$C$285,E26,'03 Position Requirements'!$M$6:$M$285,"Yes"))</x:f>
      </x:c>
      <x:c r="M26" s="25" t="str">
        <x:f>IF(A26="","",IF(K26&lt;&gt;"Yes","Inactive",IF(L26=0,"Missing Position Profile","Ready")))</x:f>
      </x:c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6"/>
      <x:c r="J27" s="24"/>
      <x:c r="K27" s="24"/>
      <x:c r="L27" s="25" t="str">
        <x:f>IF(A27="","",COUNTIFS('03 Position Requirements'!$B$6:$B$285,C27,'03 Position Requirements'!$C$6:$C$285,E27,'03 Position Requirements'!$M$6:$M$285,"Yes"))</x:f>
      </x:c>
      <x:c r="M27" s="25" t="str">
        <x:f>IF(A27="","",IF(K27&lt;&gt;"Yes","Inactive",IF(L27=0,"Missing Position Profile","Ready")))</x:f>
      </x:c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6"/>
      <x:c r="J28" s="24"/>
      <x:c r="K28" s="24"/>
      <x:c r="L28" s="25" t="str">
        <x:f>IF(A28="","",COUNTIFS('03 Position Requirements'!$B$6:$B$285,C28,'03 Position Requirements'!$C$6:$C$285,E28,'03 Position Requirements'!$M$6:$M$285,"Yes"))</x:f>
      </x:c>
      <x:c r="M28" s="25" t="str">
        <x:f>IF(A28="","",IF(K28&lt;&gt;"Yes","Inactive",IF(L28=0,"Missing Position Profile","Ready")))</x:f>
      </x:c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6"/>
      <x:c r="J29" s="24"/>
      <x:c r="K29" s="24"/>
      <x:c r="L29" s="25" t="str">
        <x:f>IF(A29="","",COUNTIFS('03 Position Requirements'!$B$6:$B$285,C29,'03 Position Requirements'!$C$6:$C$285,E29,'03 Position Requirements'!$M$6:$M$285,"Yes"))</x:f>
      </x:c>
      <x:c r="M29" s="25" t="str">
        <x:f>IF(A29="","",IF(K29&lt;&gt;"Yes","Inactive",IF(L29=0,"Missing Position Profile","Ready")))</x:f>
      </x:c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6"/>
      <x:c r="J30" s="24"/>
      <x:c r="K30" s="24"/>
      <x:c r="L30" s="25" t="str">
        <x:f>IF(A30="","",COUNTIFS('03 Position Requirements'!$B$6:$B$285,C30,'03 Position Requirements'!$C$6:$C$285,E30,'03 Position Requirements'!$M$6:$M$285,"Yes"))</x:f>
      </x:c>
      <x:c r="M30" s="25" t="str">
        <x:f>IF(A30="","",IF(K30&lt;&gt;"Yes","Inactive",IF(L30=0,"Missing Position Profile","Ready")))</x:f>
      </x:c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6"/>
      <x:c r="J31" s="24"/>
      <x:c r="K31" s="24"/>
      <x:c r="L31" s="25" t="str">
        <x:f>IF(A31="","",COUNTIFS('03 Position Requirements'!$B$6:$B$285,C31,'03 Position Requirements'!$C$6:$C$285,E31,'03 Position Requirements'!$M$6:$M$285,"Yes"))</x:f>
      </x:c>
      <x:c r="M31" s="25" t="str">
        <x:f>IF(A31="","",IF(K31&lt;&gt;"Yes","Inactive",IF(L31=0,"Missing Position Profile","Ready")))</x:f>
      </x:c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6"/>
      <x:c r="J32" s="24"/>
      <x:c r="K32" s="24"/>
      <x:c r="L32" s="25" t="str">
        <x:f>IF(A32="","",COUNTIFS('03 Position Requirements'!$B$6:$B$285,C32,'03 Position Requirements'!$C$6:$C$285,E32,'03 Position Requirements'!$M$6:$M$285,"Yes"))</x:f>
      </x:c>
      <x:c r="M32" s="25" t="str">
        <x:f>IF(A32="","",IF(K32&lt;&gt;"Yes","Inactive",IF(L32=0,"Missing Position Profile","Ready")))</x:f>
      </x:c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6"/>
      <x:c r="J33" s="24"/>
      <x:c r="K33" s="24"/>
      <x:c r="L33" s="25" t="str">
        <x:f>IF(A33="","",COUNTIFS('03 Position Requirements'!$B$6:$B$285,C33,'03 Position Requirements'!$C$6:$C$285,E33,'03 Position Requirements'!$M$6:$M$285,"Yes"))</x:f>
      </x:c>
      <x:c r="M33" s="25" t="str">
        <x:f>IF(A33="","",IF(K33&lt;&gt;"Yes","Inactive",IF(L33=0,"Missing Position Profile","Ready")))</x:f>
      </x:c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6"/>
      <x:c r="J34" s="24"/>
      <x:c r="K34" s="24"/>
      <x:c r="L34" s="25" t="str">
        <x:f>IF(A34="","",COUNTIFS('03 Position Requirements'!$B$6:$B$285,C34,'03 Position Requirements'!$C$6:$C$285,E34,'03 Position Requirements'!$M$6:$M$285,"Yes"))</x:f>
      </x:c>
      <x:c r="M34" s="25" t="str">
        <x:f>IF(A34="","",IF(K34&lt;&gt;"Yes","Inactive",IF(L34=0,"Missing Position Profile","Ready")))</x:f>
      </x:c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6"/>
      <x:c r="J35" s="24"/>
      <x:c r="K35" s="24"/>
      <x:c r="L35" s="25" t="str">
        <x:f>IF(A35="","",COUNTIFS('03 Position Requirements'!$B$6:$B$285,C35,'03 Position Requirements'!$C$6:$C$285,E35,'03 Position Requirements'!$M$6:$M$285,"Yes"))</x:f>
      </x:c>
      <x:c r="M35" s="25" t="str">
        <x:f>IF(A35="","",IF(K35&lt;&gt;"Yes","Inactive",IF(L35=0,"Missing Position Profile","Ready")))</x:f>
      </x:c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6"/>
      <x:c r="J36" s="24"/>
      <x:c r="K36" s="24"/>
      <x:c r="L36" s="25" t="str">
        <x:f>IF(A36="","",COUNTIFS('03 Position Requirements'!$B$6:$B$285,C36,'03 Position Requirements'!$C$6:$C$285,E36,'03 Position Requirements'!$M$6:$M$285,"Yes"))</x:f>
      </x:c>
      <x:c r="M36" s="25" t="str">
        <x:f>IF(A36="","",IF(K36&lt;&gt;"Yes","Inactive",IF(L36=0,"Missing Position Profile","Ready")))</x:f>
      </x:c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6"/>
      <x:c r="J37" s="24"/>
      <x:c r="K37" s="24"/>
      <x:c r="L37" s="25" t="str">
        <x:f>IF(A37="","",COUNTIFS('03 Position Requirements'!$B$6:$B$285,C37,'03 Position Requirements'!$C$6:$C$285,E37,'03 Position Requirements'!$M$6:$M$285,"Yes"))</x:f>
      </x:c>
      <x:c r="M37" s="25" t="str">
        <x:f>IF(A37="","",IF(K37&lt;&gt;"Yes","Inactive",IF(L37=0,"Missing Position Profile","Ready")))</x:f>
      </x:c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6"/>
      <x:c r="J38" s="24"/>
      <x:c r="K38" s="24"/>
      <x:c r="L38" s="25" t="str">
        <x:f>IF(A38="","",COUNTIFS('03 Position Requirements'!$B$6:$B$285,C38,'03 Position Requirements'!$C$6:$C$285,E38,'03 Position Requirements'!$M$6:$M$285,"Yes"))</x:f>
      </x:c>
      <x:c r="M38" s="25" t="str">
        <x:f>IF(A38="","",IF(K38&lt;&gt;"Yes","Inactive",IF(L38=0,"Missing Position Profile","Ready")))</x:f>
      </x:c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6"/>
      <x:c r="J39" s="24"/>
      <x:c r="K39" s="24"/>
      <x:c r="L39" s="25" t="str">
        <x:f>IF(A39="","",COUNTIFS('03 Position Requirements'!$B$6:$B$285,C39,'03 Position Requirements'!$C$6:$C$285,E39,'03 Position Requirements'!$M$6:$M$285,"Yes"))</x:f>
      </x:c>
      <x:c r="M39" s="25" t="str">
        <x:f>IF(A39="","",IF(K39&lt;&gt;"Yes","Inactive",IF(L39=0,"Missing Position Profile","Ready")))</x:f>
      </x:c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6"/>
      <x:c r="J40" s="24"/>
      <x:c r="K40" s="24"/>
      <x:c r="L40" s="25" t="str">
        <x:f>IF(A40="","",COUNTIFS('03 Position Requirements'!$B$6:$B$285,C40,'03 Position Requirements'!$C$6:$C$285,E40,'03 Position Requirements'!$M$6:$M$285,"Yes"))</x:f>
      </x:c>
      <x:c r="M40" s="25" t="str">
        <x:f>IF(A40="","",IF(K40&lt;&gt;"Yes","Inactive",IF(L40=0,"Missing Position Profile","Ready")))</x:f>
      </x:c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6"/>
      <x:c r="J41" s="24"/>
      <x:c r="K41" s="24"/>
      <x:c r="L41" s="25" t="str">
        <x:f>IF(A41="","",COUNTIFS('03 Position Requirements'!$B$6:$B$285,C41,'03 Position Requirements'!$C$6:$C$285,E41,'03 Position Requirements'!$M$6:$M$285,"Yes"))</x:f>
      </x:c>
      <x:c r="M41" s="25" t="str">
        <x:f>IF(A41="","",IF(K41&lt;&gt;"Yes","Inactive",IF(L41=0,"Missing Position Profile","Ready")))</x:f>
      </x:c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6"/>
      <x:c r="J42" s="24"/>
      <x:c r="K42" s="24"/>
      <x:c r="L42" s="25" t="str">
        <x:f>IF(A42="","",COUNTIFS('03 Position Requirements'!$B$6:$B$285,C42,'03 Position Requirements'!$C$6:$C$285,E42,'03 Position Requirements'!$M$6:$M$285,"Yes"))</x:f>
      </x:c>
      <x:c r="M42" s="25" t="str">
        <x:f>IF(A42="","",IF(K42&lt;&gt;"Yes","Inactive",IF(L42=0,"Missing Position Profile","Ready")))</x:f>
      </x:c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6"/>
      <x:c r="J43" s="24"/>
      <x:c r="K43" s="24"/>
      <x:c r="L43" s="25" t="str">
        <x:f>IF(A43="","",COUNTIFS('03 Position Requirements'!$B$6:$B$285,C43,'03 Position Requirements'!$C$6:$C$285,E43,'03 Position Requirements'!$M$6:$M$285,"Yes"))</x:f>
      </x:c>
      <x:c r="M43" s="25" t="str">
        <x:f>IF(A43="","",IF(K43&lt;&gt;"Yes","Inactive",IF(L43=0,"Missing Position Profile","Ready")))</x:f>
      </x:c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6"/>
      <x:c r="J44" s="24"/>
      <x:c r="K44" s="24"/>
      <x:c r="L44" s="25" t="str">
        <x:f>IF(A44="","",COUNTIFS('03 Position Requirements'!$B$6:$B$285,C44,'03 Position Requirements'!$C$6:$C$285,E44,'03 Position Requirements'!$M$6:$M$285,"Yes"))</x:f>
      </x:c>
      <x:c r="M44" s="25" t="str">
        <x:f>IF(A44="","",IF(K44&lt;&gt;"Yes","Inactive",IF(L44=0,"Missing Position Profile","Ready")))</x:f>
      </x:c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6"/>
      <x:c r="J45" s="24"/>
      <x:c r="K45" s="24"/>
      <x:c r="L45" s="25" t="str">
        <x:f>IF(A45="","",COUNTIFS('03 Position Requirements'!$B$6:$B$285,C45,'03 Position Requirements'!$C$6:$C$285,E45,'03 Position Requirements'!$M$6:$M$285,"Yes"))</x:f>
      </x:c>
      <x:c r="M45" s="25" t="str">
        <x:f>IF(A45="","",IF(K45&lt;&gt;"Yes","Inactive",IF(L45=0,"Missing Position Profile","Ready")))</x:f>
      </x:c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6"/>
      <x:c r="J46" s="24"/>
      <x:c r="K46" s="24"/>
      <x:c r="L46" s="25" t="str">
        <x:f>IF(A46="","",COUNTIFS('03 Position Requirements'!$B$6:$B$285,C46,'03 Position Requirements'!$C$6:$C$285,E46,'03 Position Requirements'!$M$6:$M$285,"Yes"))</x:f>
      </x:c>
      <x:c r="M46" s="25" t="str">
        <x:f>IF(A46="","",IF(K46&lt;&gt;"Yes","Inactive",IF(L46=0,"Missing Position Profile","Ready")))</x:f>
      </x:c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6"/>
      <x:c r="J47" s="24"/>
      <x:c r="K47" s="24"/>
      <x:c r="L47" s="25" t="str">
        <x:f>IF(A47="","",COUNTIFS('03 Position Requirements'!$B$6:$B$285,C47,'03 Position Requirements'!$C$6:$C$285,E47,'03 Position Requirements'!$M$6:$M$285,"Yes"))</x:f>
      </x:c>
      <x:c r="M47" s="25" t="str">
        <x:f>IF(A47="","",IF(K47&lt;&gt;"Yes","Inactive",IF(L47=0,"Missing Position Profile","Ready")))</x:f>
      </x:c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6"/>
      <x:c r="J48" s="24"/>
      <x:c r="K48" s="24"/>
      <x:c r="L48" s="25" t="str">
        <x:f>IF(A48="","",COUNTIFS('03 Position Requirements'!$B$6:$B$285,C48,'03 Position Requirements'!$C$6:$C$285,E48,'03 Position Requirements'!$M$6:$M$285,"Yes"))</x:f>
      </x:c>
      <x:c r="M48" s="25" t="str">
        <x:f>IF(A48="","",IF(K48&lt;&gt;"Yes","Inactive",IF(L48=0,"Missing Position Profile","Ready")))</x:f>
      </x:c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6"/>
      <x:c r="J49" s="24"/>
      <x:c r="K49" s="24"/>
      <x:c r="L49" s="25" t="str">
        <x:f>IF(A49="","",COUNTIFS('03 Position Requirements'!$B$6:$B$285,C49,'03 Position Requirements'!$C$6:$C$285,E49,'03 Position Requirements'!$M$6:$M$285,"Yes"))</x:f>
      </x:c>
      <x:c r="M49" s="25" t="str">
        <x:f>IF(A49="","",IF(K49&lt;&gt;"Yes","Inactive",IF(L49=0,"Missing Position Profile","Ready")))</x:f>
      </x:c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6"/>
      <x:c r="J50" s="24"/>
      <x:c r="K50" s="24"/>
      <x:c r="L50" s="25" t="str">
        <x:f>IF(A50="","",COUNTIFS('03 Position Requirements'!$B$6:$B$285,C50,'03 Position Requirements'!$C$6:$C$285,E50,'03 Position Requirements'!$M$6:$M$285,"Yes"))</x:f>
      </x:c>
      <x:c r="M50" s="25" t="str">
        <x:f>IF(A50="","",IF(K50&lt;&gt;"Yes","Inactive",IF(L50=0,"Missing Position Profile","Ready")))</x:f>
      </x:c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6"/>
      <x:c r="J51" s="24"/>
      <x:c r="K51" s="24"/>
      <x:c r="L51" s="25" t="str">
        <x:f>IF(A51="","",COUNTIFS('03 Position Requirements'!$B$6:$B$285,C51,'03 Position Requirements'!$C$6:$C$285,E51,'03 Position Requirements'!$M$6:$M$285,"Yes"))</x:f>
      </x:c>
      <x:c r="M51" s="25" t="str">
        <x:f>IF(A51="","",IF(K51&lt;&gt;"Yes","Inactive",IF(L51=0,"Missing Position Profile","Ready")))</x:f>
      </x:c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6"/>
      <x:c r="J52" s="24"/>
      <x:c r="K52" s="24"/>
      <x:c r="L52" s="25" t="str">
        <x:f>IF(A52="","",COUNTIFS('03 Position Requirements'!$B$6:$B$285,C52,'03 Position Requirements'!$C$6:$C$285,E52,'03 Position Requirements'!$M$6:$M$285,"Yes"))</x:f>
      </x:c>
      <x:c r="M52" s="25" t="str">
        <x:f>IF(A52="","",IF(K52&lt;&gt;"Yes","Inactive",IF(L52=0,"Missing Position Profile","Ready")))</x:f>
      </x:c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6"/>
      <x:c r="J53" s="24"/>
      <x:c r="K53" s="24"/>
      <x:c r="L53" s="25" t="str">
        <x:f>IF(A53="","",COUNTIFS('03 Position Requirements'!$B$6:$B$285,C53,'03 Position Requirements'!$C$6:$C$285,E53,'03 Position Requirements'!$M$6:$M$285,"Yes"))</x:f>
      </x:c>
      <x:c r="M53" s="25" t="str">
        <x:f>IF(A53="","",IF(K53&lt;&gt;"Yes","Inactive",IF(L53=0,"Missing Position Profile","Ready")))</x:f>
      </x:c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6"/>
      <x:c r="J54" s="24"/>
      <x:c r="K54" s="24"/>
      <x:c r="L54" s="25" t="str">
        <x:f>IF(A54="","",COUNTIFS('03 Position Requirements'!$B$6:$B$285,C54,'03 Position Requirements'!$C$6:$C$285,E54,'03 Position Requirements'!$M$6:$M$285,"Yes"))</x:f>
      </x:c>
      <x:c r="M54" s="25" t="str">
        <x:f>IF(A54="","",IF(K54&lt;&gt;"Yes","Inactive",IF(L54=0,"Missing Position Profile","Ready")))</x:f>
      </x:c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6"/>
      <x:c r="J55" s="24"/>
      <x:c r="K55" s="24"/>
      <x:c r="L55" s="25" t="str">
        <x:f>IF(A55="","",COUNTIFS('03 Position Requirements'!$B$6:$B$285,C55,'03 Position Requirements'!$C$6:$C$285,E55,'03 Position Requirements'!$M$6:$M$285,"Yes"))</x:f>
      </x:c>
      <x:c r="M55" s="25" t="str">
        <x:f>IF(A55="","",IF(K55&lt;&gt;"Yes","Inactive",IF(L55=0,"Missing Position Profile","Ready")))</x:f>
      </x:c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6"/>
      <x:c r="J56" s="24"/>
      <x:c r="K56" s="24"/>
      <x:c r="L56" s="25" t="str">
        <x:f>IF(A56="","",COUNTIFS('03 Position Requirements'!$B$6:$B$285,C56,'03 Position Requirements'!$C$6:$C$285,E56,'03 Position Requirements'!$M$6:$M$285,"Yes"))</x:f>
      </x:c>
      <x:c r="M56" s="25" t="str">
        <x:f>IF(A56="","",IF(K56&lt;&gt;"Yes","Inactive",IF(L56=0,"Missing Position Profile","Ready")))</x:f>
      </x:c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6"/>
      <x:c r="J57" s="24"/>
      <x:c r="K57" s="24"/>
      <x:c r="L57" s="25" t="str">
        <x:f>IF(A57="","",COUNTIFS('03 Position Requirements'!$B$6:$B$285,C57,'03 Position Requirements'!$C$6:$C$285,E57,'03 Position Requirements'!$M$6:$M$285,"Yes"))</x:f>
      </x:c>
      <x:c r="M57" s="25" t="str">
        <x:f>IF(A57="","",IF(K57&lt;&gt;"Yes","Inactive",IF(L57=0,"Missing Position Profile","Ready")))</x:f>
      </x:c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6"/>
      <x:c r="J58" s="24"/>
      <x:c r="K58" s="24"/>
      <x:c r="L58" s="25" t="str">
        <x:f>IF(A58="","",COUNTIFS('03 Position Requirements'!$B$6:$B$285,C58,'03 Position Requirements'!$C$6:$C$285,E58,'03 Position Requirements'!$M$6:$M$285,"Yes"))</x:f>
      </x:c>
      <x:c r="M58" s="25" t="str">
        <x:f>IF(A58="","",IF(K58&lt;&gt;"Yes","Inactive",IF(L58=0,"Missing Position Profile","Ready")))</x:f>
      </x:c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6"/>
      <x:c r="J59" s="24"/>
      <x:c r="K59" s="24"/>
      <x:c r="L59" s="25" t="str">
        <x:f>IF(A59="","",COUNTIFS('03 Position Requirements'!$B$6:$B$285,C59,'03 Position Requirements'!$C$6:$C$285,E59,'03 Position Requirements'!$M$6:$M$285,"Yes"))</x:f>
      </x:c>
      <x:c r="M59" s="25" t="str">
        <x:f>IF(A59="","",IF(K59&lt;&gt;"Yes","Inactive",IF(L59=0,"Missing Position Profile","Ready")))</x:f>
      </x:c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6"/>
      <x:c r="J60" s="24"/>
      <x:c r="K60" s="24"/>
      <x:c r="L60" s="25" t="str">
        <x:f>IF(A60="","",COUNTIFS('03 Position Requirements'!$B$6:$B$285,C60,'03 Position Requirements'!$C$6:$C$285,E60,'03 Position Requirements'!$M$6:$M$285,"Yes"))</x:f>
      </x:c>
      <x:c r="M60" s="25" t="str">
        <x:f>IF(A60="","",IF(K60&lt;&gt;"Yes","Inactive",IF(L60=0,"Missing Position Profile","Ready")))</x:f>
      </x:c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6"/>
      <x:c r="J61" s="24"/>
      <x:c r="K61" s="24"/>
      <x:c r="L61" s="25" t="str">
        <x:f>IF(A61="","",COUNTIFS('03 Position Requirements'!$B$6:$B$285,C61,'03 Position Requirements'!$C$6:$C$285,E61,'03 Position Requirements'!$M$6:$M$285,"Yes"))</x:f>
      </x:c>
      <x:c r="M61" s="25" t="str">
        <x:f>IF(A61="","",IF(K61&lt;&gt;"Yes","Inactive",IF(L61=0,"Missing Position Profile","Ready")))</x:f>
      </x:c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6"/>
      <x:c r="J62" s="24"/>
      <x:c r="K62" s="24"/>
      <x:c r="L62" s="25" t="str">
        <x:f>IF(A62="","",COUNTIFS('03 Position Requirements'!$B$6:$B$285,C62,'03 Position Requirements'!$C$6:$C$285,E62,'03 Position Requirements'!$M$6:$M$285,"Yes"))</x:f>
      </x:c>
      <x:c r="M62" s="25" t="str">
        <x:f>IF(A62="","",IF(K62&lt;&gt;"Yes","Inactive",IF(L62=0,"Missing Position Profile","Ready")))</x:f>
      </x:c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6"/>
      <x:c r="J63" s="24"/>
      <x:c r="K63" s="24"/>
      <x:c r="L63" s="25" t="str">
        <x:f>IF(A63="","",COUNTIFS('03 Position Requirements'!$B$6:$B$285,C63,'03 Position Requirements'!$C$6:$C$285,E63,'03 Position Requirements'!$M$6:$M$285,"Yes"))</x:f>
      </x:c>
      <x:c r="M63" s="25" t="str">
        <x:f>IF(A63="","",IF(K63&lt;&gt;"Yes","Inactive",IF(L63=0,"Missing Position Profile","Ready")))</x:f>
      </x:c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6"/>
      <x:c r="J64" s="24"/>
      <x:c r="K64" s="24"/>
      <x:c r="L64" s="25" t="str">
        <x:f>IF(A64="","",COUNTIFS('03 Position Requirements'!$B$6:$B$285,C64,'03 Position Requirements'!$C$6:$C$285,E64,'03 Position Requirements'!$M$6:$M$285,"Yes"))</x:f>
      </x:c>
      <x:c r="M64" s="25" t="str">
        <x:f>IF(A64="","",IF(K64&lt;&gt;"Yes","Inactive",IF(L64=0,"Missing Position Profile","Ready")))</x:f>
      </x:c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6"/>
      <x:c r="J65" s="24"/>
      <x:c r="K65" s="24"/>
      <x:c r="L65" s="25" t="str">
        <x:f>IF(A65="","",COUNTIFS('03 Position Requirements'!$B$6:$B$285,C65,'03 Position Requirements'!$C$6:$C$285,E65,'03 Position Requirements'!$M$6:$M$285,"Yes"))</x:f>
      </x:c>
      <x:c r="M65" s="25" t="str">
        <x:f>IF(A65="","",IF(K65&lt;&gt;"Yes","Inactive",IF(L65=0,"Missing Position Profile","Ready")))</x:f>
      </x:c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6"/>
      <x:c r="J66" s="24"/>
      <x:c r="K66" s="24"/>
      <x:c r="L66" s="25" t="str">
        <x:f>IF(A66="","",COUNTIFS('03 Position Requirements'!$B$6:$B$285,C66,'03 Position Requirements'!$C$6:$C$285,E66,'03 Position Requirements'!$M$6:$M$285,"Yes"))</x:f>
      </x:c>
      <x:c r="M66" s="25" t="str">
        <x:f>IF(A66="","",IF(K66&lt;&gt;"Yes","Inactive",IF(L66=0,"Missing Position Profile","Ready")))</x:f>
      </x:c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6"/>
      <x:c r="J67" s="24"/>
      <x:c r="K67" s="24"/>
      <x:c r="L67" s="25" t="str">
        <x:f>IF(A67="","",COUNTIFS('03 Position Requirements'!$B$6:$B$285,C67,'03 Position Requirements'!$C$6:$C$285,E67,'03 Position Requirements'!$M$6:$M$285,"Yes"))</x:f>
      </x:c>
      <x:c r="M67" s="25" t="str">
        <x:f>IF(A67="","",IF(K67&lt;&gt;"Yes","Inactive",IF(L67=0,"Missing Position Profile","Ready")))</x:f>
      </x:c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6"/>
      <x:c r="J68" s="24"/>
      <x:c r="K68" s="24"/>
      <x:c r="L68" s="25" t="str">
        <x:f>IF(A68="","",COUNTIFS('03 Position Requirements'!$B$6:$B$285,C68,'03 Position Requirements'!$C$6:$C$285,E68,'03 Position Requirements'!$M$6:$M$285,"Yes"))</x:f>
      </x:c>
      <x:c r="M68" s="25" t="str">
        <x:f>IF(A68="","",IF(K68&lt;&gt;"Yes","Inactive",IF(L68=0,"Missing Position Profile","Ready")))</x:f>
      </x:c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6"/>
      <x:c r="J69" s="24"/>
      <x:c r="K69" s="24"/>
      <x:c r="L69" s="25" t="str">
        <x:f>IF(A69="","",COUNTIFS('03 Position Requirements'!$B$6:$B$285,C69,'03 Position Requirements'!$C$6:$C$285,E69,'03 Position Requirements'!$M$6:$M$285,"Yes"))</x:f>
      </x:c>
      <x:c r="M69" s="25" t="str">
        <x:f>IF(A69="","",IF(K69&lt;&gt;"Yes","Inactive",IF(L69=0,"Missing Position Profile","Ready")))</x:f>
      </x:c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6"/>
      <x:c r="J70" s="24"/>
      <x:c r="K70" s="24"/>
      <x:c r="L70" s="25" t="str">
        <x:f>IF(A70="","",COUNTIFS('03 Position Requirements'!$B$6:$B$285,C70,'03 Position Requirements'!$C$6:$C$285,E70,'03 Position Requirements'!$M$6:$M$285,"Yes"))</x:f>
      </x:c>
      <x:c r="M70" s="25" t="str">
        <x:f>IF(A70="","",IF(K70&lt;&gt;"Yes","Inactive",IF(L70=0,"Missing Position Profile","Ready")))</x:f>
      </x:c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6"/>
      <x:c r="J71" s="24"/>
      <x:c r="K71" s="24"/>
      <x:c r="L71" s="25" t="str">
        <x:f>IF(A71="","",COUNTIFS('03 Position Requirements'!$B$6:$B$285,C71,'03 Position Requirements'!$C$6:$C$285,E71,'03 Position Requirements'!$M$6:$M$285,"Yes"))</x:f>
      </x:c>
      <x:c r="M71" s="25" t="str">
        <x:f>IF(A71="","",IF(K71&lt;&gt;"Yes","Inactive",IF(L71=0,"Missing Position Profile","Ready")))</x:f>
      </x:c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6"/>
      <x:c r="J72" s="24"/>
      <x:c r="K72" s="24"/>
      <x:c r="L72" s="25" t="str">
        <x:f>IF(A72="","",COUNTIFS('03 Position Requirements'!$B$6:$B$285,C72,'03 Position Requirements'!$C$6:$C$285,E72,'03 Position Requirements'!$M$6:$M$285,"Yes"))</x:f>
      </x:c>
      <x:c r="M72" s="25" t="str">
        <x:f>IF(A72="","",IF(K72&lt;&gt;"Yes","Inactive",IF(L72=0,"Missing Position Profile","Ready")))</x:f>
      </x:c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6"/>
      <x:c r="J73" s="24"/>
      <x:c r="K73" s="24"/>
      <x:c r="L73" s="25" t="str">
        <x:f>IF(A73="","",COUNTIFS('03 Position Requirements'!$B$6:$B$285,C73,'03 Position Requirements'!$C$6:$C$285,E73,'03 Position Requirements'!$M$6:$M$285,"Yes"))</x:f>
      </x:c>
      <x:c r="M73" s="25" t="str">
        <x:f>IF(A73="","",IF(K73&lt;&gt;"Yes","Inactive",IF(L73=0,"Missing Position Profile","Ready")))</x:f>
      </x:c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6"/>
      <x:c r="J74" s="24"/>
      <x:c r="K74" s="24"/>
      <x:c r="L74" s="25" t="str">
        <x:f>IF(A74="","",COUNTIFS('03 Position Requirements'!$B$6:$B$285,C74,'03 Position Requirements'!$C$6:$C$285,E74,'03 Position Requirements'!$M$6:$M$285,"Yes"))</x:f>
      </x:c>
      <x:c r="M74" s="25" t="str">
        <x:f>IF(A74="","",IF(K74&lt;&gt;"Yes","Inactive",IF(L74=0,"Missing Position Profile","Ready")))</x:f>
      </x:c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6"/>
      <x:c r="J75" s="24"/>
      <x:c r="K75" s="24"/>
      <x:c r="L75" s="25" t="str">
        <x:f>IF(A75="","",COUNTIFS('03 Position Requirements'!$B$6:$B$285,C75,'03 Position Requirements'!$C$6:$C$285,E75,'03 Position Requirements'!$M$6:$M$285,"Yes"))</x:f>
      </x:c>
      <x:c r="M75" s="25" t="str">
        <x:f>IF(A75="","",IF(K75&lt;&gt;"Yes","Inactive",IF(L75=0,"Missing Position Profile","Ready")))</x:f>
      </x:c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6"/>
      <x:c r="J76" s="24"/>
      <x:c r="K76" s="24"/>
      <x:c r="L76" s="25" t="str">
        <x:f>IF(A76="","",COUNTIFS('03 Position Requirements'!$B$6:$B$285,C76,'03 Position Requirements'!$C$6:$C$285,E76,'03 Position Requirements'!$M$6:$M$285,"Yes"))</x:f>
      </x:c>
      <x:c r="M76" s="25" t="str">
        <x:f>IF(A76="","",IF(K76&lt;&gt;"Yes","Inactive",IF(L76=0,"Missing Position Profile","Ready")))</x:f>
      </x:c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6"/>
      <x:c r="J77" s="24"/>
      <x:c r="K77" s="24"/>
      <x:c r="L77" s="25" t="str">
        <x:f>IF(A77="","",COUNTIFS('03 Position Requirements'!$B$6:$B$285,C77,'03 Position Requirements'!$C$6:$C$285,E77,'03 Position Requirements'!$M$6:$M$285,"Yes"))</x:f>
      </x:c>
      <x:c r="M77" s="25" t="str">
        <x:f>IF(A77="","",IF(K77&lt;&gt;"Yes","Inactive",IF(L77=0,"Missing Position Profile","Ready")))</x:f>
      </x:c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6"/>
      <x:c r="J78" s="24"/>
      <x:c r="K78" s="24"/>
      <x:c r="L78" s="25" t="str">
        <x:f>IF(A78="","",COUNTIFS('03 Position Requirements'!$B$6:$B$285,C78,'03 Position Requirements'!$C$6:$C$285,E78,'03 Position Requirements'!$M$6:$M$285,"Yes"))</x:f>
      </x:c>
      <x:c r="M78" s="25" t="str">
        <x:f>IF(A78="","",IF(K78&lt;&gt;"Yes","Inactive",IF(L78=0,"Missing Position Profile","Ready")))</x:f>
      </x:c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6"/>
      <x:c r="J79" s="24"/>
      <x:c r="K79" s="24"/>
      <x:c r="L79" s="25" t="str">
        <x:f>IF(A79="","",COUNTIFS('03 Position Requirements'!$B$6:$B$285,C79,'03 Position Requirements'!$C$6:$C$285,E79,'03 Position Requirements'!$M$6:$M$285,"Yes"))</x:f>
      </x:c>
      <x:c r="M79" s="25" t="str">
        <x:f>IF(A79="","",IF(K79&lt;&gt;"Yes","Inactive",IF(L79=0,"Missing Position Profile","Ready")))</x:f>
      </x:c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6"/>
      <x:c r="J80" s="24"/>
      <x:c r="K80" s="24"/>
      <x:c r="L80" s="25" t="str">
        <x:f>IF(A80="","",COUNTIFS('03 Position Requirements'!$B$6:$B$285,C80,'03 Position Requirements'!$C$6:$C$285,E80,'03 Position Requirements'!$M$6:$M$285,"Yes"))</x:f>
      </x:c>
      <x:c r="M80" s="25" t="str">
        <x:f>IF(A80="","",IF(K80&lt;&gt;"Yes","Inactive",IF(L80=0,"Missing Position Profile","Ready")))</x:f>
      </x:c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6"/>
      <x:c r="J81" s="24"/>
      <x:c r="K81" s="24"/>
      <x:c r="L81" s="25" t="str">
        <x:f>IF(A81="","",COUNTIFS('03 Position Requirements'!$B$6:$B$285,C81,'03 Position Requirements'!$C$6:$C$285,E81,'03 Position Requirements'!$M$6:$M$285,"Yes"))</x:f>
      </x:c>
      <x:c r="M81" s="25" t="str">
        <x:f>IF(A81="","",IF(K81&lt;&gt;"Yes","Inactive",IF(L81=0,"Missing Position Profile","Ready")))</x:f>
      </x:c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6"/>
      <x:c r="J82" s="24"/>
      <x:c r="K82" s="24"/>
      <x:c r="L82" s="25" t="str">
        <x:f>IF(A82="","",COUNTIFS('03 Position Requirements'!$B$6:$B$285,C82,'03 Position Requirements'!$C$6:$C$285,E82,'03 Position Requirements'!$M$6:$M$285,"Yes"))</x:f>
      </x:c>
      <x:c r="M82" s="25" t="str">
        <x:f>IF(A82="","",IF(K82&lt;&gt;"Yes","Inactive",IF(L82=0,"Missing Position Profile","Ready")))</x:f>
      </x:c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6"/>
      <x:c r="J83" s="24"/>
      <x:c r="K83" s="24"/>
      <x:c r="L83" s="25" t="str">
        <x:f>IF(A83="","",COUNTIFS('03 Position Requirements'!$B$6:$B$285,C83,'03 Position Requirements'!$C$6:$C$285,E83,'03 Position Requirements'!$M$6:$M$285,"Yes"))</x:f>
      </x:c>
      <x:c r="M83" s="25" t="str">
        <x:f>IF(A83="","",IF(K83&lt;&gt;"Yes","Inactive",IF(L83=0,"Missing Position Profile","Ready")))</x:f>
      </x:c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6"/>
      <x:c r="J84" s="24"/>
      <x:c r="K84" s="24"/>
      <x:c r="L84" s="25" t="str">
        <x:f>IF(A84="","",COUNTIFS('03 Position Requirements'!$B$6:$B$285,C84,'03 Position Requirements'!$C$6:$C$285,E84,'03 Position Requirements'!$M$6:$M$285,"Yes"))</x:f>
      </x:c>
      <x:c r="M84" s="25" t="str">
        <x:f>IF(A84="","",IF(K84&lt;&gt;"Yes","Inactive",IF(L84=0,"Missing Position Profile","Ready")))</x:f>
      </x:c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6"/>
      <x:c r="J85" s="24"/>
      <x:c r="K85" s="24"/>
      <x:c r="L85" s="25" t="str">
        <x:f>IF(A85="","",COUNTIFS('03 Position Requirements'!$B$6:$B$285,C85,'03 Position Requirements'!$C$6:$C$285,E85,'03 Position Requirements'!$M$6:$M$285,"Yes"))</x:f>
      </x:c>
      <x:c r="M85" s="25" t="str">
        <x:f>IF(A85="","",IF(K85&lt;&gt;"Yes","Inactive",IF(L85=0,"Missing Position Profile","Ready")))</x:f>
      </x:c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6"/>
      <x:c r="J86" s="24"/>
      <x:c r="K86" s="24"/>
      <x:c r="L86" s="25" t="str">
        <x:f>IF(A86="","",COUNTIFS('03 Position Requirements'!$B$6:$B$285,C86,'03 Position Requirements'!$C$6:$C$285,E86,'03 Position Requirements'!$M$6:$M$285,"Yes"))</x:f>
      </x:c>
      <x:c r="M86" s="25" t="str">
        <x:f>IF(A86="","",IF(K86&lt;&gt;"Yes","Inactive",IF(L86=0,"Missing Position Profile","Ready")))</x:f>
      </x:c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6"/>
      <x:c r="J87" s="24"/>
      <x:c r="K87" s="24"/>
      <x:c r="L87" s="25" t="str">
        <x:f>IF(A87="","",COUNTIFS('03 Position Requirements'!$B$6:$B$285,C87,'03 Position Requirements'!$C$6:$C$285,E87,'03 Position Requirements'!$M$6:$M$285,"Yes"))</x:f>
      </x:c>
      <x:c r="M87" s="25" t="str">
        <x:f>IF(A87="","",IF(K87&lt;&gt;"Yes","Inactive",IF(L87=0,"Missing Position Profile","Ready")))</x:f>
      </x:c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6"/>
      <x:c r="J88" s="24"/>
      <x:c r="K88" s="24"/>
      <x:c r="L88" s="25" t="str">
        <x:f>IF(A88="","",COUNTIFS('03 Position Requirements'!$B$6:$B$285,C88,'03 Position Requirements'!$C$6:$C$285,E88,'03 Position Requirements'!$M$6:$M$285,"Yes"))</x:f>
      </x:c>
      <x:c r="M88" s="25" t="str">
        <x:f>IF(A88="","",IF(K88&lt;&gt;"Yes","Inactive",IF(L88=0,"Missing Position Profile","Ready")))</x:f>
      </x:c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6"/>
      <x:c r="J89" s="24"/>
      <x:c r="K89" s="24"/>
      <x:c r="L89" s="25" t="str">
        <x:f>IF(A89="","",COUNTIFS('03 Position Requirements'!$B$6:$B$285,C89,'03 Position Requirements'!$C$6:$C$285,E89,'03 Position Requirements'!$M$6:$M$285,"Yes"))</x:f>
      </x:c>
      <x:c r="M89" s="25" t="str">
        <x:f>IF(A89="","",IF(K89&lt;&gt;"Yes","Inactive",IF(L89=0,"Missing Position Profile","Ready")))</x:f>
      </x:c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6"/>
      <x:c r="J90" s="24"/>
      <x:c r="K90" s="24"/>
      <x:c r="L90" s="25" t="str">
        <x:f>IF(A90="","",COUNTIFS('03 Position Requirements'!$B$6:$B$285,C90,'03 Position Requirements'!$C$6:$C$285,E90,'03 Position Requirements'!$M$6:$M$285,"Yes"))</x:f>
      </x:c>
      <x:c r="M90" s="25" t="str">
        <x:f>IF(A90="","",IF(K90&lt;&gt;"Yes","Inactive",IF(L90=0,"Missing Position Profile","Ready")))</x:f>
      </x:c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6"/>
      <x:c r="J91" s="24"/>
      <x:c r="K91" s="24"/>
      <x:c r="L91" s="25" t="str">
        <x:f>IF(A91="","",COUNTIFS('03 Position Requirements'!$B$6:$B$285,C91,'03 Position Requirements'!$C$6:$C$285,E91,'03 Position Requirements'!$M$6:$M$285,"Yes"))</x:f>
      </x:c>
      <x:c r="M91" s="25" t="str">
        <x:f>IF(A91="","",IF(K91&lt;&gt;"Yes","Inactive",IF(L91=0,"Missing Position Profile","Ready")))</x:f>
      </x:c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6"/>
      <x:c r="J92" s="24"/>
      <x:c r="K92" s="24"/>
      <x:c r="L92" s="25" t="str">
        <x:f>IF(A92="","",COUNTIFS('03 Position Requirements'!$B$6:$B$285,C92,'03 Position Requirements'!$C$6:$C$285,E92,'03 Position Requirements'!$M$6:$M$285,"Yes"))</x:f>
      </x:c>
      <x:c r="M92" s="25" t="str">
        <x:f>IF(A92="","",IF(K92&lt;&gt;"Yes","Inactive",IF(L92=0,"Missing Position Profile","Ready")))</x:f>
      </x:c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6"/>
      <x:c r="J93" s="24"/>
      <x:c r="K93" s="24"/>
      <x:c r="L93" s="25" t="str">
        <x:f>IF(A93="","",COUNTIFS('03 Position Requirements'!$B$6:$B$285,C93,'03 Position Requirements'!$C$6:$C$285,E93,'03 Position Requirements'!$M$6:$M$285,"Yes"))</x:f>
      </x:c>
      <x:c r="M93" s="25" t="str">
        <x:f>IF(A93="","",IF(K93&lt;&gt;"Yes","Inactive",IF(L93=0,"Missing Position Profile","Ready")))</x:f>
      </x:c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6"/>
      <x:c r="J94" s="24"/>
      <x:c r="K94" s="24"/>
      <x:c r="L94" s="25" t="str">
        <x:f>IF(A94="","",COUNTIFS('03 Position Requirements'!$B$6:$B$285,C94,'03 Position Requirements'!$C$6:$C$285,E94,'03 Position Requirements'!$M$6:$M$285,"Yes"))</x:f>
      </x:c>
      <x:c r="M94" s="25" t="str">
        <x:f>IF(A94="","",IF(K94&lt;&gt;"Yes","Inactive",IF(L94=0,"Missing Position Profile","Ready")))</x:f>
      </x:c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6"/>
      <x:c r="J95" s="24"/>
      <x:c r="K95" s="24"/>
      <x:c r="L95" s="25" t="str">
        <x:f>IF(A95="","",COUNTIFS('03 Position Requirements'!$B$6:$B$285,C95,'03 Position Requirements'!$C$6:$C$285,E95,'03 Position Requirements'!$M$6:$M$285,"Yes"))</x:f>
      </x:c>
      <x:c r="M95" s="25" t="str">
        <x:f>IF(A95="","",IF(K95&lt;&gt;"Yes","Inactive",IF(L95=0,"Missing Position Profile","Ready")))</x:f>
      </x:c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6"/>
      <x:c r="J96" s="24"/>
      <x:c r="K96" s="24"/>
      <x:c r="L96" s="25" t="str">
        <x:f>IF(A96="","",COUNTIFS('03 Position Requirements'!$B$6:$B$285,C96,'03 Position Requirements'!$C$6:$C$285,E96,'03 Position Requirements'!$M$6:$M$285,"Yes"))</x:f>
      </x:c>
      <x:c r="M96" s="25" t="str">
        <x:f>IF(A96="","",IF(K96&lt;&gt;"Yes","Inactive",IF(L96=0,"Missing Position Profile","Ready")))</x:f>
      </x:c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6"/>
      <x:c r="J97" s="24"/>
      <x:c r="K97" s="24"/>
      <x:c r="L97" s="25" t="str">
        <x:f>IF(A97="","",COUNTIFS('03 Position Requirements'!$B$6:$B$285,C97,'03 Position Requirements'!$C$6:$C$285,E97,'03 Position Requirements'!$M$6:$M$285,"Yes"))</x:f>
      </x:c>
      <x:c r="M97" s="25" t="str">
        <x:f>IF(A97="","",IF(K97&lt;&gt;"Yes","Inactive",IF(L97=0,"Missing Position Profile","Ready")))</x:f>
      </x:c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6"/>
      <x:c r="J98" s="24"/>
      <x:c r="K98" s="24"/>
      <x:c r="L98" s="25" t="str">
        <x:f>IF(A98="","",COUNTIFS('03 Position Requirements'!$B$6:$B$285,C98,'03 Position Requirements'!$C$6:$C$285,E98,'03 Position Requirements'!$M$6:$M$285,"Yes"))</x:f>
      </x:c>
      <x:c r="M98" s="25" t="str">
        <x:f>IF(A98="","",IF(K98&lt;&gt;"Yes","Inactive",IF(L98=0,"Missing Position Profile","Ready")))</x:f>
      </x:c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6"/>
      <x:c r="J99" s="24"/>
      <x:c r="K99" s="24"/>
      <x:c r="L99" s="25" t="str">
        <x:f>IF(A99="","",COUNTIFS('03 Position Requirements'!$B$6:$B$285,C99,'03 Position Requirements'!$C$6:$C$285,E99,'03 Position Requirements'!$M$6:$M$285,"Yes"))</x:f>
      </x:c>
      <x:c r="M99" s="25" t="str">
        <x:f>IF(A99="","",IF(K99&lt;&gt;"Yes","Inactive",IF(L99=0,"Missing Position Profile","Ready")))</x:f>
      </x:c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6"/>
      <x:c r="J100" s="24"/>
      <x:c r="K100" s="24"/>
      <x:c r="L100" s="25" t="str">
        <x:f>IF(A100="","",COUNTIFS('03 Position Requirements'!$B$6:$B$285,C100,'03 Position Requirements'!$C$6:$C$285,E100,'03 Position Requirements'!$M$6:$M$285,"Yes"))</x:f>
      </x:c>
      <x:c r="M100" s="25" t="str">
        <x:f>IF(A100="","",IF(K100&lt;&gt;"Yes","Inactive",IF(L100=0,"Missing Position Profile","Ready")))</x:f>
      </x:c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6"/>
      <x:c r="J101" s="24"/>
      <x:c r="K101" s="24"/>
      <x:c r="L101" s="25" t="str">
        <x:f>IF(A101="","",COUNTIFS('03 Position Requirements'!$B$6:$B$285,C101,'03 Position Requirements'!$C$6:$C$285,E101,'03 Position Requirements'!$M$6:$M$285,"Yes"))</x:f>
      </x:c>
      <x:c r="M101" s="25" t="str">
        <x:f>IF(A101="","",IF(K101&lt;&gt;"Yes","Inactive",IF(L101=0,"Missing Position Profile","Ready")))</x:f>
      </x:c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6"/>
      <x:c r="J102" s="24"/>
      <x:c r="K102" s="24"/>
      <x:c r="L102" s="25" t="str">
        <x:f>IF(A102="","",COUNTIFS('03 Position Requirements'!$B$6:$B$285,C102,'03 Position Requirements'!$C$6:$C$285,E102,'03 Position Requirements'!$M$6:$M$285,"Yes"))</x:f>
      </x:c>
      <x:c r="M102" s="25" t="str">
        <x:f>IF(A102="","",IF(K102&lt;&gt;"Yes","Inactive",IF(L102=0,"Missing Position Profile","Ready")))</x:f>
      </x:c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6"/>
      <x:c r="J103" s="24"/>
      <x:c r="K103" s="24"/>
      <x:c r="L103" s="25" t="str">
        <x:f>IF(A103="","",COUNTIFS('03 Position Requirements'!$B$6:$B$285,C103,'03 Position Requirements'!$C$6:$C$285,E103,'03 Position Requirements'!$M$6:$M$285,"Yes"))</x:f>
      </x:c>
      <x:c r="M103" s="25" t="str">
        <x:f>IF(A103="","",IF(K103&lt;&gt;"Yes","Inactive",IF(L103=0,"Missing Position Profile","Ready")))</x:f>
      </x:c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6"/>
      <x:c r="J104" s="24"/>
      <x:c r="K104" s="24"/>
      <x:c r="L104" s="25" t="str">
        <x:f>IF(A104="","",COUNTIFS('03 Position Requirements'!$B$6:$B$285,C104,'03 Position Requirements'!$C$6:$C$285,E104,'03 Position Requirements'!$M$6:$M$285,"Yes"))</x:f>
      </x:c>
      <x:c r="M104" s="25" t="str">
        <x:f>IF(A104="","",IF(K104&lt;&gt;"Yes","Inactive",IF(L104=0,"Missing Position Profile","Ready")))</x:f>
      </x:c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6"/>
      <x:c r="J105" s="24"/>
      <x:c r="K105" s="24"/>
      <x:c r="L105" s="25" t="str">
        <x:f>IF(A105="","",COUNTIFS('03 Position Requirements'!$B$6:$B$285,C105,'03 Position Requirements'!$C$6:$C$285,E105,'03 Position Requirements'!$M$6:$M$285,"Yes"))</x:f>
      </x:c>
      <x:c r="M105" s="25" t="str">
        <x:f>IF(A105="","",IF(K105&lt;&gt;"Yes","Inactive",IF(L105=0,"Missing Position Profile","Ready")))</x:f>
      </x:c>
    </x:row>
  </x:sheetData>
  <x:mergeCells>
    <x:mergeCell ref="A1:M1"/>
    <x:mergeCell ref="A2:M2"/>
  </x:mergeCells>
  <x:conditionalFormatting sqref="M6:M105">
    <x:cfRule type="containsText" dxfId="0" priority="1" operator="containsText" text="Missing"/>
    <x:cfRule type="containsText" dxfId="1" priority="2" operator="containsText" text="Ready"/>
  </x:conditionalFormatting>
  <x:dataValidations count="4">
    <x:dataValidation type="list" sqref="C6:C105">
      <x:formula1>"Production,Engineering,QAC/R&amp;D,Planning,IT,Procurement,Logistics,Sales,Marketing,Finance,HR/Admin"</x:formula1>
    </x:dataValidation>
    <x:dataValidation type="list" sqref="F6:F105">
      <x:formula1>"Leader,Technologist/Executive,Operator/Technician,Inspector,Packer/Assistant,Helper/Trainee"</x:formula1>
    </x:dataValidation>
    <x:dataValidation type="list" sqref="J6:J105">
      <x:formula1>"Permanent,Contract,Foreign Worker,Trainee/Apprentice"</x:formula1>
    </x:dataValidation>
    <x:dataValidation type="list" sqref="K6:K105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3219befb424f8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1" hidden="0" customWidth="1"/>
    <x:col min="4" max="4" width="38" hidden="0" customWidth="1"/>
    <x:col min="5" max="5" width="56" hidden="0" customWidth="1"/>
    <x:col min="6" max="6" width="18" hidden="0" customWidth="1"/>
    <x:col min="7" max="7" width="58" hidden="0" customWidth="1"/>
    <x:col min="8" max="8" width="24" hidden="0" customWidth="1"/>
    <x:col min="9" max="9" width="20" hidden="0" customWidth="1"/>
    <x:col min="10" max="10" width="25" hidden="0" customWidth="1"/>
    <x:col min="11" max="11" width="11" hidden="0" customWidth="1"/>
  </x:cols>
  <x:sheetData>
    <x:row r="1" ht="30" customHeight="1">
      <x:c r="A1" s="3" t="str">
        <x:v>02 — Skill Catalogue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6" customHeight="1">
      <x:c r="A2" s="7" t="str">
        <x:v>Controlled competency definitions. HODs must tailor evidence to actual SBTG machines, products, SOPs and authority limits.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5" ht="34" customHeight="1">
      <x:c r="A5" s="13" t="str">
        <x:v>Skill ID</x:v>
      </x:c>
      <x:c r="B5" s="13" t="str">
        <x:v>Department / Shared</x:v>
      </x:c>
      <x:c r="C5" s="13" t="str">
        <x:v>Category</x:v>
      </x:c>
      <x:c r="D5" s="13" t="str">
        <x:v>Skill / Competency</x:v>
      </x:c>
      <x:c r="E5" s="13" t="str">
        <x:v>Definition / Standard</x:v>
      </x:c>
      <x:c r="F5" s="13" t="str">
        <x:v>Safety or Quality Critical?</x:v>
      </x:c>
      <x:c r="G5" s="13" t="str">
        <x:v>Minimum Evidence Guide</x:v>
      </x:c>
      <x:c r="H5" s="13" t="str">
        <x:v>Default Assessment Method</x:v>
      </x:c>
      <x:c r="I5" s="13" t="str">
        <x:v>Default Reassessment (Months)</x:v>
      </x:c>
      <x:c r="J5" s="13" t="str">
        <x:v>Skill Owner</x:v>
      </x:c>
      <x:c r="K5" s="13" t="str">
        <x:v>Active?</x:v>
      </x:c>
    </x:row>
    <x:row r="6" ht="42" customHeight="1">
      <x:c r="A6" s="24" t="str">
        <x:v>CORE-SAF-001</x:v>
      </x:c>
      <x:c r="B6" s="24" t="str">
        <x:v>Shared</x:v>
      </x:c>
      <x:c r="C6" s="24" t="str">
        <x:v>Safety</x:v>
      </x:c>
      <x:c r="D6" s="27" t="str">
        <x:v>Safe work, PPE and hazard control</x:v>
      </x:c>
      <x:c r="E6" s="27" t="str">
        <x:v>Identifies hazards, follows PPE/LOTO/chemical controls and stops unsafe work.</x:v>
      </x:c>
      <x:c r="F6" s="27" t="str">
        <x:v>Yes</x:v>
      </x:c>
      <x:c r="G6" s="27" t="str">
        <x:v>Direct observation with zero critical safety violation; can explain escalation and emergency steps.</x:v>
      </x:c>
      <x:c r="H6" s="24" t="str">
        <x:v>Direct Observation</x:v>
      </x:c>
      <x:c r="I6" s="24" t="n">
        <x:v>12</x:v>
      </x:c>
      <x:c r="J6" s="24" t="str">
        <x:v>EHS + HOD</x:v>
      </x:c>
      <x:c r="K6" s="24" t="str">
        <x:v>Yes</x:v>
      </x:c>
    </x:row>
    <x:row r="7" ht="42" customHeight="1">
      <x:c r="A7" s="24" t="str">
        <x:v>CORE-QUAL-001</x:v>
      </x:c>
      <x:c r="B7" s="24" t="str">
        <x:v>Shared</x:v>
      </x:c>
      <x:c r="C7" s="24" t="str">
        <x:v>Quality</x:v>
      </x:c>
      <x:c r="D7" s="27" t="str">
        <x:v>SOP and work-instruction discipline</x:v>
      </x:c>
      <x:c r="E7" s="27" t="str">
        <x:v>Uses the current approved SOP/WI, follows control points and records deviations.</x:v>
      </x:c>
      <x:c r="F7" s="27" t="str">
        <x:v>Yes</x:v>
      </x:c>
      <x:c r="G7" s="27" t="str">
        <x:v>Observed task using current document; no skipped critical control point.</x:v>
      </x:c>
      <x:c r="H7" s="24" t="str">
        <x:v>Direct Observation</x:v>
      </x:c>
      <x:c r="I7" s="24" t="n">
        <x:v>12</x:v>
      </x:c>
      <x:c r="J7" s="24" t="str">
        <x:v>QAC + HOD</x:v>
      </x:c>
      <x:c r="K7" s="24" t="str">
        <x:v>Yes</x:v>
      </x:c>
    </x:row>
    <x:row r="8" ht="42" customHeight="1">
      <x:c r="A8" s="24" t="str">
        <x:v>CORE-DATA-001</x:v>
      </x:c>
      <x:c r="B8" s="24" t="str">
        <x:v>Shared</x:v>
      </x:c>
      <x:c r="C8" s="24" t="str">
        <x:v>Digital/Data/AI</x:v>
      </x:c>
      <x:c r="D8" s="27" t="str">
        <x:v>Accurate operational data recording</x:v>
      </x:c>
      <x:c r="E8" s="27" t="str">
        <x:v>Records complete, timely and truthful data in forms, AX, MES or approved systems.</x:v>
      </x:c>
      <x:c r="F8" s="27" t="str">
        <x:v>Yes</x:v>
      </x:c>
      <x:c r="G8" s="27" t="str">
        <x:v>Sample at least five records; verify completeness, timing and agreement to source evidence.</x:v>
      </x:c>
      <x:c r="H8" s="24" t="str">
        <x:v>System/Data Review</x:v>
      </x:c>
      <x:c r="I8" s="24" t="n">
        <x:v>12</x:v>
      </x:c>
      <x:c r="J8" s="24" t="str">
        <x:v>IT/Data Owner + HOD</x:v>
      </x:c>
      <x:c r="K8" s="24" t="str">
        <x:v>Yes</x:v>
      </x:c>
    </x:row>
    <x:row r="9" ht="42" customHeight="1">
      <x:c r="A9" s="24" t="str">
        <x:v>CORE-AI-001</x:v>
      </x:c>
      <x:c r="B9" s="24" t="str">
        <x:v>Shared</x:v>
      </x:c>
      <x:c r="C9" s="24" t="str">
        <x:v>Digital/Data/AI</x:v>
      </x:c>
      <x:c r="D9" s="27" t="str">
        <x:v>Approved AI use and answer verification</x:v>
      </x:c>
      <x:c r="E9" s="27" t="str">
        <x:v>Uses approved AI tools, protects confidential data and verifies output against evidence.</x:v>
      </x:c>
      <x:c r="F9" s="27" t="str">
        <x:v>No</x:v>
      </x:c>
      <x:c r="G9" s="27" t="str">
        <x:v>Practical task showing prompt clarity, source verification and data-protection judgment.</x:v>
      </x:c>
      <x:c r="H9" s="24" t="str">
        <x:v>Practical Demonstration</x:v>
      </x:c>
      <x:c r="I9" s="24" t="n">
        <x:v>12</x:v>
      </x:c>
      <x:c r="J9" s="24" t="str">
        <x:v>IT + HOD</x:v>
      </x:c>
      <x:c r="K9" s="24" t="str">
        <x:v>Yes</x:v>
      </x:c>
    </x:row>
    <x:row r="10" ht="42" customHeight="1">
      <x:c r="A10" s="24" t="str">
        <x:v>CORE-5S-001</x:v>
      </x:c>
      <x:c r="B10" s="24" t="str">
        <x:v>Shared</x:v>
      </x:c>
      <x:c r="C10" s="24" t="str">
        <x:v>Work Discipline</x:v>
      </x:c>
      <x:c r="D10" s="27" t="str">
        <x:v>5S and workplace ownership</x:v>
      </x:c>
      <x:c r="E10" s="27" t="str">
        <x:v>Maintains an orderly, clean and visual workplace with abnormalities made visible.</x:v>
      </x:c>
      <x:c r="F10" s="27" t="str">
        <x:v>No</x:v>
      </x:c>
      <x:c r="G10" s="27" t="str">
        <x:v>Work-area audit and sustained result over the defined review period.</x:v>
      </x:c>
      <x:c r="H10" s="24" t="str">
        <x:v>Direct Observation</x:v>
      </x:c>
      <x:c r="I10" s="24" t="n">
        <x:v>12</x:v>
      </x:c>
      <x:c r="J10" s="24" t="str">
        <x:v>HOD</x:v>
      </x:c>
      <x:c r="K10" s="24" t="str">
        <x:v>Yes</x:v>
      </x:c>
    </x:row>
    <x:row r="11" ht="42" customHeight="1">
      <x:c r="A11" s="24" t="str">
        <x:v>CORE-PROB-001</x:v>
      </x:c>
      <x:c r="B11" s="24" t="str">
        <x:v>Shared</x:v>
      </x:c>
      <x:c r="C11" s="24" t="str">
        <x:v>Problem Solving</x:v>
      </x:c>
      <x:c r="D11" s="27" t="str">
        <x:v>Abnormality escalation and root-cause thinking</x:v>
      </x:c>
      <x:c r="E11" s="27" t="str">
        <x:v>Contains abnormalities, escalates correctly and distinguishes symptom from verified root cause.</x:v>
      </x:c>
      <x:c r="F11" s="27" t="str">
        <x:v>Yes</x:v>
      </x:c>
      <x:c r="G11" s="27" t="str">
        <x:v>Review a real case: containment, evidence, root cause, corrective action and effectiveness check.</x:v>
      </x:c>
      <x:c r="H11" s="24" t="str">
        <x:v>Work-Sample Review</x:v>
      </x:c>
      <x:c r="I11" s="24" t="n">
        <x:v>12</x:v>
      </x:c>
      <x:c r="J11" s="24" t="str">
        <x:v>HOD</x:v>
      </x:c>
      <x:c r="K11" s="24" t="str">
        <x:v>Yes</x:v>
      </x:c>
    </x:row>
    <x:row r="12" ht="42" customHeight="1">
      <x:c r="A12" s="24" t="str">
        <x:v>LEAD-SYS-001</x:v>
      </x:c>
      <x:c r="B12" s="24" t="str">
        <x:v>Shared</x:v>
      </x:c>
      <x:c r="C12" s="24" t="str">
        <x:v>Leadership</x:v>
      </x:c>
      <x:c r="D12" s="27" t="str">
        <x:v>Process standardisation and system building</x:v>
      </x:c>
      <x:c r="E12" s="27" t="str">
        <x:v>Converts individual knowledge into SOPs, controls, data and repeatable workflows.</x:v>
      </x:c>
      <x:c r="F12" s="27" t="str">
        <x:v>No</x:v>
      </x:c>
      <x:c r="G12" s="27" t="str">
        <x:v>Evidence of one deployed standard/system with adoption and measured effectiveness.</x:v>
      </x:c>
      <x:c r="H12" s="24" t="str">
        <x:v>Project Evidence</x:v>
      </x:c>
      <x:c r="I12" s="24" t="n">
        <x:v>12</x:v>
      </x:c>
      <x:c r="J12" s="24" t="str">
        <x:v>CEO/Functional Head</x:v>
      </x:c>
      <x:c r="K12" s="24" t="str">
        <x:v>Yes</x:v>
      </x:c>
    </x:row>
    <x:row r="13" ht="42" customHeight="1">
      <x:c r="A13" s="24" t="str">
        <x:v>LEAD-COACH-002</x:v>
      </x:c>
      <x:c r="B13" s="24" t="str">
        <x:v>Shared</x:v>
      </x:c>
      <x:c r="C13" s="24" t="str">
        <x:v>Leadership</x:v>
      </x:c>
      <x:c r="D13" s="27" t="str">
        <x:v>Coaching, qualification and succession</x:v>
      </x:c>
      <x:c r="E13" s="27" t="str">
        <x:v>Develops people using clear standards, feedback, practice and verified qualification.</x:v>
      </x:c>
      <x:c r="F13" s="27" t="str">
        <x:v>No</x:v>
      </x:c>
      <x:c r="G13" s="27" t="str">
        <x:v>At least one person improves and is independently verified against the standard.</x:v>
      </x:c>
      <x:c r="H13" s="24" t="str">
        <x:v>Project Evidence</x:v>
      </x:c>
      <x:c r="I13" s="24" t="n">
        <x:v>12</x:v>
      </x:c>
      <x:c r="J13" s="24" t="str">
        <x:v>HOD + HR</x:v>
      </x:c>
      <x:c r="K13" s="24" t="str">
        <x:v>Yes</x:v>
      </x:c>
    </x:row>
    <x:row r="14" ht="42" customHeight="1">
      <x:c r="A14" s="24" t="str">
        <x:v>LEAD-VALUE-003</x:v>
      </x:c>
      <x:c r="B14" s="24" t="str">
        <x:v>Shared</x:v>
      </x:c>
      <x:c r="C14" s="24" t="str">
        <x:v>Leadership</x:v>
      </x:c>
      <x:c r="D14" s="27" t="str">
        <x:v>KPI ownership and value creation</x:v>
      </x:c>
      <x:c r="E14" s="27" t="str">
        <x:v>Translates work into safety, quality, delivery, cost, people and ESG results.</x:v>
      </x:c>
      <x:c r="F14" s="27" t="str">
        <x:v>No</x:v>
      </x:c>
      <x:c r="G14" s="27" t="str">
        <x:v>Verified before/after KPI result with accountable owner and sustained control.</x:v>
      </x:c>
      <x:c r="H14" s="24" t="str">
        <x:v>Project Evidence</x:v>
      </x:c>
      <x:c r="I14" s="24" t="n">
        <x:v>12</x:v>
      </x:c>
      <x:c r="J14" s="24" t="str">
        <x:v>CEO/Functional Head</x:v>
      </x:c>
      <x:c r="K14" s="24" t="str">
        <x:v>Yes</x:v>
      </x:c>
    </x:row>
    <x:row r="15" ht="42" customHeight="1">
      <x:c r="A15" s="24" t="str">
        <x:v>PROD-COAT-001</x:v>
      </x:c>
      <x:c r="B15" s="24" t="str">
        <x:v>Production</x:v>
      </x:c>
      <x:c r="C15" s="24" t="str">
        <x:v>Process/Technical</x:v>
      </x:c>
      <x:c r="D15" s="27" t="str">
        <x:v>Job order and product specification interpretation</x:v>
      </x:c>
      <x:c r="E15" s="27" t="str">
        <x:v>Interprets product code, construction, dimensions, coating target, packing and special requirements.</x:v>
      </x:c>
      <x:c r="F15" s="27" t="str">
        <x:v>Yes</x:v>
      </x:c>
      <x:c r="G15" s="27" t="str">
        <x:v>Practical job briefing with correct critical settings and risks identified.</x:v>
      </x:c>
      <x:c r="H15" s="24" t="str">
        <x:v>Practical Demonstration</x:v>
      </x:c>
      <x:c r="I15" s="24" t="n">
        <x:v>12</x:v>
      </x:c>
      <x:c r="J15" s="24" t="str">
        <x:v>Production HOD</x:v>
      </x:c>
      <x:c r="K15" s="24" t="str">
        <x:v>Yes</x:v>
      </x:c>
    </x:row>
    <x:row r="16" ht="42" customHeight="1">
      <x:c r="A16" s="24" t="str">
        <x:v>PROD-COAT-002</x:v>
      </x:c>
      <x:c r="B16" s="24" t="str">
        <x:v>Production</x:v>
      </x:c>
      <x:c r="C16" s="24" t="str">
        <x:v>Machine/Equipment</x:v>
      </x:c>
      <x:c r="D16" s="27" t="str">
        <x:v>Coating line setup and operation</x:v>
      </x:c>
      <x:c r="E16" s="27" t="str">
        <x:v>Sets up and runs the coating line within approved operating windows.</x:v>
      </x:c>
      <x:c r="F16" s="27" t="str">
        <x:v>Yes</x:v>
      </x:c>
      <x:c r="G16" s="27" t="str">
        <x:v>Observed setup, start-up, stable run, shutdown and abnormal response on the authorised line.</x:v>
      </x:c>
      <x:c r="H16" s="24" t="str">
        <x:v>Practical Demonstration</x:v>
      </x:c>
      <x:c r="I16" s="24" t="n">
        <x:v>12</x:v>
      </x:c>
      <x:c r="J16" s="24" t="str">
        <x:v>Production HOD</x:v>
      </x:c>
      <x:c r="K16" s="24" t="str">
        <x:v>Yes</x:v>
      </x:c>
    </x:row>
    <x:row r="17" ht="42" customHeight="1">
      <x:c r="A17" s="24" t="str">
        <x:v>PROD-PROC-003</x:v>
      </x:c>
      <x:c r="B17" s="24" t="str">
        <x:v>Production</x:v>
      </x:c>
      <x:c r="C17" s="24" t="str">
        <x:v>Process/Technical</x:v>
      </x:c>
      <x:c r="D17" s="27" t="str">
        <x:v>Process parameter control</x:v>
      </x:c>
      <x:c r="E17" s="27" t="str">
        <x:v>Controls temperature, speed, tension, viscosity, coating weight and other defined process parameters.</x:v>
      </x:c>
      <x:c r="F17" s="27" t="str">
        <x:v>Yes</x:v>
      </x:c>
      <x:c r="G17" s="27" t="str">
        <x:v>Actual settings remain within window; deviations are recorded, contained and authorised.</x:v>
      </x:c>
      <x:c r="H17" s="24" t="str">
        <x:v>Direct Observation</x:v>
      </x:c>
      <x:c r="I17" s="24" t="n">
        <x:v>6</x:v>
      </x:c>
      <x:c r="J17" s="24" t="str">
        <x:v>Production + QAC/R&amp;D</x:v>
      </x:c>
      <x:c r="K17" s="24" t="str">
        <x:v>Yes</x:v>
      </x:c>
    </x:row>
    <x:row r="18" ht="42" customHeight="1">
      <x:c r="A18" s="24" t="str">
        <x:v>PROD-GLUE-004</x:v>
      </x:c>
      <x:c r="B18" s="24" t="str">
        <x:v>Production</x:v>
      </x:c>
      <x:c r="C18" s="24" t="str">
        <x:v>Process/Technical</x:v>
      </x:c>
      <x:c r="D18" s="27" t="str">
        <x:v>Adhesive handling and batch verification</x:v>
      </x:c>
      <x:c r="E18" s="27" t="str">
        <x:v>Verifies adhesive identity, status, viscosity/temperature requirements, transfer and traceability.</x:v>
      </x:c>
      <x:c r="F18" s="27" t="str">
        <x:v>Yes</x:v>
      </x:c>
      <x:c r="G18" s="27" t="str">
        <x:v>Correct batch verification, handling and traceability across a live or simulated job.</x:v>
      </x:c>
      <x:c r="H18" s="24" t="str">
        <x:v>Practical Demonstration</x:v>
      </x:c>
      <x:c r="I18" s="24" t="n">
        <x:v>6</x:v>
      </x:c>
      <x:c r="J18" s="24" t="str">
        <x:v>Production + Glue Plant</x:v>
      </x:c>
      <x:c r="K18" s="24" t="str">
        <x:v>Yes</x:v>
      </x:c>
    </x:row>
    <x:row r="19" ht="42" customHeight="1">
      <x:c r="A19" s="24" t="str">
        <x:v>PROD-DEF-005</x:v>
      </x:c>
      <x:c r="B19" s="24" t="str">
        <x:v>Production</x:v>
      </x:c>
      <x:c r="C19" s="24" t="str">
        <x:v>Quality</x:v>
      </x:c>
      <x:c r="D19" s="27" t="str">
        <x:v>Tape defect recognition and containment</x:v>
      </x:c>
      <x:c r="E19" s="27" t="str">
        <x:v>Recognises coating, film, printing, slitting and packing defects and applies containment.</x:v>
      </x:c>
      <x:c r="F19" s="27" t="str">
        <x:v>Yes</x:v>
      </x:c>
      <x:c r="G19" s="27" t="str">
        <x:v>Correctly classifies defect samples and executes hold, segregation and escalation.</x:v>
      </x:c>
      <x:c r="H19" s="24" t="str">
        <x:v>Practical Demonstration</x:v>
      </x:c>
      <x:c r="I19" s="24" t="n">
        <x:v>6</x:v>
      </x:c>
      <x:c r="J19" s="24" t="str">
        <x:v>Production + QAC</x:v>
      </x:c>
      <x:c r="K19" s="24" t="str">
        <x:v>Yes</x:v>
      </x:c>
    </x:row>
    <x:row r="20" ht="42" customHeight="1">
      <x:c r="A20" s="24" t="str">
        <x:v>PROD-WASTE-006</x:v>
      </x:c>
      <x:c r="B20" s="24" t="str">
        <x:v>Production</x:v>
      </x:c>
      <x:c r="C20" s="24" t="str">
        <x:v>Sustainability</x:v>
      </x:c>
      <x:c r="D20" s="27" t="str">
        <x:v>Yield, scrap and material-loss control</x:v>
      </x:c>
      <x:c r="E20" s="27" t="str">
        <x:v>Controls start-up, changeover, trim, rejection and consumption loss against standard.</x:v>
      </x:c>
      <x:c r="F20" s="27" t="str">
        <x:v>No</x:v>
      </x:c>
      <x:c r="G20" s="27" t="str">
        <x:v>Explains loss drivers and shows sustained result against line target.</x:v>
      </x:c>
      <x:c r="H20" s="24" t="str">
        <x:v>Work-Sample Review</x:v>
      </x:c>
      <x:c r="I20" s="24" t="n">
        <x:v>12</x:v>
      </x:c>
      <x:c r="J20" s="24" t="str">
        <x:v>Production HOD</x:v>
      </x:c>
      <x:c r="K20" s="24" t="str">
        <x:v>Yes</x:v>
      </x:c>
    </x:row>
    <x:row r="21" ht="42" customHeight="1">
      <x:c r="A21" s="24" t="str">
        <x:v>PROD-CHANGE-007</x:v>
      </x:c>
      <x:c r="B21" s="24" t="str">
        <x:v>Production</x:v>
      </x:c>
      <x:c r="C21" s="24" t="str">
        <x:v>Machine/Equipment</x:v>
      </x:c>
      <x:c r="D21" s="27" t="str">
        <x:v>Changeover and line clearance</x:v>
      </x:c>
      <x:c r="E21" s="27" t="str">
        <x:v>Completes safe, complete and efficient product changeover with line-clearance verification.</x:v>
      </x:c>
      <x:c r="F21" s="27" t="str">
        <x:v>Yes</x:v>
      </x:c>
      <x:c r="G21" s="27" t="str">
        <x:v>Observed changeover meets checklist, traceability and target time without mix-up.</x:v>
      </x:c>
      <x:c r="H21" s="24" t="str">
        <x:v>Direct Observation</x:v>
      </x:c>
      <x:c r="I21" s="24" t="n">
        <x:v>12</x:v>
      </x:c>
      <x:c r="J21" s="24" t="str">
        <x:v>Production HOD</x:v>
      </x:c>
      <x:c r="K21" s="24" t="str">
        <x:v>Yes</x:v>
      </x:c>
    </x:row>
    <x:row r="22" ht="42" customHeight="1">
      <x:c r="A22" s="24" t="str">
        <x:v>PROD-PACK-008</x:v>
      </x:c>
      <x:c r="B22" s="24" t="str">
        <x:v>Production</x:v>
      </x:c>
      <x:c r="C22" s="24" t="str">
        <x:v>Process/Technical</x:v>
      </x:c>
      <x:c r="D22" s="27" t="str">
        <x:v>Packing, labelling and palletisation</x:v>
      </x:c>
      <x:c r="E22" s="27" t="str">
        <x:v>Packs the correct product, quantity, label and pallet pattern to customer/order standard.</x:v>
      </x:c>
      <x:c r="F22" s="27" t="str">
        <x:v>Yes</x:v>
      </x:c>
      <x:c r="G22" s="27" t="str">
        <x:v>Zero mix-up in practical demonstration; scan/label/quantity and protection are correct.</x:v>
      </x:c>
      <x:c r="H22" s="24" t="str">
        <x:v>Practical Demonstration</x:v>
      </x:c>
      <x:c r="I22" s="24" t="n">
        <x:v>12</x:v>
      </x:c>
      <x:c r="J22" s="24" t="str">
        <x:v>Production + Logistics</x:v>
      </x:c>
      <x:c r="K22" s="24" t="str">
        <x:v>Yes</x:v>
      </x:c>
    </x:row>
    <x:row r="23" ht="42" customHeight="1">
      <x:c r="A23" s="24" t="str">
        <x:v>PROD-TRACE-009</x:v>
      </x:c>
      <x:c r="B23" s="24" t="str">
        <x:v>Production</x:v>
      </x:c>
      <x:c r="C23" s="24" t="str">
        <x:v>Quality</x:v>
      </x:c>
      <x:c r="D23" s="27" t="str">
        <x:v>Material and product traceability</x:v>
      </x:c>
      <x:c r="E23" s="27" t="str">
        <x:v>Maintains end-to-end traceability of film, adhesive, jumbo, log and finished goods.</x:v>
      </x:c>
      <x:c r="F23" s="27" t="str">
        <x:v>Yes</x:v>
      </x:c>
      <x:c r="G23" s="27" t="str">
        <x:v>Complete backward and forward trace exercise within the defined response time.</x:v>
      </x:c>
      <x:c r="H23" s="24" t="str">
        <x:v>Practical Demonstration</x:v>
      </x:c>
      <x:c r="I23" s="24" t="n">
        <x:v>12</x:v>
      </x:c>
      <x:c r="J23" s="24" t="str">
        <x:v>QAC + Production</x:v>
      </x:c>
      <x:c r="K23" s="24" t="str">
        <x:v>Yes</x:v>
      </x:c>
    </x:row>
    <x:row r="24" ht="42" customHeight="1">
      <x:c r="A24" s="24" t="str">
        <x:v>PROD-TROUBLE-010</x:v>
      </x:c>
      <x:c r="B24" s="24" t="str">
        <x:v>Production</x:v>
      </x:c>
      <x:c r="C24" s="24" t="str">
        <x:v>Problem Solving</x:v>
      </x:c>
      <x:c r="D24" s="27" t="str">
        <x:v>Production troubleshooting</x:v>
      </x:c>
      <x:c r="E24" s="27" t="str">
        <x:v>Diagnoses common defects and process deviations using evidence and approved limits.</x:v>
      </x:c>
      <x:c r="F24" s="27" t="str">
        <x:v>Yes</x:v>
      </x:c>
      <x:c r="G24" s="27" t="str">
        <x:v>Solves a defined abnormal scenario without unsafe or unauthorised adjustment.</x:v>
      </x:c>
      <x:c r="H24" s="24" t="str">
        <x:v>Practical Demonstration</x:v>
      </x:c>
      <x:c r="I24" s="24" t="n">
        <x:v>12</x:v>
      </x:c>
      <x:c r="J24" s="24" t="str">
        <x:v>Production + Engineering + QAC</x:v>
      </x:c>
      <x:c r="K24" s="24" t="str">
        <x:v>Yes</x:v>
      </x:c>
    </x:row>
    <x:row r="25" ht="42" customHeight="1">
      <x:c r="A25" s="24" t="str">
        <x:v>PROD-LEAD-011</x:v>
      </x:c>
      <x:c r="B25" s="24" t="str">
        <x:v>Production</x:v>
      </x:c>
      <x:c r="C25" s="24" t="str">
        <x:v>Leadership</x:v>
      </x:c>
      <x:c r="D25" s="27" t="str">
        <x:v>Shift coordination and escalation</x:v>
      </x:c>
      <x:c r="E25" s="27" t="str">
        <x:v>Controls manpower, plan, materials, machines, quality release and shift handover.</x:v>
      </x:c>
      <x:c r="F25" s="27" t="str">
        <x:v>Yes</x:v>
      </x:c>
      <x:c r="G25" s="27" t="str">
        <x:v>Observed shift with accurate priorities, escalation, handover and KPI review.</x:v>
      </x:c>
      <x:c r="H25" s="24" t="str">
        <x:v>Direct Observation</x:v>
      </x:c>
      <x:c r="I25" s="24" t="n">
        <x:v>12</x:v>
      </x:c>
      <x:c r="J25" s="24" t="str">
        <x:v>Production HOD</x:v>
      </x:c>
      <x:c r="K25" s="24" t="str">
        <x:v>Yes</x:v>
      </x:c>
    </x:row>
    <x:row r="26" ht="42" customHeight="1">
      <x:c r="A26" s="24" t="str">
        <x:v>PROD-TRAIN-012</x:v>
      </x:c>
      <x:c r="B26" s="24" t="str">
        <x:v>Production</x:v>
      </x:c>
      <x:c r="C26" s="24" t="str">
        <x:v>Leadership</x:v>
      </x:c>
      <x:c r="D26" s="27" t="str">
        <x:v>Operator training and qualification</x:v>
      </x:c>
      <x:c r="E26" s="27" t="str">
        <x:v>Trains to standard, observes practice and verifies independent performance.</x:v>
      </x:c>
      <x:c r="F26" s="27" t="str">
        <x:v>No</x:v>
      </x:c>
      <x:c r="G26" s="27" t="str">
        <x:v>Trainee independently passes the defined skill assessment.</x:v>
      </x:c>
      <x:c r="H26" s="24" t="str">
        <x:v>Project Evidence</x:v>
      </x:c>
      <x:c r="I26" s="24" t="n">
        <x:v>12</x:v>
      </x:c>
      <x:c r="J26" s="24" t="str">
        <x:v>Production + HR</x:v>
      </x:c>
      <x:c r="K26" s="24" t="str">
        <x:v>Yes</x:v>
      </x:c>
    </x:row>
    <x:row r="27" ht="42" customHeight="1">
      <x:c r="A27" s="24" t="str">
        <x:v>PROD-SLIT-013</x:v>
      </x:c>
      <x:c r="B27" s="24" t="str">
        <x:v>Production</x:v>
      </x:c>
      <x:c r="C27" s="24" t="str">
        <x:v>Machine/Equipment</x:v>
      </x:c>
      <x:c r="D27" s="27" t="str">
        <x:v>Slitting and rewinding operation</x:v>
      </x:c>
      <x:c r="E27" s="27" t="str">
        <x:v>Sets blades, tension, speed, winding and dimensions to produce conforming rolls safely.</x:v>
      </x:c>
      <x:c r="F27" s="27" t="str">
        <x:v>Yes</x:v>
      </x:c>
      <x:c r="G27" s="27" t="str">
        <x:v>Practical run meets width, length, winding, appearance and safety requirements.</x:v>
      </x:c>
      <x:c r="H27" s="24" t="str">
        <x:v>Practical Demonstration</x:v>
      </x:c>
      <x:c r="I27" s="24" t="n">
        <x:v>12</x:v>
      </x:c>
      <x:c r="J27" s="24" t="str">
        <x:v>Converting HOD</x:v>
      </x:c>
      <x:c r="K27" s="24" t="str">
        <x:v>Yes</x:v>
      </x:c>
    </x:row>
    <x:row r="28" ht="42" customHeight="1">
      <x:c r="A28" s="24" t="str">
        <x:v>PROD-PRINT-014</x:v>
      </x:c>
      <x:c r="B28" s="24" t="str">
        <x:v>Production</x:v>
      </x:c>
      <x:c r="C28" s="24" t="str">
        <x:v>Machine/Equipment</x:v>
      </x:c>
      <x:c r="D28" s="27" t="str">
        <x:v>Printing line setup and colour control</x:v>
      </x:c>
      <x:c r="E28" s="27" t="str">
        <x:v>Sets printing, registration, ink and drying controls to approved artwork and quality standard.</x:v>
      </x:c>
      <x:c r="F28" s="27" t="str">
        <x:v>Yes</x:v>
      </x:c>
      <x:c r="G28" s="27" t="str">
        <x:v>Practical run meets colour, registration, adhesion, cure and traceability standards.</x:v>
      </x:c>
      <x:c r="H28" s="24" t="str">
        <x:v>Practical Demonstration</x:v>
      </x:c>
      <x:c r="I28" s="24" t="n">
        <x:v>12</x:v>
      </x:c>
      <x:c r="J28" s="24" t="str">
        <x:v>Printing HOD</x:v>
      </x:c>
      <x:c r="K28" s="24" t="str">
        <x:v>Yes</x:v>
      </x:c>
    </x:row>
    <x:row r="29" ht="42" customHeight="1">
      <x:c r="A29" s="24" t="str">
        <x:v>ENG-MECH-001</x:v>
      </x:c>
      <x:c r="B29" s="24" t="str">
        <x:v>Engineering</x:v>
      </x:c>
      <x:c r="C29" s="24" t="str">
        <x:v>Machine/Equipment</x:v>
      </x:c>
      <x:c r="D29" s="27" t="str">
        <x:v>Mechanical diagnostics and repair</x:v>
      </x:c>
      <x:c r="E29" s="27" t="str">
        <x:v>Diagnoses and repairs mechanical failure safely using drawings, tolerances and evidence.</x:v>
      </x:c>
      <x:c r="F29" s="27" t="str">
        <x:v>Yes</x:v>
      </x:c>
      <x:c r="G29" s="27" t="str">
        <x:v>Practical fault diagnosis and repair with verified return-to-service checks.</x:v>
      </x:c>
      <x:c r="H29" s="24" t="str">
        <x:v>Practical Demonstration</x:v>
      </x:c>
      <x:c r="I29" s="24" t="n">
        <x:v>12</x:v>
      </x:c>
      <x:c r="J29" s="24" t="str">
        <x:v>Engineering HOD</x:v>
      </x:c>
      <x:c r="K29" s="24" t="str">
        <x:v>Yes</x:v>
      </x:c>
    </x:row>
    <x:row r="30" ht="42" customHeight="1">
      <x:c r="A30" s="24" t="str">
        <x:v>ENG-ELEC-002</x:v>
      </x:c>
      <x:c r="B30" s="24" t="str">
        <x:v>Engineering</x:v>
      </x:c>
      <x:c r="C30" s="24" t="str">
        <x:v>Safety</x:v>
      </x:c>
      <x:c r="D30" s="27" t="str">
        <x:v>Electrical safety and diagnostics</x:v>
      </x:c>
      <x:c r="E30" s="27" t="str">
        <x:v>Works safely on authorised electrical systems and diagnoses faults using correct instruments.</x:v>
      </x:c>
      <x:c r="F30" s="27" t="str">
        <x:v>Yes</x:v>
      </x:c>
      <x:c r="G30" s="27" t="str">
        <x:v>Valid authorisation plus observed isolation, test, repair and restoration.</x:v>
      </x:c>
      <x:c r="H30" s="24" t="str">
        <x:v>Certification</x:v>
      </x:c>
      <x:c r="I30" s="24" t="n">
        <x:v>12</x:v>
      </x:c>
      <x:c r="J30" s="24" t="str">
        <x:v>Engineering HOD + EHS</x:v>
      </x:c>
      <x:c r="K30" s="24" t="str">
        <x:v>Yes</x:v>
      </x:c>
    </x:row>
    <x:row r="31" ht="42" customHeight="1">
      <x:c r="A31" s="24" t="str">
        <x:v>ENG-PLC-003</x:v>
      </x:c>
      <x:c r="B31" s="24" t="str">
        <x:v>Engineering</x:v>
      </x:c>
      <x:c r="C31" s="24" t="str">
        <x:v>Digital/Data/AI</x:v>
      </x:c>
      <x:c r="D31" s="27" t="str">
        <x:v>PLC, sensor and control-system troubleshooting</x:v>
      </x:c>
      <x:c r="E31" s="27" t="str">
        <x:v>Diagnoses sensors, PLC I/O, drives, interlocks and control logic without uncontrolled changes.</x:v>
      </x:c>
      <x:c r="F31" s="27" t="str">
        <x:v>Yes</x:v>
      </x:c>
      <x:c r="G31" s="27" t="str">
        <x:v>Fault simulation and controlled restoration with backup/change record.</x:v>
      </x:c>
      <x:c r="H31" s="24" t="str">
        <x:v>Practical Demonstration</x:v>
      </x:c>
      <x:c r="I31" s="24" t="n">
        <x:v>12</x:v>
      </x:c>
      <x:c r="J31" s="24" t="str">
        <x:v>Engineering + IT/OT</x:v>
      </x:c>
      <x:c r="K31" s="24" t="str">
        <x:v>Yes</x:v>
      </x:c>
    </x:row>
    <x:row r="32" ht="42" customHeight="1">
      <x:c r="A32" s="24" t="str">
        <x:v>ENG-PM-004</x:v>
      </x:c>
      <x:c r="B32" s="24" t="str">
        <x:v>Engineering</x:v>
      </x:c>
      <x:c r="C32" s="24" t="str">
        <x:v>Machine/Equipment</x:v>
      </x:c>
      <x:c r="D32" s="27" t="str">
        <x:v>Planned maintenance execution</x:v>
      </x:c>
      <x:c r="E32" s="27" t="str">
        <x:v>Plans and completes preventive maintenance to standard, interval and evidence requirements.</x:v>
      </x:c>
      <x:c r="F32" s="27" t="str">
        <x:v>Yes</x:v>
      </x:c>
      <x:c r="G32" s="27" t="str">
        <x:v>Sample PM work orders show full scope, findings, parts and verification.</x:v>
      </x:c>
      <x:c r="H32" s="24" t="str">
        <x:v>Work-Sample Review</x:v>
      </x:c>
      <x:c r="I32" s="24" t="n">
        <x:v>12</x:v>
      </x:c>
      <x:c r="J32" s="24" t="str">
        <x:v>Engineering HOD</x:v>
      </x:c>
      <x:c r="K32" s="24" t="str">
        <x:v>Yes</x:v>
      </x:c>
    </x:row>
    <x:row r="33" ht="42" customHeight="1">
      <x:c r="A33" s="24" t="str">
        <x:v>ENG-RCM-005</x:v>
      </x:c>
      <x:c r="B33" s="24" t="str">
        <x:v>Engineering</x:v>
      </x:c>
      <x:c r="C33" s="24" t="str">
        <x:v>Problem Solving</x:v>
      </x:c>
      <x:c r="D33" s="27" t="str">
        <x:v>Reliability and breakdown root-cause elimination</x:v>
      </x:c>
      <x:c r="E33" s="27" t="str">
        <x:v>Uses failure data to remove recurring equipment loss and improve MTBF/availability.</x:v>
      </x:c>
      <x:c r="F33" s="27" t="str">
        <x:v>Yes</x:v>
      </x:c>
      <x:c r="G33" s="27" t="str">
        <x:v>Verified root cause, permanent correction and sustained effectiveness on a recurring loss.</x:v>
      </x:c>
      <x:c r="H33" s="24" t="str">
        <x:v>Project Evidence</x:v>
      </x:c>
      <x:c r="I33" s="24" t="n">
        <x:v>12</x:v>
      </x:c>
      <x:c r="J33" s="24" t="str">
        <x:v>Engineering HOD</x:v>
      </x:c>
      <x:c r="K33" s="24" t="str">
        <x:v>Yes</x:v>
      </x:c>
    </x:row>
    <x:row r="34" ht="42" customHeight="1">
      <x:c r="A34" s="24" t="str">
        <x:v>ENG-CAL-006</x:v>
      </x:c>
      <x:c r="B34" s="24" t="str">
        <x:v>Engineering</x:v>
      </x:c>
      <x:c r="C34" s="24" t="str">
        <x:v>Quality</x:v>
      </x:c>
      <x:c r="D34" s="27" t="str">
        <x:v>Calibration and measurement-system control</x:v>
      </x:c>
      <x:c r="E34" s="27" t="str">
        <x:v>Controls calibrated equipment status, traceability and out-of-tolerance impact.</x:v>
      </x:c>
      <x:c r="F34" s="27" t="str">
        <x:v>Yes</x:v>
      </x:c>
      <x:c r="G34" s="27" t="str">
        <x:v>Correct execution or review of calibration record and OOT response.</x:v>
      </x:c>
      <x:c r="H34" s="24" t="str">
        <x:v>Practical Demonstration</x:v>
      </x:c>
      <x:c r="I34" s="24" t="n">
        <x:v>12</x:v>
      </x:c>
      <x:c r="J34" s="24" t="str">
        <x:v>Engineering + QAC</x:v>
      </x:c>
      <x:c r="K34" s="24" t="str">
        <x:v>Yes</x:v>
      </x:c>
    </x:row>
    <x:row r="35" ht="42" customHeight="1">
      <x:c r="A35" s="24" t="str">
        <x:v>ENG-UTIL-007</x:v>
      </x:c>
      <x:c r="B35" s="24" t="str">
        <x:v>Engineering</x:v>
      </x:c>
      <x:c r="C35" s="24" t="str">
        <x:v>Machine/Equipment</x:v>
      </x:c>
      <x:c r="D35" s="27" t="str">
        <x:v>Utilities operation and energy control</x:v>
      </x:c>
      <x:c r="E35" s="27" t="str">
        <x:v>Operates utilities safely and controls availability, efficiency and abnormal consumption.</x:v>
      </x:c>
      <x:c r="F35" s="27" t="str">
        <x:v>Yes</x:v>
      </x:c>
      <x:c r="G35" s="27" t="str">
        <x:v>Observed operation plus review of alarms, usage trend and contingency response.</x:v>
      </x:c>
      <x:c r="H35" s="24" t="str">
        <x:v>Direct Observation</x:v>
      </x:c>
      <x:c r="I35" s="24" t="n">
        <x:v>12</x:v>
      </x:c>
      <x:c r="J35" s="24" t="str">
        <x:v>Engineering HOD</x:v>
      </x:c>
      <x:c r="K35" s="24" t="str">
        <x:v>Yes</x:v>
      </x:c>
    </x:row>
    <x:row r="36" ht="42" customHeight="1">
      <x:c r="A36" s="24" t="str">
        <x:v>ENG-SPARE-008</x:v>
      </x:c>
      <x:c r="B36" s="24" t="str">
        <x:v>Engineering</x:v>
      </x:c>
      <x:c r="C36" s="24" t="str">
        <x:v>Process/Technical</x:v>
      </x:c>
      <x:c r="D36" s="27" t="str">
        <x:v>Critical-spares management</x:v>
      </x:c>
      <x:c r="E36" s="27" t="str">
        <x:v>Defines criticality, min/max stock, substitution and consumption traceability.</x:v>
      </x:c>
      <x:c r="F36" s="27" t="str">
        <x:v>No</x:v>
      </x:c>
      <x:c r="G36" s="27" t="str">
        <x:v>Critical-spares list and stock controls are accurate and risk-based.</x:v>
      </x:c>
      <x:c r="H36" s="24" t="str">
        <x:v>System/Data Review</x:v>
      </x:c>
      <x:c r="I36" s="24" t="n">
        <x:v>12</x:v>
      </x:c>
      <x:c r="J36" s="24" t="str">
        <x:v>Engineering + Procurement</x:v>
      </x:c>
      <x:c r="K36" s="24" t="str">
        <x:v>Yes</x:v>
      </x:c>
    </x:row>
    <x:row r="37" ht="42" customHeight="1">
      <x:c r="A37" s="24" t="str">
        <x:v>ENG-CMMS-009</x:v>
      </x:c>
      <x:c r="B37" s="24" t="str">
        <x:v>Engineering</x:v>
      </x:c>
      <x:c r="C37" s="24" t="str">
        <x:v>Digital/Data/AI</x:v>
      </x:c>
      <x:c r="D37" s="27" t="str">
        <x:v>Maintenance data and CMMS discipline</x:v>
      </x:c>
      <x:c r="E37" s="27" t="str">
        <x:v>Creates accurate work orders, failure codes, time, parts and close-out evidence.</x:v>
      </x:c>
      <x:c r="F37" s="27" t="str">
        <x:v>No</x:v>
      </x:c>
      <x:c r="G37" s="27" t="str">
        <x:v>Audit of records supports reliable downtime and maintenance analysis.</x:v>
      </x:c>
      <x:c r="H37" s="24" t="str">
        <x:v>System/Data Review</x:v>
      </x:c>
      <x:c r="I37" s="24" t="n">
        <x:v>12</x:v>
      </x:c>
      <x:c r="J37" s="24" t="str">
        <x:v>Engineering + IT</x:v>
      </x:c>
      <x:c r="K37" s="24" t="str">
        <x:v>Yes</x:v>
      </x:c>
    </x:row>
    <x:row r="38" ht="42" customHeight="1">
      <x:c r="A38" s="24" t="str">
        <x:v>ENG-OT-010</x:v>
      </x:c>
      <x:c r="B38" s="24" t="str">
        <x:v>Engineering</x:v>
      </x:c>
      <x:c r="C38" s="24" t="str">
        <x:v>Digital/Data/AI</x:v>
      </x:c>
      <x:c r="D38" s="27" t="str">
        <x:v>Operational-technology cybersecurity</x:v>
      </x:c>
      <x:c r="E38" s="27" t="str">
        <x:v>Protects machine networks, backups, access and change controls.</x:v>
      </x:c>
      <x:c r="F38" s="27" t="str">
        <x:v>Yes</x:v>
      </x:c>
      <x:c r="G38" s="27" t="str">
        <x:v>Access/change/backup evidence and correct response to an OT security scenario.</x:v>
      </x:c>
      <x:c r="H38" s="24" t="str">
        <x:v>Practical Demonstration</x:v>
      </x:c>
      <x:c r="I38" s="24" t="n">
        <x:v>12</x:v>
      </x:c>
      <x:c r="J38" s="24" t="str">
        <x:v>IT + Engineering</x:v>
      </x:c>
      <x:c r="K38" s="24" t="str">
        <x:v>Yes</x:v>
      </x:c>
    </x:row>
    <x:row r="39" ht="42" customHeight="1">
      <x:c r="A39" s="24" t="str">
        <x:v>QAC-TEST-001</x:v>
      </x:c>
      <x:c r="B39" s="24" t="str">
        <x:v>QAC/R&amp;D</x:v>
      </x:c>
      <x:c r="C39" s="24" t="str">
        <x:v>Quality</x:v>
      </x:c>
      <x:c r="D39" s="27" t="str">
        <x:v>Sampling and tape laboratory testing</x:v>
      </x:c>
      <x:c r="E39" s="27" t="str">
        <x:v>Samples correctly and performs authorised tests to approved method and conditioning.</x:v>
      </x:c>
      <x:c r="F39" s="27" t="str">
        <x:v>Yes</x:v>
      </x:c>
      <x:c r="G39" s="27" t="str">
        <x:v>Blind sample test agrees to method, controls and acceptance criteria.</x:v>
      </x:c>
      <x:c r="H39" s="24" t="str">
        <x:v>Practical Demonstration</x:v>
      </x:c>
      <x:c r="I39" s="24" t="n">
        <x:v>12</x:v>
      </x:c>
      <x:c r="J39" s="24" t="str">
        <x:v>QAC HOD</x:v>
      </x:c>
      <x:c r="K39" s="24" t="str">
        <x:v>Yes</x:v>
      </x:c>
    </x:row>
    <x:row r="40" ht="42" customHeight="1">
      <x:c r="A40" s="24" t="str">
        <x:v>QAC-MET-002</x:v>
      </x:c>
      <x:c r="B40" s="24" t="str">
        <x:v>QAC/R&amp;D</x:v>
      </x:c>
      <x:c r="C40" s="24" t="str">
        <x:v>Quality</x:v>
      </x:c>
      <x:c r="D40" s="27" t="str">
        <x:v>Metrology and measurement-system understanding</x:v>
      </x:c>
      <x:c r="E40" s="27" t="str">
        <x:v>Uses measurement equipment correctly and recognises uncertainty, bias and repeatability risks.</x:v>
      </x:c>
      <x:c r="F40" s="27" t="str">
        <x:v>Yes</x:v>
      </x:c>
      <x:c r="G40" s="27" t="str">
        <x:v>Practical measurement plus review of calibration and MSA evidence.</x:v>
      </x:c>
      <x:c r="H40" s="24" t="str">
        <x:v>Practical Demonstration</x:v>
      </x:c>
      <x:c r="I40" s="24" t="n">
        <x:v>12</x:v>
      </x:c>
      <x:c r="J40" s="24" t="str">
        <x:v>QAC HOD</x:v>
      </x:c>
      <x:c r="K40" s="24" t="str">
        <x:v>Yes</x:v>
      </x:c>
    </x:row>
    <x:row r="41" ht="42" customHeight="1">
      <x:c r="A41" s="24" t="str">
        <x:v>QAC-DEF-003</x:v>
      </x:c>
      <x:c r="B41" s="24" t="str">
        <x:v>QAC/R&amp;D</x:v>
      </x:c>
      <x:c r="C41" s="24" t="str">
        <x:v>Quality</x:v>
      </x:c>
      <x:c r="D41" s="27" t="str">
        <x:v>Defect classification and acceptance decision</x:v>
      </x:c>
      <x:c r="E41" s="27" t="str">
        <x:v>Classifies defects consistently and applies specification, sampling and escalation rules.</x:v>
      </x:c>
      <x:c r="F41" s="27" t="str">
        <x:v>Yes</x:v>
      </x:c>
      <x:c r="G41" s="27" t="str">
        <x:v>Blind defect set and case decision meet approved defect catalogue and authority level.</x:v>
      </x:c>
      <x:c r="H41" s="24" t="str">
        <x:v>Practical Demonstration</x:v>
      </x:c>
      <x:c r="I41" s="24" t="n">
        <x:v>6</x:v>
      </x:c>
      <x:c r="J41" s="24" t="str">
        <x:v>QAC HOD</x:v>
      </x:c>
      <x:c r="K41" s="24" t="str">
        <x:v>Yes</x:v>
      </x:c>
    </x:row>
    <x:row r="42" ht="42" customHeight="1">
      <x:c r="A42" s="24" t="str">
        <x:v>QAC-SPC-004</x:v>
      </x:c>
      <x:c r="B42" s="24" t="str">
        <x:v>QAC/R&amp;D</x:v>
      </x:c>
      <x:c r="C42" s="24" t="str">
        <x:v>Digital/Data/AI</x:v>
      </x:c>
      <x:c r="D42" s="27" t="str">
        <x:v>SPC and process-capability interpretation</x:v>
      </x:c>
      <x:c r="E42" s="27" t="str">
        <x:v>Uses control charts, variation and capability to distinguish signal from noise.</x:v>
      </x:c>
      <x:c r="F42" s="27" t="str">
        <x:v>No</x:v>
      </x:c>
      <x:c r="G42" s="27" t="str">
        <x:v>Analyses a real data set and recommends the correct process response.</x:v>
      </x:c>
      <x:c r="H42" s="24" t="str">
        <x:v>Work-Sample Review</x:v>
      </x:c>
      <x:c r="I42" s="24" t="n">
        <x:v>12</x:v>
      </x:c>
      <x:c r="J42" s="24" t="str">
        <x:v>QAC/R&amp;D HOD</x:v>
      </x:c>
      <x:c r="K42" s="24" t="str">
        <x:v>Yes</x:v>
      </x:c>
    </x:row>
    <x:row r="43" ht="42" customHeight="1">
      <x:c r="A43" s="24" t="str">
        <x:v>QAC-RELEASE-005</x:v>
      </x:c>
      <x:c r="B43" s="24" t="str">
        <x:v>QAC/R&amp;D</x:v>
      </x:c>
      <x:c r="C43" s="24" t="str">
        <x:v>Quality</x:v>
      </x:c>
      <x:c r="D43" s="27" t="str">
        <x:v>Product release, hold and concession control</x:v>
      </x:c>
      <x:c r="E43" s="27" t="str">
        <x:v>Makes or supports authorised release decisions with traceable evidence.</x:v>
      </x:c>
      <x:c r="F43" s="27" t="str">
        <x:v>Yes</x:v>
      </x:c>
      <x:c r="G43" s="27" t="str">
        <x:v>Case review shows correct decision, authority, segregation and customer-risk control.</x:v>
      </x:c>
      <x:c r="H43" s="24" t="str">
        <x:v>Work-Sample Review</x:v>
      </x:c>
      <x:c r="I43" s="24" t="n">
        <x:v>6</x:v>
      </x:c>
      <x:c r="J43" s="24" t="str">
        <x:v>QAC HOD</x:v>
      </x:c>
      <x:c r="K43" s="24" t="str">
        <x:v>Yes</x:v>
      </x:c>
    </x:row>
    <x:row r="44" ht="42" customHeight="1">
      <x:c r="A44" s="24" t="str">
        <x:v>QAC-RCA-006</x:v>
      </x:c>
      <x:c r="B44" s="24" t="str">
        <x:v>QAC/R&amp;D</x:v>
      </x:c>
      <x:c r="C44" s="24" t="str">
        <x:v>Problem Solving</x:v>
      </x:c>
      <x:c r="D44" s="27" t="str">
        <x:v>Technical root cause and CAPA</x:v>
      </x:c>
      <x:c r="E44" s="27" t="str">
        <x:v>Leads evidence-based investigation from failure mode to verified corrective action.</x:v>
      </x:c>
      <x:c r="F44" s="27" t="str">
        <x:v>Yes</x:v>
      </x:c>
      <x:c r="G44" s="27" t="str">
        <x:v>Completed case includes reproduction/evidence, root cause, CAPA and effectiveness check.</x:v>
      </x:c>
      <x:c r="H44" s="24" t="str">
        <x:v>Project Evidence</x:v>
      </x:c>
      <x:c r="I44" s="24" t="n">
        <x:v>12</x:v>
      </x:c>
      <x:c r="J44" s="24" t="str">
        <x:v>QAC/R&amp;D HOD</x:v>
      </x:c>
      <x:c r="K44" s="24" t="str">
        <x:v>Yes</x:v>
      </x:c>
    </x:row>
    <x:row r="45" ht="42" customHeight="1">
      <x:c r="A45" s="24" t="str">
        <x:v>RND-FORM-007</x:v>
      </x:c>
      <x:c r="B45" s="24" t="str">
        <x:v>QAC/R&amp;D</x:v>
      </x:c>
      <x:c r="C45" s="24" t="str">
        <x:v>Process/Technical</x:v>
      </x:c>
      <x:c r="D45" s="27" t="str">
        <x:v>Adhesive, film and tape construction knowledge</x:v>
      </x:c>
      <x:c r="E45" s="27" t="str">
        <x:v>Understands formulation, substrate, coating, conversion and end-use interactions.</x:v>
      </x:c>
      <x:c r="F45" s="27" t="str">
        <x:v>Yes</x:v>
      </x:c>
      <x:c r="G45" s="27" t="str">
        <x:v>Technical review correctly links material/process choices to performance and risk.</x:v>
      </x:c>
      <x:c r="H45" s="24" t="str">
        <x:v>Written/Oral Test</x:v>
      </x:c>
      <x:c r="I45" s="24" t="n">
        <x:v>12</x:v>
      </x:c>
      <x:c r="J45" s="24" t="str">
        <x:v>R&amp;D HOD</x:v>
      </x:c>
      <x:c r="K45" s="24" t="str">
        <x:v>Yes</x:v>
      </x:c>
    </x:row>
    <x:row r="46" ht="42" customHeight="1">
      <x:c r="A46" s="24" t="str">
        <x:v>RND-DOE-008</x:v>
      </x:c>
      <x:c r="B46" s="24" t="str">
        <x:v>QAC/R&amp;D</x:v>
      </x:c>
      <x:c r="C46" s="24" t="str">
        <x:v>Problem Solving</x:v>
      </x:c>
      <x:c r="D46" s="27" t="str">
        <x:v>DOE, trials and scale-up</x:v>
      </x:c>
      <x:c r="E46" s="27" t="str">
        <x:v>Designs efficient trials, controls variables, analyses results and transfers learning to production.</x:v>
      </x:c>
      <x:c r="F46" s="27" t="str">
        <x:v>No</x:v>
      </x:c>
      <x:c r="G46" s="27" t="str">
        <x:v>Approved trial plan and report lead to a repeatable production standard.</x:v>
      </x:c>
      <x:c r="H46" s="24" t="str">
        <x:v>Project Evidence</x:v>
      </x:c>
      <x:c r="I46" s="24" t="n">
        <x:v>12</x:v>
      </x:c>
      <x:c r="J46" s="24" t="str">
        <x:v>R&amp;D HOD</x:v>
      </x:c>
      <x:c r="K46" s="24" t="str">
        <x:v>Yes</x:v>
      </x:c>
    </x:row>
    <x:row r="47" ht="42" customHeight="1">
      <x:c r="A47" s="24" t="str">
        <x:v>QAC-CLAIM-009</x:v>
      </x:c>
      <x:c r="B47" s="24" t="str">
        <x:v>QAC/R&amp;D</x:v>
      </x:c>
      <x:c r="C47" s="24" t="str">
        <x:v>Customer/Application</x:v>
      </x:c>
      <x:c r="D47" s="27" t="str">
        <x:v>Customer application and claim investigation</x:v>
      </x:c>
      <x:c r="E47" s="27" t="str">
        <x:v>Connects tape evidence to substrate, environment, application and field performance.</x:v>
      </x:c>
      <x:c r="F47" s="27" t="str">
        <x:v>Yes</x:v>
      </x:c>
      <x:c r="G47" s="27" t="str">
        <x:v>Case contains chain-of-custody, reproduction, conclusion and prevention/communication.</x:v>
      </x:c>
      <x:c r="H47" s="24" t="str">
        <x:v>Project Evidence</x:v>
      </x:c>
      <x:c r="I47" s="24" t="n">
        <x:v>12</x:v>
      </x:c>
      <x:c r="J47" s="24" t="str">
        <x:v>QAC/R&amp;D + Sales</x:v>
      </x:c>
      <x:c r="K47" s="24" t="str">
        <x:v>Yes</x:v>
      </x:c>
    </x:row>
    <x:row r="48" ht="42" customHeight="1">
      <x:c r="A48" s="24" t="str">
        <x:v>QAC-DOC-010</x:v>
      </x:c>
      <x:c r="B48" s="24" t="str">
        <x:v>QAC/R&amp;D</x:v>
      </x:c>
      <x:c r="C48" s="24" t="str">
        <x:v>Quality</x:v>
      </x:c>
      <x:c r="D48" s="27" t="str">
        <x:v>Specification, COA and controlled-document management</x:v>
      </x:c>
      <x:c r="E48" s="27" t="str">
        <x:v>Maintains accurate specifications, methods, COA rules and revision control.</x:v>
      </x:c>
      <x:c r="F48" s="27" t="str">
        <x:v>Yes</x:v>
      </x:c>
      <x:c r="G48" s="27" t="str">
        <x:v>Audit confirms correct current version, approval, distribution and system master data.</x:v>
      </x:c>
      <x:c r="H48" s="24" t="str">
        <x:v>Work-Sample Review</x:v>
      </x:c>
      <x:c r="I48" s="24" t="n">
        <x:v>12</x:v>
      </x:c>
      <x:c r="J48" s="24" t="str">
        <x:v>QAC HOD</x:v>
      </x:c>
      <x:c r="K48" s="24" t="str">
        <x:v>Yes</x:v>
      </x:c>
    </x:row>
    <x:row r="49" ht="42" customHeight="1">
      <x:c r="A49" s="24" t="str">
        <x:v>PLAN-MRP-001</x:v>
      </x:c>
      <x:c r="B49" s="24" t="str">
        <x:v>Planning</x:v>
      </x:c>
      <x:c r="C49" s="24" t="str">
        <x:v>Digital/Data/AI</x:v>
      </x:c>
      <x:c r="D49" s="27" t="str">
        <x:v>AX/MRP planning discipline</x:v>
      </x:c>
      <x:c r="E49" s="27" t="str">
        <x:v>Uses master data, demand, supply, lead time and planning parameters correctly.</x:v>
      </x:c>
      <x:c r="F49" s="27" t="str">
        <x:v>Yes</x:v>
      </x:c>
      <x:c r="G49" s="27" t="str">
        <x:v>System scenario produces correct action and identifies data exceptions.</x:v>
      </x:c>
      <x:c r="H49" s="24" t="str">
        <x:v>System/Data Review</x:v>
      </x:c>
      <x:c r="I49" s="24" t="n">
        <x:v>12</x:v>
      </x:c>
      <x:c r="J49" s="24" t="str">
        <x:v>Planning + IT</x:v>
      </x:c>
      <x:c r="K49" s="24" t="str">
        <x:v>Yes</x:v>
      </x:c>
    </x:row>
    <x:row r="50" ht="42" customHeight="1">
      <x:c r="A50" s="24" t="str">
        <x:v>PLAN-CAP-002</x:v>
      </x:c>
      <x:c r="B50" s="24" t="str">
        <x:v>Planning</x:v>
      </x:c>
      <x:c r="C50" s="24" t="str">
        <x:v>Process/Technical</x:v>
      </x:c>
      <x:c r="D50" s="27" t="str">
        <x:v>Capacity and constraint planning</x:v>
      </x:c>
      <x:c r="E50" s="27" t="str">
        <x:v>Translates demand into machine, labour and bottleneck capacity requirements.</x:v>
      </x:c>
      <x:c r="F50" s="27" t="str">
        <x:v>Yes</x:v>
      </x:c>
      <x:c r="G50" s="27" t="str">
        <x:v>Capacity plan reconciles demand, rate, changeover, downtime and constraint assumptions.</x:v>
      </x:c>
      <x:c r="H50" s="24" t="str">
        <x:v>Work-Sample Review</x:v>
      </x:c>
      <x:c r="I50" s="24" t="n">
        <x:v>12</x:v>
      </x:c>
      <x:c r="J50" s="24" t="str">
        <x:v>Planning HOD</x:v>
      </x:c>
      <x:c r="K50" s="24" t="str">
        <x:v>Yes</x:v>
      </x:c>
    </x:row>
    <x:row r="51" ht="42" customHeight="1">
      <x:c r="A51" s="24" t="str">
        <x:v>PLAN-SEQ-003</x:v>
      </x:c>
      <x:c r="B51" s="24" t="str">
        <x:v>Planning</x:v>
      </x:c>
      <x:c r="C51" s="24" t="str">
        <x:v>Process/Technical</x:v>
      </x:c>
      <x:c r="D51" s="27" t="str">
        <x:v>Production sequencing and schedule stability</x:v>
      </x:c>
      <x:c r="E51" s="27" t="str">
        <x:v>Sequences jobs to protect delivery, quality, yield and changeover efficiency.</x:v>
      </x:c>
      <x:c r="F51" s="27" t="str">
        <x:v>Yes</x:v>
      </x:c>
      <x:c r="G51" s="27" t="str">
        <x:v>Schedule decisions are rule-based, feasible and measured by adherence.</x:v>
      </x:c>
      <x:c r="H51" s="24" t="str">
        <x:v>Work-Sample Review</x:v>
      </x:c>
      <x:c r="I51" s="24" t="n">
        <x:v>12</x:v>
      </x:c>
      <x:c r="J51" s="24" t="str">
        <x:v>Planning + Production</x:v>
      </x:c>
      <x:c r="K51" s="24" t="str">
        <x:v>Yes</x:v>
      </x:c>
    </x:row>
    <x:row r="52" ht="42" customHeight="1">
      <x:c r="A52" s="24" t="str">
        <x:v>PLAN-MAT-004</x:v>
      </x:c>
      <x:c r="B52" s="24" t="str">
        <x:v>Planning</x:v>
      </x:c>
      <x:c r="C52" s="24" t="str">
        <x:v>Process/Technical</x:v>
      </x:c>
      <x:c r="D52" s="27" t="str">
        <x:v>Material availability and shortage control</x:v>
      </x:c>
      <x:c r="E52" s="27" t="str">
        <x:v>Secures correct film, adhesive, core and packaging availability with early risk escalation.</x:v>
      </x:c>
      <x:c r="F52" s="27" t="str">
        <x:v>Yes</x:v>
      </x:c>
      <x:c r="G52" s="27" t="str">
        <x:v>Material plan prevents avoidable stoppage and shows clear exception ownership.</x:v>
      </x:c>
      <x:c r="H52" s="24" t="str">
        <x:v>System/Data Review</x:v>
      </x:c>
      <x:c r="I52" s="24" t="n">
        <x:v>12</x:v>
      </x:c>
      <x:c r="J52" s="24" t="str">
        <x:v>Planning + Procurement</x:v>
      </x:c>
      <x:c r="K52" s="24" t="str">
        <x:v>Yes</x:v>
      </x:c>
    </x:row>
    <x:row r="53" ht="42" customHeight="1">
      <x:c r="A53" s="24" t="str">
        <x:v>PLAN-INV-005</x:v>
      </x:c>
      <x:c r="B53" s="24" t="str">
        <x:v>Planning</x:v>
      </x:c>
      <x:c r="C53" s="24" t="str">
        <x:v>Sustainability</x:v>
      </x:c>
      <x:c r="D53" s="27" t="str">
        <x:v>Inventory and slow-moving control</x:v>
      </x:c>
      <x:c r="E53" s="27" t="str">
        <x:v>Balances continuity, MOQ and working capital while controlling ageing/obsolete stock.</x:v>
      </x:c>
      <x:c r="F53" s="27" t="str">
        <x:v>No</x:v>
      </x:c>
      <x:c r="G53" s="27" t="str">
        <x:v>Inventory parameters and actions reflect consumption, lead time, risk and value.</x:v>
      </x:c>
      <x:c r="H53" s="24" t="str">
        <x:v>System/Data Review</x:v>
      </x:c>
      <x:c r="I53" s="24" t="n">
        <x:v>12</x:v>
      </x:c>
      <x:c r="J53" s="24" t="str">
        <x:v>Planning HOD</x:v>
      </x:c>
      <x:c r="K53" s="24" t="str">
        <x:v>Yes</x:v>
      </x:c>
    </x:row>
    <x:row r="54" ht="42" customHeight="1">
      <x:c r="A54" s="24" t="str">
        <x:v>PLAN-OTIF-006</x:v>
      </x:c>
      <x:c r="B54" s="24" t="str">
        <x:v>Planning</x:v>
      </x:c>
      <x:c r="C54" s="24" t="str">
        <x:v>Customer/Application</x:v>
      </x:c>
      <x:c r="D54" s="27" t="str">
        <x:v>OTIF and delivery-risk management</x:v>
      </x:c>
      <x:c r="E54" s="27" t="str">
        <x:v>Identifies delivery risk early, drives recovery and communicates a credible commitment.</x:v>
      </x:c>
      <x:c r="F54" s="27" t="str">
        <x:v>Yes</x:v>
      </x:c>
      <x:c r="G54" s="27" t="str">
        <x:v>Review of late-risk cases shows early signal, owner, action and outcome.</x:v>
      </x:c>
      <x:c r="H54" s="24" t="str">
        <x:v>Work-Sample Review</x:v>
      </x:c>
      <x:c r="I54" s="24" t="n">
        <x:v>12</x:v>
      </x:c>
      <x:c r="J54" s="24" t="str">
        <x:v>Planning + Sales</x:v>
      </x:c>
      <x:c r="K54" s="24" t="str">
        <x:v>Yes</x:v>
      </x:c>
    </x:row>
    <x:row r="55" ht="42" customHeight="1">
      <x:c r="A55" s="24" t="str">
        <x:v>PLAN-IBP-007</x:v>
      </x:c>
      <x:c r="B55" s="24" t="str">
        <x:v>Planning</x:v>
      </x:c>
      <x:c r="C55" s="24" t="str">
        <x:v>Digital/Data/AI</x:v>
      </x:c>
      <x:c r="D55" s="27" t="str">
        <x:v>IBP scenario and trade-off analysis</x:v>
      </x:c>
      <x:c r="E55" s="27" t="str">
        <x:v>Integrates demand, capacity, inventory, supply risk and margin into decisions.</x:v>
      </x:c>
      <x:c r="F55" s="27" t="str">
        <x:v>No</x:v>
      </x:c>
      <x:c r="G55" s="27" t="str">
        <x:v>Scenario presents assumptions, constraints, financial/operational impact and decision.</x:v>
      </x:c>
      <x:c r="H55" s="24" t="str">
        <x:v>Project Evidence</x:v>
      </x:c>
      <x:c r="I55" s="24" t="n">
        <x:v>12</x:v>
      </x:c>
      <x:c r="J55" s="24" t="str">
        <x:v>Planning HOD</x:v>
      </x:c>
      <x:c r="K55" s="24" t="str">
        <x:v>Yes</x:v>
      </x:c>
    </x:row>
    <x:row r="56" ht="42" customHeight="1">
      <x:c r="A56" s="24" t="str">
        <x:v>PLAN-MDATA-008</x:v>
      </x:c>
      <x:c r="B56" s="24" t="str">
        <x:v>Planning</x:v>
      </x:c>
      <x:c r="C56" s="24" t="str">
        <x:v>Digital/Data/AI</x:v>
      </x:c>
      <x:c r="D56" s="27" t="str">
        <x:v>Planning master-data governance</x:v>
      </x:c>
      <x:c r="E56" s="27" t="str">
        <x:v>Controls BOM, route, lead time, MOQ, safety stock and planning parameter changes.</x:v>
      </x:c>
      <x:c r="F56" s="27" t="str">
        <x:v>Yes</x:v>
      </x:c>
      <x:c r="G56" s="27" t="str">
        <x:v>Audit trail and sample master data are accurate, approved and fit for MRP.</x:v>
      </x:c>
      <x:c r="H56" s="24" t="str">
        <x:v>System/Data Review</x:v>
      </x:c>
      <x:c r="I56" s="24" t="n">
        <x:v>12</x:v>
      </x:c>
      <x:c r="J56" s="24" t="str">
        <x:v>Planning + IT</x:v>
      </x:c>
      <x:c r="K56" s="24" t="str">
        <x:v>Yes</x:v>
      </x:c>
    </x:row>
    <x:row r="57" ht="42" customHeight="1">
      <x:c r="A57" s="24" t="str">
        <x:v>IT-ERP-001</x:v>
      </x:c>
      <x:c r="B57" s="24" t="str">
        <x:v>IT</x:v>
      </x:c>
      <x:c r="C57" s="24" t="str">
        <x:v>Digital/Data/AI</x:v>
      </x:c>
      <x:c r="D57" s="27" t="str">
        <x:v>AX/ERP business-process support</x:v>
      </x:c>
      <x:c r="E57" s="27" t="str">
        <x:v>Understands core transactions, controls, master data and root-cause resolution across functions.</x:v>
      </x:c>
      <x:c r="F57" s="27" t="str">
        <x:v>Yes</x:v>
      </x:c>
      <x:c r="G57" s="27" t="str">
        <x:v>Resolves a business scenario with controlled change and verified user outcome.</x:v>
      </x:c>
      <x:c r="H57" s="24" t="str">
        <x:v>Practical Demonstration</x:v>
      </x:c>
      <x:c r="I57" s="24" t="n">
        <x:v>12</x:v>
      </x:c>
      <x:c r="J57" s="24" t="str">
        <x:v>IT HOD</x:v>
      </x:c>
      <x:c r="K57" s="24" t="str">
        <x:v>Yes</x:v>
      </x:c>
    </x:row>
    <x:row r="58" ht="42" customHeight="1">
      <x:c r="A58" s="24" t="str">
        <x:v>IT-MES-002</x:v>
      </x:c>
      <x:c r="B58" s="24" t="str">
        <x:v>IT</x:v>
      </x:c>
      <x:c r="C58" s="24" t="str">
        <x:v>Digital/Data/AI</x:v>
      </x:c>
      <x:c r="D58" s="27" t="str">
        <x:v>MES and shop-floor integration</x:v>
      </x:c>
      <x:c r="E58" s="27" t="str">
        <x:v>Connects production orders, machine/process data, quality, consumption and completion records.</x:v>
      </x:c>
      <x:c r="F58" s="27" t="str">
        <x:v>Yes</x:v>
      </x:c>
      <x:c r="G58" s="27" t="str">
        <x:v>End-to-end transaction trace reconciles source, MES and ERP without uncontrolled gaps.</x:v>
      </x:c>
      <x:c r="H58" s="24" t="str">
        <x:v>Project Evidence</x:v>
      </x:c>
      <x:c r="I58" s="24" t="n">
        <x:v>12</x:v>
      </x:c>
      <x:c r="J58" s="24" t="str">
        <x:v>IT + Process Owners</x:v>
      </x:c>
      <x:c r="K58" s="24" t="str">
        <x:v>Yes</x:v>
      </x:c>
    </x:row>
    <x:row r="59" ht="42" customHeight="1">
      <x:c r="A59" s="24" t="str">
        <x:v>IT-DATA-003</x:v>
      </x:c>
      <x:c r="B59" s="24" t="str">
        <x:v>IT</x:v>
      </x:c>
      <x:c r="C59" s="24" t="str">
        <x:v>Digital/Data/AI</x:v>
      </x:c>
      <x:c r="D59" s="27" t="str">
        <x:v>Data modelling, SQL and data quality</x:v>
      </x:c>
      <x:c r="E59" s="27" t="str">
        <x:v>Defines trusted data, lineage, validation and usable operational datasets.</x:v>
      </x:c>
      <x:c r="F59" s="27" t="str">
        <x:v>Yes</x:v>
      </x:c>
      <x:c r="G59" s="27" t="str">
        <x:v>Dataset reconciles to source with definitions, controls and exception handling.</x:v>
      </x:c>
      <x:c r="H59" s="24" t="str">
        <x:v>Project Evidence</x:v>
      </x:c>
      <x:c r="I59" s="24" t="n">
        <x:v>12</x:v>
      </x:c>
      <x:c r="J59" s="24" t="str">
        <x:v>IT HOD</x:v>
      </x:c>
      <x:c r="K59" s="24" t="str">
        <x:v>Yes</x:v>
      </x:c>
    </x:row>
    <x:row r="60" ht="42" customHeight="1">
      <x:c r="A60" s="24" t="str">
        <x:v>IT-AUTO-004</x:v>
      </x:c>
      <x:c r="B60" s="24" t="str">
        <x:v>IT</x:v>
      </x:c>
      <x:c r="C60" s="24" t="str">
        <x:v>Digital/Data/AI</x:v>
      </x:c>
      <x:c r="D60" s="27" t="str">
        <x:v>Workflow automation and RPA</x:v>
      </x:c>
      <x:c r="E60" s="27" t="str">
        <x:v>Removes and standardises work before implementing reliable automation.</x:v>
      </x:c>
      <x:c r="F60" s="27" t="str">
        <x:v>No</x:v>
      </x:c>
      <x:c r="G60" s="27" t="str">
        <x:v>Automation has owner, exception path, controls, monitoring and measured benefit.</x:v>
      </x:c>
      <x:c r="H60" s="24" t="str">
        <x:v>Project Evidence</x:v>
      </x:c>
      <x:c r="I60" s="24" t="n">
        <x:v>12</x:v>
      </x:c>
      <x:c r="J60" s="24" t="str">
        <x:v>IT + Process Owner</x:v>
      </x:c>
      <x:c r="K60" s="24" t="str">
        <x:v>Yes</x:v>
      </x:c>
    </x:row>
    <x:row r="61" ht="42" customHeight="1">
      <x:c r="A61" s="24" t="str">
        <x:v>IT-CYBER-005</x:v>
      </x:c>
      <x:c r="B61" s="24" t="str">
        <x:v>IT</x:v>
      </x:c>
      <x:c r="C61" s="24" t="str">
        <x:v>Safety</x:v>
      </x:c>
      <x:c r="D61" s="27" t="str">
        <x:v>Cybersecurity, identity and access control</x:v>
      </x:c>
      <x:c r="E61" s="27" t="str">
        <x:v>Controls identity, privilege, endpoints, network, logging and incident response.</x:v>
      </x:c>
      <x:c r="F61" s="27" t="str">
        <x:v>Yes</x:v>
      </x:c>
      <x:c r="G61" s="27" t="str">
        <x:v>Access review and incident simulation meet approved policy and recovery requirements.</x:v>
      </x:c>
      <x:c r="H61" s="24" t="str">
        <x:v>Practical Demonstration</x:v>
      </x:c>
      <x:c r="I61" s="24" t="n">
        <x:v>12</x:v>
      </x:c>
      <x:c r="J61" s="24" t="str">
        <x:v>IT HOD</x:v>
      </x:c>
      <x:c r="K61" s="24" t="str">
        <x:v>Yes</x:v>
      </x:c>
    </x:row>
    <x:row r="62" ht="42" customHeight="1">
      <x:c r="A62" s="24" t="str">
        <x:v>IT-INFRA-006</x:v>
      </x:c>
      <x:c r="B62" s="24" t="str">
        <x:v>IT</x:v>
      </x:c>
      <x:c r="C62" s="24" t="str">
        <x:v>Digital/Data/AI</x:v>
      </x:c>
      <x:c r="D62" s="27" t="str">
        <x:v>Infrastructure, network, server and VPN reliability</x:v>
      </x:c>
      <x:c r="E62" s="27" t="str">
        <x:v>Operates secure, available infrastructure with monitoring, redundancy and documentation.</x:v>
      </x:c>
      <x:c r="F62" s="27" t="str">
        <x:v>Yes</x:v>
      </x:c>
      <x:c r="G62" s="27" t="str">
        <x:v>Service evidence shows availability, monitoring, backup access and controlled recovery.</x:v>
      </x:c>
      <x:c r="H62" s="24" t="str">
        <x:v>Practical Demonstration</x:v>
      </x:c>
      <x:c r="I62" s="24" t="n">
        <x:v>12</x:v>
      </x:c>
      <x:c r="J62" s="24" t="str">
        <x:v>IT HOD</x:v>
      </x:c>
      <x:c r="K62" s="24" t="str">
        <x:v>Yes</x:v>
      </x:c>
    </x:row>
    <x:row r="63" ht="42" customHeight="1">
      <x:c r="A63" s="24" t="str">
        <x:v>IT-DEV-007</x:v>
      </x:c>
      <x:c r="B63" s="24" t="str">
        <x:v>IT</x:v>
      </x:c>
      <x:c r="C63" s="24" t="str">
        <x:v>Digital/Data/AI</x:v>
      </x:c>
      <x:c r="D63" s="27" t="str">
        <x:v>Software delivery and change control</x:v>
      </x:c>
      <x:c r="E63" s="27" t="str">
        <x:v>Designs, tests, documents, deploys and supports maintainable software changes.</x:v>
      </x:c>
      <x:c r="F63" s="27" t="str">
        <x:v>Yes</x:v>
      </x:c>
      <x:c r="G63" s="27" t="str">
        <x:v>Change has requirements, review, tests, rollback, documentation and user acceptance.</x:v>
      </x:c>
      <x:c r="H63" s="24" t="str">
        <x:v>Project Evidence</x:v>
      </x:c>
      <x:c r="I63" s="24" t="n">
        <x:v>12</x:v>
      </x:c>
      <x:c r="J63" s="24" t="str">
        <x:v>IT HOD</x:v>
      </x:c>
      <x:c r="K63" s="24" t="str">
        <x:v>Yes</x:v>
      </x:c>
    </x:row>
    <x:row r="64" ht="42" customHeight="1">
      <x:c r="A64" s="24" t="str">
        <x:v>IT-AI-008</x:v>
      </x:c>
      <x:c r="B64" s="24" t="str">
        <x:v>IT</x:v>
      </x:c>
      <x:c r="C64" s="24" t="str">
        <x:v>Digital/Data/AI</x:v>
      </x:c>
      <x:c r="D64" s="27" t="str">
        <x:v>AI solution and governance</x:v>
      </x:c>
      <x:c r="E64" s="27" t="str">
        <x:v>Selects appropriate AI use cases, protects data and validates quality, safety and value.</x:v>
      </x:c>
      <x:c r="F64" s="27" t="str">
        <x:v>Yes</x:v>
      </x:c>
      <x:c r="G64" s="27" t="str">
        <x:v>AI use case has evaluation criteria, human control, monitoring and measured result.</x:v>
      </x:c>
      <x:c r="H64" s="24" t="str">
        <x:v>Project Evidence</x:v>
      </x:c>
      <x:c r="I64" s="24" t="n">
        <x:v>12</x:v>
      </x:c>
      <x:c r="J64" s="24" t="str">
        <x:v>IT + Business Owner</x:v>
      </x:c>
      <x:c r="K64" s="24" t="str">
        <x:v>Yes</x:v>
      </x:c>
    </x:row>
    <x:row r="65" ht="42" customHeight="1">
      <x:c r="A65" s="24" t="str">
        <x:v>IT-BCP-009</x:v>
      </x:c>
      <x:c r="B65" s="24" t="str">
        <x:v>IT</x:v>
      </x:c>
      <x:c r="C65" s="24" t="str">
        <x:v>Safety</x:v>
      </x:c>
      <x:c r="D65" s="27" t="str">
        <x:v>Backup, recovery and business continuity</x:v>
      </x:c>
      <x:c r="E65" s="27" t="str">
        <x:v>Maintains tested backup, restore, redundancy and continuity procedures for critical systems.</x:v>
      </x:c>
      <x:c r="F65" s="27" t="str">
        <x:v>Yes</x:v>
      </x:c>
      <x:c r="G65" s="27" t="str">
        <x:v>Successful restore/continuity test meets RPO/RTO and records corrective actions.</x:v>
      </x:c>
      <x:c r="H65" s="24" t="str">
        <x:v>Practical Demonstration</x:v>
      </x:c>
      <x:c r="I65" s="24" t="n">
        <x:v>6</x:v>
      </x:c>
      <x:c r="J65" s="24" t="str">
        <x:v>IT HOD</x:v>
      </x:c>
      <x:c r="K65" s="24" t="str">
        <x:v>Yes</x:v>
      </x:c>
    </x:row>
    <x:row r="66" ht="42" customHeight="1">
      <x:c r="A66" s="24" t="str">
        <x:v>IT-OWNER-010</x:v>
      </x:c>
      <x:c r="B66" s="24" t="str">
        <x:v>IT</x:v>
      </x:c>
      <x:c r="C66" s="24" t="str">
        <x:v>Leadership</x:v>
      </x:c>
      <x:c r="D66" s="27" t="str">
        <x:v>Business-system product ownership</x:v>
      </x:c>
      <x:c r="E66" s="27" t="str">
        <x:v>Owns adoption, backlog, data quality, reliability and business value of a system.</x:v>
      </x:c>
      <x:c r="F66" s="27" t="str">
        <x:v>No</x:v>
      </x:c>
      <x:c r="G66" s="27" t="str">
        <x:v>Roadmap and release evidence show user adoption and measurable process improvement.</x:v>
      </x:c>
      <x:c r="H66" s="24" t="str">
        <x:v>Project Evidence</x:v>
      </x:c>
      <x:c r="I66" s="24" t="n">
        <x:v>12</x:v>
      </x:c>
      <x:c r="J66" s="24" t="str">
        <x:v>IT + Business Sponsor</x:v>
      </x:c>
      <x:c r="K66" s="24" t="str">
        <x:v>Yes</x:v>
      </x:c>
    </x:row>
    <x:row r="67">
      <x:c r="A67" s="24"/>
      <x:c r="B67" s="24"/>
      <x:c r="C67" s="24"/>
      <x:c r="D67" s="27"/>
      <x:c r="E67" s="27"/>
      <x:c r="F67" s="27"/>
      <x:c r="G67" s="27"/>
      <x:c r="H67" s="24"/>
      <x:c r="I67" s="24"/>
      <x:c r="J67" s="24"/>
      <x:c r="K67" s="24"/>
    </x:row>
    <x:row r="68">
      <x:c r="A68" s="24"/>
      <x:c r="B68" s="24"/>
      <x:c r="C68" s="24"/>
      <x:c r="D68" s="27"/>
      <x:c r="E68" s="27"/>
      <x:c r="F68" s="27"/>
      <x:c r="G68" s="27"/>
      <x:c r="H68" s="24"/>
      <x:c r="I68" s="24"/>
      <x:c r="J68" s="24"/>
      <x:c r="K68" s="24"/>
    </x:row>
    <x:row r="69">
      <x:c r="A69" s="24"/>
      <x:c r="B69" s="24"/>
      <x:c r="C69" s="24"/>
      <x:c r="D69" s="27"/>
      <x:c r="E69" s="27"/>
      <x:c r="F69" s="27"/>
      <x:c r="G69" s="27"/>
      <x:c r="H69" s="24"/>
      <x:c r="I69" s="24"/>
      <x:c r="J69" s="24"/>
      <x:c r="K69" s="24"/>
    </x:row>
    <x:row r="70">
      <x:c r="A70" s="24"/>
      <x:c r="B70" s="24"/>
      <x:c r="C70" s="24"/>
      <x:c r="D70" s="27"/>
      <x:c r="E70" s="27"/>
      <x:c r="F70" s="27"/>
      <x:c r="G70" s="27"/>
      <x:c r="H70" s="24"/>
      <x:c r="I70" s="24"/>
      <x:c r="J70" s="24"/>
      <x:c r="K70" s="24"/>
    </x:row>
    <x:row r="71">
      <x:c r="A71" s="24"/>
      <x:c r="B71" s="24"/>
      <x:c r="C71" s="24"/>
      <x:c r="D71" s="27"/>
      <x:c r="E71" s="27"/>
      <x:c r="F71" s="27"/>
      <x:c r="G71" s="27"/>
      <x:c r="H71" s="24"/>
      <x:c r="I71" s="24"/>
      <x:c r="J71" s="24"/>
      <x:c r="K71" s="24"/>
    </x:row>
    <x:row r="72">
      <x:c r="A72" s="24"/>
      <x:c r="B72" s="24"/>
      <x:c r="C72" s="24"/>
      <x:c r="D72" s="27"/>
      <x:c r="E72" s="27"/>
      <x:c r="F72" s="27"/>
      <x:c r="G72" s="27"/>
      <x:c r="H72" s="24"/>
      <x:c r="I72" s="24"/>
      <x:c r="J72" s="24"/>
      <x:c r="K72" s="24"/>
    </x:row>
    <x:row r="73">
      <x:c r="A73" s="24"/>
      <x:c r="B73" s="24"/>
      <x:c r="C73" s="24"/>
      <x:c r="D73" s="27"/>
      <x:c r="E73" s="27"/>
      <x:c r="F73" s="27"/>
      <x:c r="G73" s="27"/>
      <x:c r="H73" s="24"/>
      <x:c r="I73" s="24"/>
      <x:c r="J73" s="24"/>
      <x:c r="K73" s="24"/>
    </x:row>
    <x:row r="74">
      <x:c r="A74" s="24"/>
      <x:c r="B74" s="24"/>
      <x:c r="C74" s="24"/>
      <x:c r="D74" s="27"/>
      <x:c r="E74" s="27"/>
      <x:c r="F74" s="27"/>
      <x:c r="G74" s="27"/>
      <x:c r="H74" s="24"/>
      <x:c r="I74" s="24"/>
      <x:c r="J74" s="24"/>
      <x:c r="K74" s="24"/>
    </x:row>
    <x:row r="75">
      <x:c r="A75" s="24"/>
      <x:c r="B75" s="24"/>
      <x:c r="C75" s="24"/>
      <x:c r="D75" s="27"/>
      <x:c r="E75" s="27"/>
      <x:c r="F75" s="27"/>
      <x:c r="G75" s="27"/>
      <x:c r="H75" s="24"/>
      <x:c r="I75" s="24"/>
      <x:c r="J75" s="24"/>
      <x:c r="K75" s="24"/>
    </x:row>
    <x:row r="76">
      <x:c r="A76" s="24"/>
      <x:c r="B76" s="24"/>
      <x:c r="C76" s="24"/>
      <x:c r="D76" s="27"/>
      <x:c r="E76" s="27"/>
      <x:c r="F76" s="27"/>
      <x:c r="G76" s="27"/>
      <x:c r="H76" s="24"/>
      <x:c r="I76" s="24"/>
      <x:c r="J76" s="24"/>
      <x:c r="K76" s="24"/>
    </x:row>
    <x:row r="77">
      <x:c r="A77" s="24"/>
      <x:c r="B77" s="24"/>
      <x:c r="C77" s="24"/>
      <x:c r="D77" s="27"/>
      <x:c r="E77" s="27"/>
      <x:c r="F77" s="27"/>
      <x:c r="G77" s="27"/>
      <x:c r="H77" s="24"/>
      <x:c r="I77" s="24"/>
      <x:c r="J77" s="24"/>
      <x:c r="K77" s="24"/>
    </x:row>
    <x:row r="78">
      <x:c r="A78" s="24"/>
      <x:c r="B78" s="24"/>
      <x:c r="C78" s="24"/>
      <x:c r="D78" s="27"/>
      <x:c r="E78" s="27"/>
      <x:c r="F78" s="27"/>
      <x:c r="G78" s="27"/>
      <x:c r="H78" s="24"/>
      <x:c r="I78" s="24"/>
      <x:c r="J78" s="24"/>
      <x:c r="K78" s="24"/>
    </x:row>
    <x:row r="79">
      <x:c r="A79" s="24"/>
      <x:c r="B79" s="24"/>
      <x:c r="C79" s="24"/>
      <x:c r="D79" s="27"/>
      <x:c r="E79" s="27"/>
      <x:c r="F79" s="27"/>
      <x:c r="G79" s="27"/>
      <x:c r="H79" s="24"/>
      <x:c r="I79" s="24"/>
      <x:c r="J79" s="24"/>
      <x:c r="K79" s="24"/>
    </x:row>
    <x:row r="80">
      <x:c r="A80" s="24"/>
      <x:c r="B80" s="24"/>
      <x:c r="C80" s="24"/>
      <x:c r="D80" s="27"/>
      <x:c r="E80" s="27"/>
      <x:c r="F80" s="27"/>
      <x:c r="G80" s="27"/>
      <x:c r="H80" s="24"/>
      <x:c r="I80" s="24"/>
      <x:c r="J80" s="24"/>
      <x:c r="K80" s="24"/>
    </x:row>
    <x:row r="81">
      <x:c r="A81" s="24"/>
      <x:c r="B81" s="24"/>
      <x:c r="C81" s="24"/>
      <x:c r="D81" s="27"/>
      <x:c r="E81" s="27"/>
      <x:c r="F81" s="27"/>
      <x:c r="G81" s="27"/>
      <x:c r="H81" s="24"/>
      <x:c r="I81" s="24"/>
      <x:c r="J81" s="24"/>
      <x:c r="K81" s="24"/>
    </x:row>
    <x:row r="82">
      <x:c r="A82" s="24"/>
      <x:c r="B82" s="24"/>
      <x:c r="C82" s="24"/>
      <x:c r="D82" s="27"/>
      <x:c r="E82" s="27"/>
      <x:c r="F82" s="27"/>
      <x:c r="G82" s="27"/>
      <x:c r="H82" s="24"/>
      <x:c r="I82" s="24"/>
      <x:c r="J82" s="24"/>
      <x:c r="K82" s="24"/>
    </x:row>
    <x:row r="83">
      <x:c r="A83" s="24"/>
      <x:c r="B83" s="24"/>
      <x:c r="C83" s="24"/>
      <x:c r="D83" s="27"/>
      <x:c r="E83" s="27"/>
      <x:c r="F83" s="27"/>
      <x:c r="G83" s="27"/>
      <x:c r="H83" s="24"/>
      <x:c r="I83" s="24"/>
      <x:c r="J83" s="24"/>
      <x:c r="K83" s="24"/>
    </x:row>
    <x:row r="84">
      <x:c r="A84" s="24"/>
      <x:c r="B84" s="24"/>
      <x:c r="C84" s="24"/>
      <x:c r="D84" s="27"/>
      <x:c r="E84" s="27"/>
      <x:c r="F84" s="27"/>
      <x:c r="G84" s="27"/>
      <x:c r="H84" s="24"/>
      <x:c r="I84" s="24"/>
      <x:c r="J84" s="24"/>
      <x:c r="K84" s="24"/>
    </x:row>
    <x:row r="85">
      <x:c r="A85" s="24"/>
      <x:c r="B85" s="24"/>
      <x:c r="C85" s="24"/>
      <x:c r="D85" s="27"/>
      <x:c r="E85" s="27"/>
      <x:c r="F85" s="27"/>
      <x:c r="G85" s="27"/>
      <x:c r="H85" s="24"/>
      <x:c r="I85" s="24"/>
      <x:c r="J85" s="24"/>
      <x:c r="K85" s="24"/>
    </x:row>
    <x:row r="86">
      <x:c r="A86" s="24"/>
      <x:c r="B86" s="24"/>
      <x:c r="C86" s="24"/>
      <x:c r="D86" s="27"/>
      <x:c r="E86" s="27"/>
      <x:c r="F86" s="27"/>
      <x:c r="G86" s="27"/>
      <x:c r="H86" s="24"/>
      <x:c r="I86" s="24"/>
      <x:c r="J86" s="24"/>
      <x:c r="K86" s="24"/>
    </x:row>
    <x:row r="87">
      <x:c r="A87" s="24"/>
      <x:c r="B87" s="24"/>
      <x:c r="C87" s="24"/>
      <x:c r="D87" s="27"/>
      <x:c r="E87" s="27"/>
      <x:c r="F87" s="27"/>
      <x:c r="G87" s="27"/>
      <x:c r="H87" s="24"/>
      <x:c r="I87" s="24"/>
      <x:c r="J87" s="24"/>
      <x:c r="K87" s="24"/>
    </x:row>
    <x:row r="88">
      <x:c r="A88" s="24"/>
      <x:c r="B88" s="24"/>
      <x:c r="C88" s="24"/>
      <x:c r="D88" s="27"/>
      <x:c r="E88" s="27"/>
      <x:c r="F88" s="27"/>
      <x:c r="G88" s="27"/>
      <x:c r="H88" s="24"/>
      <x:c r="I88" s="24"/>
      <x:c r="J88" s="24"/>
      <x:c r="K88" s="24"/>
    </x:row>
    <x:row r="89">
      <x:c r="A89" s="24"/>
      <x:c r="B89" s="24"/>
      <x:c r="C89" s="24"/>
      <x:c r="D89" s="27"/>
      <x:c r="E89" s="27"/>
      <x:c r="F89" s="27"/>
      <x:c r="G89" s="27"/>
      <x:c r="H89" s="24"/>
      <x:c r="I89" s="24"/>
      <x:c r="J89" s="24"/>
      <x:c r="K89" s="24"/>
    </x:row>
    <x:row r="90">
      <x:c r="A90" s="24"/>
      <x:c r="B90" s="24"/>
      <x:c r="C90" s="24"/>
      <x:c r="D90" s="27"/>
      <x:c r="E90" s="27"/>
      <x:c r="F90" s="27"/>
      <x:c r="G90" s="27"/>
      <x:c r="H90" s="24"/>
      <x:c r="I90" s="24"/>
      <x:c r="J90" s="24"/>
      <x:c r="K90" s="24"/>
    </x:row>
    <x:row r="91">
      <x:c r="A91" s="24"/>
      <x:c r="B91" s="24"/>
      <x:c r="C91" s="24"/>
      <x:c r="D91" s="27"/>
      <x:c r="E91" s="27"/>
      <x:c r="F91" s="27"/>
      <x:c r="G91" s="27"/>
      <x:c r="H91" s="24"/>
      <x:c r="I91" s="24"/>
      <x:c r="J91" s="24"/>
      <x:c r="K91" s="24"/>
    </x:row>
    <x:row r="92">
      <x:c r="A92" s="24"/>
      <x:c r="B92" s="24"/>
      <x:c r="C92" s="24"/>
      <x:c r="D92" s="27"/>
      <x:c r="E92" s="27"/>
      <x:c r="F92" s="27"/>
      <x:c r="G92" s="27"/>
      <x:c r="H92" s="24"/>
      <x:c r="I92" s="24"/>
      <x:c r="J92" s="24"/>
      <x:c r="K92" s="24"/>
    </x:row>
    <x:row r="93">
      <x:c r="A93" s="24"/>
      <x:c r="B93" s="24"/>
      <x:c r="C93" s="24"/>
      <x:c r="D93" s="27"/>
      <x:c r="E93" s="27"/>
      <x:c r="F93" s="27"/>
      <x:c r="G93" s="27"/>
      <x:c r="H93" s="24"/>
      <x:c r="I93" s="24"/>
      <x:c r="J93" s="24"/>
      <x:c r="K93" s="24"/>
    </x:row>
    <x:row r="94">
      <x:c r="A94" s="24"/>
      <x:c r="B94" s="24"/>
      <x:c r="C94" s="24"/>
      <x:c r="D94" s="27"/>
      <x:c r="E94" s="27"/>
      <x:c r="F94" s="27"/>
      <x:c r="G94" s="27"/>
      <x:c r="H94" s="24"/>
      <x:c r="I94" s="24"/>
      <x:c r="J94" s="24"/>
      <x:c r="K94" s="24"/>
    </x:row>
    <x:row r="95">
      <x:c r="A95" s="24"/>
      <x:c r="B95" s="24"/>
      <x:c r="C95" s="24"/>
      <x:c r="D95" s="27"/>
      <x:c r="E95" s="27"/>
      <x:c r="F95" s="27"/>
      <x:c r="G95" s="27"/>
      <x:c r="H95" s="24"/>
      <x:c r="I95" s="24"/>
      <x:c r="J95" s="24"/>
      <x:c r="K95" s="24"/>
    </x:row>
  </x:sheetData>
  <x:mergeCells>
    <x:mergeCell ref="A1:K1"/>
    <x:mergeCell ref="A2:K2"/>
  </x:mergeCells>
  <x:dataValidations count="6">
    <x:dataValidation type="list" sqref="B6:B95">
      <x:formula1>"Shared,Production,Engineering,QAC/R&amp;D,Planning,IT,Procurement,Logistics,Sales,Marketing,Finance,HR/Admin"</x:formula1>
    </x:dataValidation>
    <x:dataValidation type="list" sqref="C6:C95">
      <x:formula1>"Safety,Quality,Process/Technical,Machine/Equipment,Digital/Data/AI,Problem Solving,Leadership,Customer/Application,Sustainability,Work Discipline"</x:formula1>
    </x:dataValidation>
    <x:dataValidation type="list" sqref="F6:F95">
      <x:formula1>"Yes,No"</x:formula1>
    </x:dataValidation>
    <x:dataValidation type="list" sqref="H6:H95">
      <x:formula1>"Direct Observation,Practical Demonstration,Written/Oral Test,Work-Sample Review,System/Data Review,Project Evidence,Certification"</x:formula1>
    </x:dataValidation>
    <x:dataValidation type="whole" operator="between" sqref="I6:I95">
      <x:formula1>1</x:formula1>
      <x:formula2>60</x:formula2>
    </x:dataValidation>
    <x:dataValidation type="list" sqref="K6:K95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030fe9d9e6475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17" hidden="0" customWidth="1"/>
    <x:col min="3" max="3" width="34" hidden="0" customWidth="1"/>
    <x:col min="4" max="4" width="22" hidden="0" customWidth="1"/>
    <x:col min="5" max="5" width="18" hidden="0" customWidth="1"/>
    <x:col min="6" max="6" width="38" hidden="0" customWidth="1"/>
    <x:col min="7" max="7" width="19" hidden="0" customWidth="1"/>
    <x:col min="8" max="8" width="14" hidden="0" customWidth="1"/>
    <x:col min="9" max="9" width="12" hidden="0" customWidth="1"/>
    <x:col min="10" max="10" width="14" hidden="0" customWidth="1"/>
    <x:col min="11" max="11" width="17" hidden="0" customWidth="1"/>
    <x:col min="12" max="12" width="16" hidden="0" customWidth="1"/>
    <x:col min="13" max="13" width="11" hidden="0" customWidth="1"/>
    <x:col min="14" max="14" width="22" hidden="0" customWidth="1"/>
    <x:col min="15" max="15" width="14" hidden="0" customWidth="1"/>
    <x:col min="16" max="16" width="58" hidden="0" customWidth="1"/>
    <x:col min="17" max="17" width="18" hidden="0" customWidth="1"/>
    <x:col min="18" max="18" width="18" hidden="0" customWidth="1"/>
  </x:cols>
  <x:sheetData>
    <x:row r="1" ht="30" customHeight="1">
      <x:c r="A1" s="3" t="str">
        <x:v>03 — Position Skill Requirements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6" customHeight="1">
      <x:c r="A2" s="7" t="str">
        <x:v>Starter profiles cover Production, Engineering, QAC/R&amp;D, Planning and IT. HODs must validate each level and evidence; active weights per position should total 100%.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5" ht="34" customHeight="1">
      <x:c r="A5" s="13" t="str">
        <x:v>Requirement Key</x:v>
      </x:c>
      <x:c r="B5" s="13" t="str">
        <x:v>Department</x:v>
      </x:c>
      <x:c r="C5" s="13" t="str">
        <x:v>Position</x:v>
      </x:c>
      <x:c r="D5" s="13" t="str">
        <x:v>Tier</x:v>
      </x:c>
      <x:c r="E5" s="13" t="str">
        <x:v>Skill ID</x:v>
      </x:c>
      <x:c r="F5" s="13" t="str">
        <x:v>Skill Name</x:v>
      </x:c>
      <x:c r="G5" s="13" t="str">
        <x:v>Category</x:v>
      </x:c>
      <x:c r="H5" s="13" t="str">
        <x:v>Criticality</x:v>
      </x:c>
      <x:c r="I5" s="13" t="str">
        <x:v>Weight %</x:v>
      </x:c>
      <x:c r="J5" s="13" t="str">
        <x:v>Required Level</x:v>
      </x:c>
      <x:c r="K5" s="13" t="str">
        <x:v>Mandatory Certification?</x:v>
      </x:c>
      <x:c r="L5" s="13" t="str">
        <x:v>Reassessment (Months)</x:v>
      </x:c>
      <x:c r="M5" s="13" t="str">
        <x:v>Active?</x:v>
      </x:c>
      <x:c r="N5" s="13" t="str">
        <x:v>Requirement Owner</x:v>
      </x:c>
      <x:c r="O5" s="13" t="str">
        <x:v>Effective Date</x:v>
      </x:c>
      <x:c r="P5" s="13" t="str">
        <x:v>Position-Specific Evidence / Standard</x:v>
      </x:c>
      <x:c r="Q5" s="13" t="str">
        <x:v>Position Weight Total</x:v>
      </x:c>
      <x:c r="R5" s="13" t="str">
        <x:v>Profile Check</x:v>
      </x:c>
    </x:row>
    <x:row r="6">
      <x:c r="A6" s="25" t="str">
        <x:f>IF(OR(B6="",C6="",E6=""),"",B6&amp;"|"&amp;C6&amp;"|"&amp;E6)</x:f>
        <x:v>Production|Production HOD / Manager|CORE-SAF-001</x:v>
      </x:c>
      <x:c r="B6" s="24" t="str">
        <x:v>Production</x:v>
      </x:c>
      <x:c r="C6" s="24" t="str">
        <x:v>Production HOD / Manager</x:v>
      </x:c>
      <x:c r="D6" s="24" t="str">
        <x:v>Leader</x:v>
      </x:c>
      <x:c r="E6" s="24" t="str">
        <x:v>CORE-SAF-001</x:v>
      </x:c>
      <x:c r="F6" s="25" t="str">
        <x:f>IF(E6="","",IFERROR(VLOOKUP(E6,'02 Skill Catalogue'!$A$6:$K$95,4,FALSE),"Skill ID not found"))</x:f>
        <x:v>Safe work, PPE and hazard control</x:v>
      </x:c>
      <x:c r="G6" s="25" t="str">
        <x:f>IF(E6="","",IFERROR(VLOOKUP(E6,'02 Skill Catalogue'!$A$6:$K$95,3,FALSE),""))</x:f>
        <x:v>Safety</x:v>
      </x:c>
      <x:c r="H6" s="24" t="str">
        <x:v>Critical</x:v>
      </x:c>
      <x:c r="I6" s="28" t="n">
        <x:v>0.125</x:v>
      </x:c>
      <x:c r="J6" s="24" t="n">
        <x:v>4</x:v>
      </x:c>
      <x:c r="K6" s="24" t="str">
        <x:v>No</x:v>
      </x:c>
      <x:c r="L6" s="24" t="n">
        <x:v>12</x:v>
      </x:c>
      <x:c r="M6" s="24" t="str">
        <x:v>Yes</x:v>
      </x:c>
      <x:c r="N6" s="24" t="str">
        <x:v>Production HOD</x:v>
      </x:c>
      <x:c r="O6" s="26" t="n">
        <x:v>46264</x:v>
      </x:c>
      <x:c r="P6" s="27" t="str">
        <x:v>Validate against current SBTG SOP/WI, machine, product and authority limits.</x:v>
      </x:c>
      <x:c r="Q6" s="29" t="n">
        <x:f>IF(OR(B6="",C6=""),"",SUMIFS($I$6:$I$285,$B$6:$B$285,B6,$C$6:$C$285,C6,$M$6:$M$285,"Yes"))</x:f>
        <x:v>1</x:v>
      </x:c>
      <x:c r="R6" s="25" t="str">
        <x:f>IF(A6="","",IF(ABS(Q6-1)&lt;0.0001,"Ready","Review Weight"))</x:f>
        <x:v>Ready</x:v>
      </x:c>
    </x:row>
    <x:row r="7">
      <x:c r="A7" s="25" t="str">
        <x:f>IF(OR(B7="",C7="",E7=""),"",B7&amp;"|"&amp;C7&amp;"|"&amp;E7)</x:f>
        <x:v>Production|Production HOD / Manager|CORE-QUAL-001</x:v>
      </x:c>
      <x:c r="B7" s="24" t="str">
        <x:v>Production</x:v>
      </x:c>
      <x:c r="C7" s="24" t="str">
        <x:v>Production HOD / Manager</x:v>
      </x:c>
      <x:c r="D7" s="24" t="str">
        <x:v>Leader</x:v>
      </x:c>
      <x:c r="E7" s="24" t="str">
        <x:v>CORE-QUAL-001</x:v>
      </x:c>
      <x:c r="F7" s="25" t="str">
        <x:f>IF(E7="","",IFERROR(VLOOKUP(E7,'02 Skill Catalogue'!$A$6:$K$95,4,FALSE),"Skill ID not found"))</x:f>
        <x:v>SOP and work-instruction discipline</x:v>
      </x:c>
      <x:c r="G7" s="25" t="str">
        <x:f>IF(E7="","",IFERROR(VLOOKUP(E7,'02 Skill Catalogue'!$A$6:$K$95,3,FALSE),""))</x:f>
        <x:v>Quality</x:v>
      </x:c>
      <x:c r="H7" s="24" t="str">
        <x:v>Critical</x:v>
      </x:c>
      <x:c r="I7" s="28" t="n">
        <x:v>0.125</x:v>
      </x:c>
      <x:c r="J7" s="24" t="n">
        <x:v>4</x:v>
      </x:c>
      <x:c r="K7" s="24" t="str">
        <x:v>No</x:v>
      </x:c>
      <x:c r="L7" s="24" t="n">
        <x:v>12</x:v>
      </x:c>
      <x:c r="M7" s="24" t="str">
        <x:v>Yes</x:v>
      </x:c>
      <x:c r="N7" s="24" t="str">
        <x:v>Production HOD</x:v>
      </x:c>
      <x:c r="O7" s="26" t="n">
        <x:v>46264</x:v>
      </x:c>
      <x:c r="P7" s="27" t="str">
        <x:v>Validate against current SBTG SOP/WI, machine, product and authority limits.</x:v>
      </x:c>
      <x:c r="Q7" s="29" t="n">
        <x:f>IF(OR(B7="",C7=""),"",SUMIFS($I$6:$I$285,$B$6:$B$285,B7,$C$6:$C$285,C7,$M$6:$M$285,"Yes"))</x:f>
        <x:v>1</x:v>
      </x:c>
      <x:c r="R7" s="25" t="str">
        <x:f>IF(A7="","",IF(ABS(Q7-1)&lt;0.0001,"Ready","Review Weight"))</x:f>
        <x:v>Ready</x:v>
      </x:c>
    </x:row>
    <x:row r="8">
      <x:c r="A8" s="25" t="str">
        <x:f>IF(OR(B8="",C8="",E8=""),"",B8&amp;"|"&amp;C8&amp;"|"&amp;E8)</x:f>
        <x:v>Production|Production HOD / Manager|CORE-DATA-001</x:v>
      </x:c>
      <x:c r="B8" s="24" t="str">
        <x:v>Production</x:v>
      </x:c>
      <x:c r="C8" s="24" t="str">
        <x:v>Production HOD / Manager</x:v>
      </x:c>
      <x:c r="D8" s="24" t="str">
        <x:v>Leader</x:v>
      </x:c>
      <x:c r="E8" s="24" t="str">
        <x:v>CORE-DATA-001</x:v>
      </x:c>
      <x:c r="F8" s="25" t="str">
        <x:f>IF(E8="","",IFERROR(VLOOKUP(E8,'02 Skill Catalogue'!$A$6:$K$95,4,FALSE),"Skill ID not found"))</x:f>
        <x:v>Accurate operational data recording</x:v>
      </x:c>
      <x:c r="G8" s="25" t="str">
        <x:f>IF(E8="","",IFERROR(VLOOKUP(E8,'02 Skill Catalogue'!$A$6:$K$95,3,FALSE),""))</x:f>
        <x:v>Digital/Data/AI</x:v>
      </x:c>
      <x:c r="H8" s="24" t="str">
        <x:v>Essential</x:v>
      </x:c>
      <x:c r="I8" s="28" t="n">
        <x:v>0.125</x:v>
      </x:c>
      <x:c r="J8" s="24" t="n">
        <x:v>4</x:v>
      </x:c>
      <x:c r="K8" s="24" t="str">
        <x:v>No</x:v>
      </x:c>
      <x:c r="L8" s="24" t="n">
        <x:v>12</x:v>
      </x:c>
      <x:c r="M8" s="24" t="str">
        <x:v>Yes</x:v>
      </x:c>
      <x:c r="N8" s="24" t="str">
        <x:v>Production HOD</x:v>
      </x:c>
      <x:c r="O8" s="26" t="n">
        <x:v>46264</x:v>
      </x:c>
      <x:c r="P8" s="27" t="str">
        <x:v>Validate against current SBTG SOP/WI, machine, product and authority limits.</x:v>
      </x:c>
      <x:c r="Q8" s="29" t="n">
        <x:f>IF(OR(B8="",C8=""),"",SUMIFS($I$6:$I$285,$B$6:$B$285,B8,$C$6:$C$285,C8,$M$6:$M$285,"Yes"))</x:f>
        <x:v>1</x:v>
      </x:c>
      <x:c r="R8" s="25" t="str">
        <x:f>IF(A8="","",IF(ABS(Q8-1)&lt;0.0001,"Ready","Review Weight"))</x:f>
        <x:v>Ready</x:v>
      </x:c>
    </x:row>
    <x:row r="9">
      <x:c r="A9" s="25" t="str">
        <x:f>IF(OR(B9="",C9="",E9=""),"",B9&amp;"|"&amp;C9&amp;"|"&amp;E9)</x:f>
        <x:v>Production|Production HOD / Manager|CORE-PROB-001</x:v>
      </x:c>
      <x:c r="B9" s="24" t="str">
        <x:v>Production</x:v>
      </x:c>
      <x:c r="C9" s="24" t="str">
        <x:v>Production HOD / Manager</x:v>
      </x:c>
      <x:c r="D9" s="24" t="str">
        <x:v>Leader</x:v>
      </x:c>
      <x:c r="E9" s="24" t="str">
        <x:v>CORE-PROB-001</x:v>
      </x:c>
      <x:c r="F9" s="25" t="str">
        <x:f>IF(E9="","",IFERROR(VLOOKUP(E9,'02 Skill Catalogue'!$A$6:$K$95,4,FALSE),"Skill ID not found"))</x:f>
        <x:v>Abnormality escalation and root-cause thinking</x:v>
      </x:c>
      <x:c r="G9" s="25" t="str">
        <x:f>IF(E9="","",IFERROR(VLOOKUP(E9,'02 Skill Catalogue'!$A$6:$K$95,3,FALSE),""))</x:f>
        <x:v>Problem Solving</x:v>
      </x:c>
      <x:c r="H9" s="24" t="str">
        <x:v>Essential</x:v>
      </x:c>
      <x:c r="I9" s="28" t="n">
        <x:v>0.125</x:v>
      </x:c>
      <x:c r="J9" s="24" t="n">
        <x:v>4</x:v>
      </x:c>
      <x:c r="K9" s="24" t="str">
        <x:v>No</x:v>
      </x:c>
      <x:c r="L9" s="24" t="n">
        <x:v>12</x:v>
      </x:c>
      <x:c r="M9" s="24" t="str">
        <x:v>Yes</x:v>
      </x:c>
      <x:c r="N9" s="24" t="str">
        <x:v>Production HOD</x:v>
      </x:c>
      <x:c r="O9" s="26" t="n">
        <x:v>46264</x:v>
      </x:c>
      <x:c r="P9" s="27" t="str">
        <x:v>Validate against current SBTG SOP/WI, machine, product and authority limits.</x:v>
      </x:c>
      <x:c r="Q9" s="29" t="n">
        <x:f>IF(OR(B9="",C9=""),"",SUMIFS($I$6:$I$285,$B$6:$B$285,B9,$C$6:$C$285,C9,$M$6:$M$285,"Yes"))</x:f>
        <x:v>1</x:v>
      </x:c>
      <x:c r="R9" s="25" t="str">
        <x:f>IF(A9="","",IF(ABS(Q9-1)&lt;0.0001,"Ready","Review Weight"))</x:f>
        <x:v>Ready</x:v>
      </x:c>
    </x:row>
    <x:row r="10">
      <x:c r="A10" s="25" t="str">
        <x:f>IF(OR(B10="",C10="",E10=""),"",B10&amp;"|"&amp;C10&amp;"|"&amp;E10)</x:f>
        <x:v>Production|Production HOD / Manager|PROD-WASTE-006</x:v>
      </x:c>
      <x:c r="B10" s="24" t="str">
        <x:v>Production</x:v>
      </x:c>
      <x:c r="C10" s="24" t="str">
        <x:v>Production HOD / Manager</x:v>
      </x:c>
      <x:c r="D10" s="24" t="str">
        <x:v>Leader</x:v>
      </x:c>
      <x:c r="E10" s="24" t="str">
        <x:v>PROD-WASTE-006</x:v>
      </x:c>
      <x:c r="F10" s="25" t="str">
        <x:f>IF(E10="","",IFERROR(VLOOKUP(E10,'02 Skill Catalogue'!$A$6:$K$95,4,FALSE),"Skill ID not found"))</x:f>
        <x:v>Yield, scrap and material-loss control</x:v>
      </x:c>
      <x:c r="G10" s="25" t="str">
        <x:f>IF(E10="","",IFERROR(VLOOKUP(E10,'02 Skill Catalogue'!$A$6:$K$95,3,FALSE),""))</x:f>
        <x:v>Sustainability</x:v>
      </x:c>
      <x:c r="H10" s="24" t="str">
        <x:v>Essential</x:v>
      </x:c>
      <x:c r="I10" s="28" t="n">
        <x:v>0.125</x:v>
      </x:c>
      <x:c r="J10" s="24" t="n">
        <x:v>4</x:v>
      </x:c>
      <x:c r="K10" s="24" t="str">
        <x:v>No</x:v>
      </x:c>
      <x:c r="L10" s="24" t="n">
        <x:v>12</x:v>
      </x:c>
      <x:c r="M10" s="24" t="str">
        <x:v>Yes</x:v>
      </x:c>
      <x:c r="N10" s="24" t="str">
        <x:v>Production HOD</x:v>
      </x:c>
      <x:c r="O10" s="26" t="n">
        <x:v>46264</x:v>
      </x:c>
      <x:c r="P10" s="27" t="str">
        <x:v>Validate against current SBTG SOP/WI, machine, product and authority limits.</x:v>
      </x:c>
      <x:c r="Q10" s="29" t="n">
        <x:f>IF(OR(B10="",C10=""),"",SUMIFS($I$6:$I$285,$B$6:$B$285,B10,$C$6:$C$285,C10,$M$6:$M$285,"Yes"))</x:f>
        <x:v>1</x:v>
      </x:c>
      <x:c r="R10" s="25" t="str">
        <x:f>IF(A10="","",IF(ABS(Q10-1)&lt;0.0001,"Ready","Review Weight"))</x:f>
        <x:v>Ready</x:v>
      </x:c>
    </x:row>
    <x:row r="11">
      <x:c r="A11" s="25" t="str">
        <x:f>IF(OR(B11="",C11="",E11=""),"",B11&amp;"|"&amp;C11&amp;"|"&amp;E11)</x:f>
        <x:v>Production|Production HOD / Manager|PROD-TROUBLE-010</x:v>
      </x:c>
      <x:c r="B11" s="24" t="str">
        <x:v>Production</x:v>
      </x:c>
      <x:c r="C11" s="24" t="str">
        <x:v>Production HOD / Manager</x:v>
      </x:c>
      <x:c r="D11" s="24" t="str">
        <x:v>Leader</x:v>
      </x:c>
      <x:c r="E11" s="24" t="str">
        <x:v>PROD-TROUBLE-010</x:v>
      </x:c>
      <x:c r="F11" s="25" t="str">
        <x:f>IF(E11="","",IFERROR(VLOOKUP(E11,'02 Skill Catalogue'!$A$6:$K$95,4,FALSE),"Skill ID not found"))</x:f>
        <x:v>Production troubleshooting</x:v>
      </x:c>
      <x:c r="G11" s="25" t="str">
        <x:f>IF(E11="","",IFERROR(VLOOKUP(E11,'02 Skill Catalogue'!$A$6:$K$95,3,FALSE),""))</x:f>
        <x:v>Problem Solving</x:v>
      </x:c>
      <x:c r="H11" s="24" t="str">
        <x:v>Critical</x:v>
      </x:c>
      <x:c r="I11" s="28" t="n">
        <x:v>0.125</x:v>
      </x:c>
      <x:c r="J11" s="24" t="n">
        <x:v>4</x:v>
      </x:c>
      <x:c r="K11" s="24" t="str">
        <x:v>No</x:v>
      </x:c>
      <x:c r="L11" s="24" t="n">
        <x:v>12</x:v>
      </x:c>
      <x:c r="M11" s="24" t="str">
        <x:v>Yes</x:v>
      </x:c>
      <x:c r="N11" s="24" t="str">
        <x:v>Production HOD</x:v>
      </x:c>
      <x:c r="O11" s="26" t="n">
        <x:v>46264</x:v>
      </x:c>
      <x:c r="P11" s="27" t="str">
        <x:v>Validate against current SBTG SOP/WI, machine, product and authority limits.</x:v>
      </x:c>
      <x:c r="Q11" s="29" t="n">
        <x:f>IF(OR(B11="",C11=""),"",SUMIFS($I$6:$I$285,$B$6:$B$285,B11,$C$6:$C$285,C11,$M$6:$M$285,"Yes"))</x:f>
        <x:v>1</x:v>
      </x:c>
      <x:c r="R11" s="25" t="str">
        <x:f>IF(A11="","",IF(ABS(Q11-1)&lt;0.0001,"Ready","Review Weight"))</x:f>
        <x:v>Ready</x:v>
      </x:c>
    </x:row>
    <x:row r="12">
      <x:c r="A12" s="25" t="str">
        <x:f>IF(OR(B12="",C12="",E12=""),"",B12&amp;"|"&amp;C12&amp;"|"&amp;E12)</x:f>
        <x:v>Production|Production HOD / Manager|LEAD-SYS-001</x:v>
      </x:c>
      <x:c r="B12" s="24" t="str">
        <x:v>Production</x:v>
      </x:c>
      <x:c r="C12" s="24" t="str">
        <x:v>Production HOD / Manager</x:v>
      </x:c>
      <x:c r="D12" s="24" t="str">
        <x:v>Leader</x:v>
      </x:c>
      <x:c r="E12" s="24" t="str">
        <x:v>LEAD-SYS-001</x:v>
      </x:c>
      <x:c r="F12" s="25" t="str">
        <x:f>IF(E12="","",IFERROR(VLOOKUP(E12,'02 Skill Catalogue'!$A$6:$K$95,4,FALSE),"Skill ID not found"))</x:f>
        <x:v>Process standardisation and system building</x:v>
      </x:c>
      <x:c r="G12" s="25" t="str">
        <x:f>IF(E12="","",IFERROR(VLOOKUP(E12,'02 Skill Catalogue'!$A$6:$K$95,3,FALSE),""))</x:f>
        <x:v>Leadership</x:v>
      </x:c>
      <x:c r="H12" s="24" t="str">
        <x:v>Essential</x:v>
      </x:c>
      <x:c r="I12" s="28" t="n">
        <x:v>0.125</x:v>
      </x:c>
      <x:c r="J12" s="24" t="n">
        <x:v>4</x:v>
      </x:c>
      <x:c r="K12" s="24" t="str">
        <x:v>No</x:v>
      </x:c>
      <x:c r="L12" s="24" t="n">
        <x:v>12</x:v>
      </x:c>
      <x:c r="M12" s="24" t="str">
        <x:v>Yes</x:v>
      </x:c>
      <x:c r="N12" s="24" t="str">
        <x:v>Production HOD</x:v>
      </x:c>
      <x:c r="O12" s="26" t="n">
        <x:v>46264</x:v>
      </x:c>
      <x:c r="P12" s="27" t="str">
        <x:v>Validate against current SBTG SOP/WI, machine, product and authority limits.</x:v>
      </x:c>
      <x:c r="Q12" s="29" t="n">
        <x:f>IF(OR(B12="",C12=""),"",SUMIFS($I$6:$I$285,$B$6:$B$285,B12,$C$6:$C$285,C12,$M$6:$M$285,"Yes"))</x:f>
        <x:v>1</x:v>
      </x:c>
      <x:c r="R12" s="25" t="str">
        <x:f>IF(A12="","",IF(ABS(Q12-1)&lt;0.0001,"Ready","Review Weight"))</x:f>
        <x:v>Ready</x:v>
      </x:c>
    </x:row>
    <x:row r="13">
      <x:c r="A13" s="25" t="str">
        <x:f>IF(OR(B13="",C13="",E13=""),"",B13&amp;"|"&amp;C13&amp;"|"&amp;E13)</x:f>
        <x:v>Production|Production HOD / Manager|LEAD-VALUE-003</x:v>
      </x:c>
      <x:c r="B13" s="24" t="str">
        <x:v>Production</x:v>
      </x:c>
      <x:c r="C13" s="24" t="str">
        <x:v>Production HOD / Manager</x:v>
      </x:c>
      <x:c r="D13" s="24" t="str">
        <x:v>Leader</x:v>
      </x:c>
      <x:c r="E13" s="24" t="str">
        <x:v>LEAD-VALUE-003</x:v>
      </x:c>
      <x:c r="F13" s="25" t="str">
        <x:f>IF(E13="","",IFERROR(VLOOKUP(E13,'02 Skill Catalogue'!$A$6:$K$95,4,FALSE),"Skill ID not found"))</x:f>
        <x:v>KPI ownership and value creation</x:v>
      </x:c>
      <x:c r="G13" s="25" t="str">
        <x:f>IF(E13="","",IFERROR(VLOOKUP(E13,'02 Skill Catalogue'!$A$6:$K$95,3,FALSE),""))</x:f>
        <x:v>Leadership</x:v>
      </x:c>
      <x:c r="H13" s="24" t="str">
        <x:v>Essential</x:v>
      </x:c>
      <x:c r="I13" s="28" t="n">
        <x:v>0.125</x:v>
      </x:c>
      <x:c r="J13" s="24" t="n">
        <x:v>4</x:v>
      </x:c>
      <x:c r="K13" s="24" t="str">
        <x:v>No</x:v>
      </x:c>
      <x:c r="L13" s="24" t="n">
        <x:v>12</x:v>
      </x:c>
      <x:c r="M13" s="24" t="str">
        <x:v>Yes</x:v>
      </x:c>
      <x:c r="N13" s="24" t="str">
        <x:v>Production HOD</x:v>
      </x:c>
      <x:c r="O13" s="26" t="n">
        <x:v>46264</x:v>
      </x:c>
      <x:c r="P13" s="27" t="str">
        <x:v>Validate against current SBTG SOP/WI, machine, product and authority limits.</x:v>
      </x:c>
      <x:c r="Q13" s="29" t="n">
        <x:f>IF(OR(B13="",C13=""),"",SUMIFS($I$6:$I$285,$B$6:$B$285,B13,$C$6:$C$285,C13,$M$6:$M$285,"Yes"))</x:f>
        <x:v>1</x:v>
      </x:c>
      <x:c r="R13" s="25" t="str">
        <x:f>IF(A13="","",IF(ABS(Q13-1)&lt;0.0001,"Ready","Review Weight"))</x:f>
        <x:v>Ready</x:v>
      </x:c>
    </x:row>
    <x:row r="14">
      <x:c r="A14" s="25" t="str">
        <x:f>IF(OR(B14="",C14="",E14=""),"",B14&amp;"|"&amp;C14&amp;"|"&amp;E14)</x:f>
        <x:v>Production|Shift / Production Leader|CORE-SAF-001</x:v>
      </x:c>
      <x:c r="B14" s="24" t="str">
        <x:v>Production</x:v>
      </x:c>
      <x:c r="C14" s="24" t="str">
        <x:v>Shift / Production Leader</x:v>
      </x:c>
      <x:c r="D14" s="24" t="str">
        <x:v>Leader</x:v>
      </x:c>
      <x:c r="E14" s="24" t="str">
        <x:v>CORE-SAF-001</x:v>
      </x:c>
      <x:c r="F14" s="25" t="str">
        <x:f>IF(E14="","",IFERROR(VLOOKUP(E14,'02 Skill Catalogue'!$A$6:$K$95,4,FALSE),"Skill ID not found"))</x:f>
        <x:v>Safe work, PPE and hazard control</x:v>
      </x:c>
      <x:c r="G14" s="25" t="str">
        <x:f>IF(E14="","",IFERROR(VLOOKUP(E14,'02 Skill Catalogue'!$A$6:$K$95,3,FALSE),""))</x:f>
        <x:v>Safety</x:v>
      </x:c>
      <x:c r="H14" s="24" t="str">
        <x:v>Critical</x:v>
      </x:c>
      <x:c r="I14" s="28" t="n">
        <x:v>0.125</x:v>
      </x:c>
      <x:c r="J14" s="24" t="n">
        <x:v>4</x:v>
      </x:c>
      <x:c r="K14" s="24" t="str">
        <x:v>No</x:v>
      </x:c>
      <x:c r="L14" s="24" t="n">
        <x:v>12</x:v>
      </x:c>
      <x:c r="M14" s="24" t="str">
        <x:v>Yes</x:v>
      </x:c>
      <x:c r="N14" s="24" t="str">
        <x:v>Production HOD</x:v>
      </x:c>
      <x:c r="O14" s="26" t="n">
        <x:v>46264</x:v>
      </x:c>
      <x:c r="P14" s="27" t="str">
        <x:v>Validate against current SBTG SOP/WI, machine, product and authority limits.</x:v>
      </x:c>
      <x:c r="Q14" s="29" t="n">
        <x:f>IF(OR(B14="",C14=""),"",SUMIFS($I$6:$I$285,$B$6:$B$285,B14,$C$6:$C$285,C14,$M$6:$M$285,"Yes"))</x:f>
        <x:v>1</x:v>
      </x:c>
      <x:c r="R14" s="25" t="str">
        <x:f>IF(A14="","",IF(ABS(Q14-1)&lt;0.0001,"Ready","Review Weight"))</x:f>
        <x:v>Ready</x:v>
      </x:c>
    </x:row>
    <x:row r="15">
      <x:c r="A15" s="25" t="str">
        <x:f>IF(OR(B15="",C15="",E15=""),"",B15&amp;"|"&amp;C15&amp;"|"&amp;E15)</x:f>
        <x:v>Production|Shift / Production Leader|CORE-QUAL-001</x:v>
      </x:c>
      <x:c r="B15" s="24" t="str">
        <x:v>Production</x:v>
      </x:c>
      <x:c r="C15" s="24" t="str">
        <x:v>Shift / Production Leader</x:v>
      </x:c>
      <x:c r="D15" s="24" t="str">
        <x:v>Leader</x:v>
      </x:c>
      <x:c r="E15" s="24" t="str">
        <x:v>CORE-QUAL-001</x:v>
      </x:c>
      <x:c r="F15" s="25" t="str">
        <x:f>IF(E15="","",IFERROR(VLOOKUP(E15,'02 Skill Catalogue'!$A$6:$K$95,4,FALSE),"Skill ID not found"))</x:f>
        <x:v>SOP and work-instruction discipline</x:v>
      </x:c>
      <x:c r="G15" s="25" t="str">
        <x:f>IF(E15="","",IFERROR(VLOOKUP(E15,'02 Skill Catalogue'!$A$6:$K$95,3,FALSE),""))</x:f>
        <x:v>Quality</x:v>
      </x:c>
      <x:c r="H15" s="24" t="str">
        <x:v>Critical</x:v>
      </x:c>
      <x:c r="I15" s="28" t="n">
        <x:v>0.125</x:v>
      </x:c>
      <x:c r="J15" s="24" t="n">
        <x:v>4</x:v>
      </x:c>
      <x:c r="K15" s="24" t="str">
        <x:v>No</x:v>
      </x:c>
      <x:c r="L15" s="24" t="n">
        <x:v>12</x:v>
      </x:c>
      <x:c r="M15" s="24" t="str">
        <x:v>Yes</x:v>
      </x:c>
      <x:c r="N15" s="24" t="str">
        <x:v>Production HOD</x:v>
      </x:c>
      <x:c r="O15" s="26" t="n">
        <x:v>46264</x:v>
      </x:c>
      <x:c r="P15" s="27" t="str">
        <x:v>Validate against current SBTG SOP/WI, machine, product and authority limits.</x:v>
      </x:c>
      <x:c r="Q15" s="29" t="n">
        <x:f>IF(OR(B15="",C15=""),"",SUMIFS($I$6:$I$285,$B$6:$B$285,B15,$C$6:$C$285,C15,$M$6:$M$285,"Yes"))</x:f>
        <x:v>1</x:v>
      </x:c>
      <x:c r="R15" s="25" t="str">
        <x:f>IF(A15="","",IF(ABS(Q15-1)&lt;0.0001,"Ready","Review Weight"))</x:f>
        <x:v>Ready</x:v>
      </x:c>
    </x:row>
    <x:row r="16">
      <x:c r="A16" s="25" t="str">
        <x:f>IF(OR(B16="",C16="",E16=""),"",B16&amp;"|"&amp;C16&amp;"|"&amp;E16)</x:f>
        <x:v>Production|Shift / Production Leader|CORE-DATA-001</x:v>
      </x:c>
      <x:c r="B16" s="24" t="str">
        <x:v>Production</x:v>
      </x:c>
      <x:c r="C16" s="24" t="str">
        <x:v>Shift / Production Leader</x:v>
      </x:c>
      <x:c r="D16" s="24" t="str">
        <x:v>Leader</x:v>
      </x:c>
      <x:c r="E16" s="24" t="str">
        <x:v>CORE-DATA-001</x:v>
      </x:c>
      <x:c r="F16" s="25" t="str">
        <x:f>IF(E16="","",IFERROR(VLOOKUP(E16,'02 Skill Catalogue'!$A$6:$K$95,4,FALSE),"Skill ID not found"))</x:f>
        <x:v>Accurate operational data recording</x:v>
      </x:c>
      <x:c r="G16" s="25" t="str">
        <x:f>IF(E16="","",IFERROR(VLOOKUP(E16,'02 Skill Catalogue'!$A$6:$K$95,3,FALSE),""))</x:f>
        <x:v>Digital/Data/AI</x:v>
      </x:c>
      <x:c r="H16" s="24" t="str">
        <x:v>Essential</x:v>
      </x:c>
      <x:c r="I16" s="28" t="n">
        <x:v>0.125</x:v>
      </x:c>
      <x:c r="J16" s="24" t="n">
        <x:v>3</x:v>
      </x:c>
      <x:c r="K16" s="24" t="str">
        <x:v>No</x:v>
      </x:c>
      <x:c r="L16" s="24" t="n">
        <x:v>12</x:v>
      </x:c>
      <x:c r="M16" s="24" t="str">
        <x:v>Yes</x:v>
      </x:c>
      <x:c r="N16" s="24" t="str">
        <x:v>Production HOD</x:v>
      </x:c>
      <x:c r="O16" s="26" t="n">
        <x:v>46264</x:v>
      </x:c>
      <x:c r="P16" s="27" t="str">
        <x:v>Validate against current SBTG SOP/WI, machine, product and authority limits.</x:v>
      </x:c>
      <x:c r="Q16" s="29" t="n">
        <x:f>IF(OR(B16="",C16=""),"",SUMIFS($I$6:$I$285,$B$6:$B$285,B16,$C$6:$C$285,C16,$M$6:$M$285,"Yes"))</x:f>
        <x:v>1</x:v>
      </x:c>
      <x:c r="R16" s="25" t="str">
        <x:f>IF(A16="","",IF(ABS(Q16-1)&lt;0.0001,"Ready","Review Weight"))</x:f>
        <x:v>Ready</x:v>
      </x:c>
    </x:row>
    <x:row r="17">
      <x:c r="A17" s="25" t="str">
        <x:f>IF(OR(B17="",C17="",E17=""),"",B17&amp;"|"&amp;C17&amp;"|"&amp;E17)</x:f>
        <x:v>Production|Shift / Production Leader|CORE-PROB-001</x:v>
      </x:c>
      <x:c r="B17" s="24" t="str">
        <x:v>Production</x:v>
      </x:c>
      <x:c r="C17" s="24" t="str">
        <x:v>Shift / Production Leader</x:v>
      </x:c>
      <x:c r="D17" s="24" t="str">
        <x:v>Leader</x:v>
      </x:c>
      <x:c r="E17" s="24" t="str">
        <x:v>CORE-PROB-001</x:v>
      </x:c>
      <x:c r="F17" s="25" t="str">
        <x:f>IF(E17="","",IFERROR(VLOOKUP(E17,'02 Skill Catalogue'!$A$6:$K$95,4,FALSE),"Skill ID not found"))</x:f>
        <x:v>Abnormality escalation and root-cause thinking</x:v>
      </x:c>
      <x:c r="G17" s="25" t="str">
        <x:f>IF(E17="","",IFERROR(VLOOKUP(E17,'02 Skill Catalogue'!$A$6:$K$95,3,FALSE),""))</x:f>
        <x:v>Problem Solving</x:v>
      </x:c>
      <x:c r="H17" s="24" t="str">
        <x:v>Essential</x:v>
      </x:c>
      <x:c r="I17" s="28" t="n">
        <x:v>0.125</x:v>
      </x:c>
      <x:c r="J17" s="24" t="n">
        <x:v>4</x:v>
      </x:c>
      <x:c r="K17" s="24" t="str">
        <x:v>No</x:v>
      </x:c>
      <x:c r="L17" s="24" t="n">
        <x:v>12</x:v>
      </x:c>
      <x:c r="M17" s="24" t="str">
        <x:v>Yes</x:v>
      </x:c>
      <x:c r="N17" s="24" t="str">
        <x:v>Production HOD</x:v>
      </x:c>
      <x:c r="O17" s="26" t="n">
        <x:v>46264</x:v>
      </x:c>
      <x:c r="P17" s="27" t="str">
        <x:v>Validate against current SBTG SOP/WI, machine, product and authority limits.</x:v>
      </x:c>
      <x:c r="Q17" s="29" t="n">
        <x:f>IF(OR(B17="",C17=""),"",SUMIFS($I$6:$I$285,$B$6:$B$285,B17,$C$6:$C$285,C17,$M$6:$M$285,"Yes"))</x:f>
        <x:v>1</x:v>
      </x:c>
      <x:c r="R17" s="25" t="str">
        <x:f>IF(A17="","",IF(ABS(Q17-1)&lt;0.0001,"Ready","Review Weight"))</x:f>
        <x:v>Ready</x:v>
      </x:c>
    </x:row>
    <x:row r="18">
      <x:c r="A18" s="25" t="str">
        <x:f>IF(OR(B18="",C18="",E18=""),"",B18&amp;"|"&amp;C18&amp;"|"&amp;E18)</x:f>
        <x:v>Production|Shift / Production Leader|PROD-PROC-003</x:v>
      </x:c>
      <x:c r="B18" s="24" t="str">
        <x:v>Production</x:v>
      </x:c>
      <x:c r="C18" s="24" t="str">
        <x:v>Shift / Production Leader</x:v>
      </x:c>
      <x:c r="D18" s="24" t="str">
        <x:v>Leader</x:v>
      </x:c>
      <x:c r="E18" s="24" t="str">
        <x:v>PROD-PROC-003</x:v>
      </x:c>
      <x:c r="F18" s="25" t="str">
        <x:f>IF(E18="","",IFERROR(VLOOKUP(E18,'02 Skill Catalogue'!$A$6:$K$95,4,FALSE),"Skill ID not found"))</x:f>
        <x:v>Process parameter control</x:v>
      </x:c>
      <x:c r="G18" s="25" t="str">
        <x:f>IF(E18="","",IFERROR(VLOOKUP(E18,'02 Skill Catalogue'!$A$6:$K$95,3,FALSE),""))</x:f>
        <x:v>Process/Technical</x:v>
      </x:c>
      <x:c r="H18" s="24" t="str">
        <x:v>Critical</x:v>
      </x:c>
      <x:c r="I18" s="28" t="n">
        <x:v>0.125</x:v>
      </x:c>
      <x:c r="J18" s="24" t="n">
        <x:v>4</x:v>
      </x:c>
      <x:c r="K18" s="24" t="str">
        <x:v>No</x:v>
      </x:c>
      <x:c r="L18" s="24" t="n">
        <x:v>12</x:v>
      </x:c>
      <x:c r="M18" s="24" t="str">
        <x:v>Yes</x:v>
      </x:c>
      <x:c r="N18" s="24" t="str">
        <x:v>Production HOD</x:v>
      </x:c>
      <x:c r="O18" s="26" t="n">
        <x:v>46264</x:v>
      </x:c>
      <x:c r="P18" s="27" t="str">
        <x:v>Validate against current SBTG SOP/WI, machine, product and authority limits.</x:v>
      </x:c>
      <x:c r="Q18" s="29" t="n">
        <x:f>IF(OR(B18="",C18=""),"",SUMIFS($I$6:$I$285,$B$6:$B$285,B18,$C$6:$C$285,C18,$M$6:$M$285,"Yes"))</x:f>
        <x:v>1</x:v>
      </x:c>
      <x:c r="R18" s="25" t="str">
        <x:f>IF(A18="","",IF(ABS(Q18-1)&lt;0.0001,"Ready","Review Weight"))</x:f>
        <x:v>Ready</x:v>
      </x:c>
    </x:row>
    <x:row r="19">
      <x:c r="A19" s="25" t="str">
        <x:f>IF(OR(B19="",C19="",E19=""),"",B19&amp;"|"&amp;C19&amp;"|"&amp;E19)</x:f>
        <x:v>Production|Shift / Production Leader|PROD-DEF-005</x:v>
      </x:c>
      <x:c r="B19" s="24" t="str">
        <x:v>Production</x:v>
      </x:c>
      <x:c r="C19" s="24" t="str">
        <x:v>Shift / Production Leader</x:v>
      </x:c>
      <x:c r="D19" s="24" t="str">
        <x:v>Leader</x:v>
      </x:c>
      <x:c r="E19" s="24" t="str">
        <x:v>PROD-DEF-005</x:v>
      </x:c>
      <x:c r="F19" s="25" t="str">
        <x:f>IF(E19="","",IFERROR(VLOOKUP(E19,'02 Skill Catalogue'!$A$6:$K$95,4,FALSE),"Skill ID not found"))</x:f>
        <x:v>Tape defect recognition and containment</x:v>
      </x:c>
      <x:c r="G19" s="25" t="str">
        <x:f>IF(E19="","",IFERROR(VLOOKUP(E19,'02 Skill Catalogue'!$A$6:$K$95,3,FALSE),""))</x:f>
        <x:v>Quality</x:v>
      </x:c>
      <x:c r="H19" s="24" t="str">
        <x:v>Critical</x:v>
      </x:c>
      <x:c r="I19" s="28" t="n">
        <x:v>0.125</x:v>
      </x:c>
      <x:c r="J19" s="24" t="n">
        <x:v>4</x:v>
      </x:c>
      <x:c r="K19" s="24" t="str">
        <x:v>No</x:v>
      </x:c>
      <x:c r="L19" s="24" t="n">
        <x:v>12</x:v>
      </x:c>
      <x:c r="M19" s="24" t="str">
        <x:v>Yes</x:v>
      </x:c>
      <x:c r="N19" s="24" t="str">
        <x:v>Production HOD</x:v>
      </x:c>
      <x:c r="O19" s="26" t="n">
        <x:v>46264</x:v>
      </x:c>
      <x:c r="P19" s="27" t="str">
        <x:v>Validate against current SBTG SOP/WI, machine, product and authority limits.</x:v>
      </x:c>
      <x:c r="Q19" s="29" t="n">
        <x:f>IF(OR(B19="",C19=""),"",SUMIFS($I$6:$I$285,$B$6:$B$285,B19,$C$6:$C$285,C19,$M$6:$M$285,"Yes"))</x:f>
        <x:v>1</x:v>
      </x:c>
      <x:c r="R19" s="25" t="str">
        <x:f>IF(A19="","",IF(ABS(Q19-1)&lt;0.0001,"Ready","Review Weight"))</x:f>
        <x:v>Ready</x:v>
      </x:c>
    </x:row>
    <x:row r="20">
      <x:c r="A20" s="25" t="str">
        <x:f>IF(OR(B20="",C20="",E20=""),"",B20&amp;"|"&amp;C20&amp;"|"&amp;E20)</x:f>
        <x:v>Production|Shift / Production Leader|PROD-LEAD-011</x:v>
      </x:c>
      <x:c r="B20" s="24" t="str">
        <x:v>Production</x:v>
      </x:c>
      <x:c r="C20" s="24" t="str">
        <x:v>Shift / Production Leader</x:v>
      </x:c>
      <x:c r="D20" s="24" t="str">
        <x:v>Leader</x:v>
      </x:c>
      <x:c r="E20" s="24" t="str">
        <x:v>PROD-LEAD-011</x:v>
      </x:c>
      <x:c r="F20" s="25" t="str">
        <x:f>IF(E20="","",IFERROR(VLOOKUP(E20,'02 Skill Catalogue'!$A$6:$K$95,4,FALSE),"Skill ID not found"))</x:f>
        <x:v>Shift coordination and escalation</x:v>
      </x:c>
      <x:c r="G20" s="25" t="str">
        <x:f>IF(E20="","",IFERROR(VLOOKUP(E20,'02 Skill Catalogue'!$A$6:$K$95,3,FALSE),""))</x:f>
        <x:v>Leadership</x:v>
      </x:c>
      <x:c r="H20" s="24" t="str">
        <x:v>Critical</x:v>
      </x:c>
      <x:c r="I20" s="28" t="n">
        <x:v>0.125</x:v>
      </x:c>
      <x:c r="J20" s="24" t="n">
        <x:v>4</x:v>
      </x:c>
      <x:c r="K20" s="24" t="str">
        <x:v>No</x:v>
      </x:c>
      <x:c r="L20" s="24" t="n">
        <x:v>12</x:v>
      </x:c>
      <x:c r="M20" s="24" t="str">
        <x:v>Yes</x:v>
      </x:c>
      <x:c r="N20" s="24" t="str">
        <x:v>Production HOD</x:v>
      </x:c>
      <x:c r="O20" s="26" t="n">
        <x:v>46264</x:v>
      </x:c>
      <x:c r="P20" s="27" t="str">
        <x:v>Validate against current SBTG SOP/WI, machine, product and authority limits.</x:v>
      </x:c>
      <x:c r="Q20" s="29" t="n">
        <x:f>IF(OR(B20="",C20=""),"",SUMIFS($I$6:$I$285,$B$6:$B$285,B20,$C$6:$C$285,C20,$M$6:$M$285,"Yes"))</x:f>
        <x:v>1</x:v>
      </x:c>
      <x:c r="R20" s="25" t="str">
        <x:f>IF(A20="","",IF(ABS(Q20-1)&lt;0.0001,"Ready","Review Weight"))</x:f>
        <x:v>Ready</x:v>
      </x:c>
    </x:row>
    <x:row r="21">
      <x:c r="A21" s="25" t="str">
        <x:f>IF(OR(B21="",C21="",E21=""),"",B21&amp;"|"&amp;C21&amp;"|"&amp;E21)</x:f>
        <x:v>Production|Shift / Production Leader|LEAD-COACH-002</x:v>
      </x:c>
      <x:c r="B21" s="24" t="str">
        <x:v>Production</x:v>
      </x:c>
      <x:c r="C21" s="24" t="str">
        <x:v>Shift / Production Leader</x:v>
      </x:c>
      <x:c r="D21" s="24" t="str">
        <x:v>Leader</x:v>
      </x:c>
      <x:c r="E21" s="24" t="str">
        <x:v>LEAD-COACH-002</x:v>
      </x:c>
      <x:c r="F21" s="25" t="str">
        <x:f>IF(E21="","",IFERROR(VLOOKUP(E21,'02 Skill Catalogue'!$A$6:$K$95,4,FALSE),"Skill ID not found"))</x:f>
        <x:v>Coaching, qualification and succession</x:v>
      </x:c>
      <x:c r="G21" s="25" t="str">
        <x:f>IF(E21="","",IFERROR(VLOOKUP(E21,'02 Skill Catalogue'!$A$6:$K$95,3,FALSE),""))</x:f>
        <x:v>Leadership</x:v>
      </x:c>
      <x:c r="H21" s="24" t="str">
        <x:v>Essential</x:v>
      </x:c>
      <x:c r="I21" s="28" t="n">
        <x:v>0.125</x:v>
      </x:c>
      <x:c r="J21" s="24" t="n">
        <x:v>3</x:v>
      </x:c>
      <x:c r="K21" s="24" t="str">
        <x:v>No</x:v>
      </x:c>
      <x:c r="L21" s="24" t="n">
        <x:v>12</x:v>
      </x:c>
      <x:c r="M21" s="24" t="str">
        <x:v>Yes</x:v>
      </x:c>
      <x:c r="N21" s="24" t="str">
        <x:v>Production HOD</x:v>
      </x:c>
      <x:c r="O21" s="26" t="n">
        <x:v>46264</x:v>
      </x:c>
      <x:c r="P21" s="27" t="str">
        <x:v>Validate against current SBTG SOP/WI, machine, product and authority limits.</x:v>
      </x:c>
      <x:c r="Q21" s="29" t="n">
        <x:f>IF(OR(B21="",C21=""),"",SUMIFS($I$6:$I$285,$B$6:$B$285,B21,$C$6:$C$285,C21,$M$6:$M$285,"Yes"))</x:f>
        <x:v>1</x:v>
      </x:c>
      <x:c r="R21" s="25" t="str">
        <x:f>IF(A21="","",IF(ABS(Q21-1)&lt;0.0001,"Ready","Review Weight"))</x:f>
        <x:v>Ready</x:v>
      </x:c>
    </x:row>
    <x:row r="22">
      <x:c r="A22" s="25" t="str">
        <x:f>IF(OR(B22="",C22="",E22=""),"",B22&amp;"|"&amp;C22&amp;"|"&amp;E22)</x:f>
        <x:v>Production|Coating Operator|CORE-SAF-001</x:v>
      </x:c>
      <x:c r="B22" s="24" t="str">
        <x:v>Production</x:v>
      </x:c>
      <x:c r="C22" s="24" t="str">
        <x:v>Coating Operator</x:v>
      </x:c>
      <x:c r="D22" s="24" t="str">
        <x:v>Operator/Technician</x:v>
      </x:c>
      <x:c r="E22" s="24" t="str">
        <x:v>CORE-SAF-001</x:v>
      </x:c>
      <x:c r="F22" s="25" t="str">
        <x:f>IF(E22="","",IFERROR(VLOOKUP(E22,'02 Skill Catalogue'!$A$6:$K$95,4,FALSE),"Skill ID not found"))</x:f>
        <x:v>Safe work, PPE and hazard control</x:v>
      </x:c>
      <x:c r="G22" s="25" t="str">
        <x:f>IF(E22="","",IFERROR(VLOOKUP(E22,'02 Skill Catalogue'!$A$6:$K$95,3,FALSE),""))</x:f>
        <x:v>Safety</x:v>
      </x:c>
      <x:c r="H22" s="24" t="str">
        <x:v>Critical</x:v>
      </x:c>
      <x:c r="I22" s="28" t="n">
        <x:v>0.125</x:v>
      </x:c>
      <x:c r="J22" s="24" t="n">
        <x:v>3</x:v>
      </x:c>
      <x:c r="K22" s="24" t="str">
        <x:v>No</x:v>
      </x:c>
      <x:c r="L22" s="24" t="n">
        <x:v>12</x:v>
      </x:c>
      <x:c r="M22" s="24" t="str">
        <x:v>Yes</x:v>
      </x:c>
      <x:c r="N22" s="24" t="str">
        <x:v>Production HOD</x:v>
      </x:c>
      <x:c r="O22" s="26" t="n">
        <x:v>46264</x:v>
      </x:c>
      <x:c r="P22" s="27" t="str">
        <x:v>Validate against current SBTG SOP/WI, machine, product and authority limits.</x:v>
      </x:c>
      <x:c r="Q22" s="29" t="n">
        <x:f>IF(OR(B22="",C22=""),"",SUMIFS($I$6:$I$285,$B$6:$B$285,B22,$C$6:$C$285,C22,$M$6:$M$285,"Yes"))</x:f>
        <x:v>1</x:v>
      </x:c>
      <x:c r="R22" s="25" t="str">
        <x:f>IF(A22="","",IF(ABS(Q22-1)&lt;0.0001,"Ready","Review Weight"))</x:f>
        <x:v>Ready</x:v>
      </x:c>
    </x:row>
    <x:row r="23">
      <x:c r="A23" s="25" t="str">
        <x:f>IF(OR(B23="",C23="",E23=""),"",B23&amp;"|"&amp;C23&amp;"|"&amp;E23)</x:f>
        <x:v>Production|Coating Operator|CORE-QUAL-001</x:v>
      </x:c>
      <x:c r="B23" s="24" t="str">
        <x:v>Production</x:v>
      </x:c>
      <x:c r="C23" s="24" t="str">
        <x:v>Coating Operator</x:v>
      </x:c>
      <x:c r="D23" s="24" t="str">
        <x:v>Operator/Technician</x:v>
      </x:c>
      <x:c r="E23" s="24" t="str">
        <x:v>CORE-QUAL-001</x:v>
      </x:c>
      <x:c r="F23" s="25" t="str">
        <x:f>IF(E23="","",IFERROR(VLOOKUP(E23,'02 Skill Catalogue'!$A$6:$K$95,4,FALSE),"Skill ID not found"))</x:f>
        <x:v>SOP and work-instruction discipline</x:v>
      </x:c>
      <x:c r="G23" s="25" t="str">
        <x:f>IF(E23="","",IFERROR(VLOOKUP(E23,'02 Skill Catalogue'!$A$6:$K$95,3,FALSE),""))</x:f>
        <x:v>Quality</x:v>
      </x:c>
      <x:c r="H23" s="24" t="str">
        <x:v>Critical</x:v>
      </x:c>
      <x:c r="I23" s="28" t="n">
        <x:v>0.125</x:v>
      </x:c>
      <x:c r="J23" s="24" t="n">
        <x:v>3</x:v>
      </x:c>
      <x:c r="K23" s="24" t="str">
        <x:v>No</x:v>
      </x:c>
      <x:c r="L23" s="24" t="n">
        <x:v>12</x:v>
      </x:c>
      <x:c r="M23" s="24" t="str">
        <x:v>Yes</x:v>
      </x:c>
      <x:c r="N23" s="24" t="str">
        <x:v>Production HOD</x:v>
      </x:c>
      <x:c r="O23" s="26" t="n">
        <x:v>46264</x:v>
      </x:c>
      <x:c r="P23" s="27" t="str">
        <x:v>Validate against current SBTG SOP/WI, machine, product and authority limits.</x:v>
      </x:c>
      <x:c r="Q23" s="29" t="n">
        <x:f>IF(OR(B23="",C23=""),"",SUMIFS($I$6:$I$285,$B$6:$B$285,B23,$C$6:$C$285,C23,$M$6:$M$285,"Yes"))</x:f>
        <x:v>1</x:v>
      </x:c>
      <x:c r="R23" s="25" t="str">
        <x:f>IF(A23="","",IF(ABS(Q23-1)&lt;0.0001,"Ready","Review Weight"))</x:f>
        <x:v>Ready</x:v>
      </x:c>
    </x:row>
    <x:row r="24">
      <x:c r="A24" s="25" t="str">
        <x:f>IF(OR(B24="",C24="",E24=""),"",B24&amp;"|"&amp;C24&amp;"|"&amp;E24)</x:f>
        <x:v>Production|Coating Operator|CORE-DATA-001</x:v>
      </x:c>
      <x:c r="B24" s="24" t="str">
        <x:v>Production</x:v>
      </x:c>
      <x:c r="C24" s="24" t="str">
        <x:v>Coating Operator</x:v>
      </x:c>
      <x:c r="D24" s="24" t="str">
        <x:v>Operator/Technician</x:v>
      </x:c>
      <x:c r="E24" s="24" t="str">
        <x:v>CORE-DATA-001</x:v>
      </x:c>
      <x:c r="F24" s="25" t="str">
        <x:f>IF(E24="","",IFERROR(VLOOKUP(E24,'02 Skill Catalogue'!$A$6:$K$95,4,FALSE),"Skill ID not found"))</x:f>
        <x:v>Accurate operational data recording</x:v>
      </x:c>
      <x:c r="G24" s="25" t="str">
        <x:f>IF(E24="","",IFERROR(VLOOKUP(E24,'02 Skill Catalogue'!$A$6:$K$95,3,FALSE),""))</x:f>
        <x:v>Digital/Data/AI</x:v>
      </x:c>
      <x:c r="H24" s="24" t="str">
        <x:v>Essential</x:v>
      </x:c>
      <x:c r="I24" s="28" t="n">
        <x:v>0.125</x:v>
      </x:c>
      <x:c r="J24" s="24" t="n">
        <x:v>3</x:v>
      </x:c>
      <x:c r="K24" s="24" t="str">
        <x:v>No</x:v>
      </x:c>
      <x:c r="L24" s="24" t="n">
        <x:v>12</x:v>
      </x:c>
      <x:c r="M24" s="24" t="str">
        <x:v>Yes</x:v>
      </x:c>
      <x:c r="N24" s="24" t="str">
        <x:v>Production HOD</x:v>
      </x:c>
      <x:c r="O24" s="26" t="n">
        <x:v>46264</x:v>
      </x:c>
      <x:c r="P24" s="27" t="str">
        <x:v>Validate against current SBTG SOP/WI, machine, product and authority limits.</x:v>
      </x:c>
      <x:c r="Q24" s="29" t="n">
        <x:f>IF(OR(B24="",C24=""),"",SUMIFS($I$6:$I$285,$B$6:$B$285,B24,$C$6:$C$285,C24,$M$6:$M$285,"Yes"))</x:f>
        <x:v>1</x:v>
      </x:c>
      <x:c r="R24" s="25" t="str">
        <x:f>IF(A24="","",IF(ABS(Q24-1)&lt;0.0001,"Ready","Review Weight"))</x:f>
        <x:v>Ready</x:v>
      </x:c>
    </x:row>
    <x:row r="25">
      <x:c r="A25" s="25" t="str">
        <x:f>IF(OR(B25="",C25="",E25=""),"",B25&amp;"|"&amp;C25&amp;"|"&amp;E25)</x:f>
        <x:v>Production|Coating Operator|PROD-COAT-001</x:v>
      </x:c>
      <x:c r="B25" s="24" t="str">
        <x:v>Production</x:v>
      </x:c>
      <x:c r="C25" s="24" t="str">
        <x:v>Coating Operator</x:v>
      </x:c>
      <x:c r="D25" s="24" t="str">
        <x:v>Operator/Technician</x:v>
      </x:c>
      <x:c r="E25" s="24" t="str">
        <x:v>PROD-COAT-001</x:v>
      </x:c>
      <x:c r="F25" s="25" t="str">
        <x:f>IF(E25="","",IFERROR(VLOOKUP(E25,'02 Skill Catalogue'!$A$6:$K$95,4,FALSE),"Skill ID not found"))</x:f>
        <x:v>Job order and product specification interpretation</x:v>
      </x:c>
      <x:c r="G25" s="25" t="str">
        <x:f>IF(E25="","",IFERROR(VLOOKUP(E25,'02 Skill Catalogue'!$A$6:$K$95,3,FALSE),""))</x:f>
        <x:v>Process/Technical</x:v>
      </x:c>
      <x:c r="H25" s="24" t="str">
        <x:v>Critical</x:v>
      </x:c>
      <x:c r="I25" s="28" t="n">
        <x:v>0.125</x:v>
      </x:c>
      <x:c r="J25" s="24" t="n">
        <x:v>3</x:v>
      </x:c>
      <x:c r="K25" s="24" t="str">
        <x:v>No</x:v>
      </x:c>
      <x:c r="L25" s="24" t="n">
        <x:v>12</x:v>
      </x:c>
      <x:c r="M25" s="24" t="str">
        <x:v>Yes</x:v>
      </x:c>
      <x:c r="N25" s="24" t="str">
        <x:v>Production HOD</x:v>
      </x:c>
      <x:c r="O25" s="26" t="n">
        <x:v>46264</x:v>
      </x:c>
      <x:c r="P25" s="27" t="str">
        <x:v>Validate against current SBTG SOP/WI, machine, product and authority limits.</x:v>
      </x:c>
      <x:c r="Q25" s="29" t="n">
        <x:f>IF(OR(B25="",C25=""),"",SUMIFS($I$6:$I$285,$B$6:$B$285,B25,$C$6:$C$285,C25,$M$6:$M$285,"Yes"))</x:f>
        <x:v>1</x:v>
      </x:c>
      <x:c r="R25" s="25" t="str">
        <x:f>IF(A25="","",IF(ABS(Q25-1)&lt;0.0001,"Ready","Review Weight"))</x:f>
        <x:v>Ready</x:v>
      </x:c>
    </x:row>
    <x:row r="26">
      <x:c r="A26" s="25" t="str">
        <x:f>IF(OR(B26="",C26="",E26=""),"",B26&amp;"|"&amp;C26&amp;"|"&amp;E26)</x:f>
        <x:v>Production|Coating Operator|PROD-COAT-002</x:v>
      </x:c>
      <x:c r="B26" s="24" t="str">
        <x:v>Production</x:v>
      </x:c>
      <x:c r="C26" s="24" t="str">
        <x:v>Coating Operator</x:v>
      </x:c>
      <x:c r="D26" s="24" t="str">
        <x:v>Operator/Technician</x:v>
      </x:c>
      <x:c r="E26" s="24" t="str">
        <x:v>PROD-COAT-002</x:v>
      </x:c>
      <x:c r="F26" s="25" t="str">
        <x:f>IF(E26="","",IFERROR(VLOOKUP(E26,'02 Skill Catalogue'!$A$6:$K$95,4,FALSE),"Skill ID not found"))</x:f>
        <x:v>Coating line setup and operation</x:v>
      </x:c>
      <x:c r="G26" s="25" t="str">
        <x:f>IF(E26="","",IFERROR(VLOOKUP(E26,'02 Skill Catalogue'!$A$6:$K$95,3,FALSE),""))</x:f>
        <x:v>Machine/Equipment</x:v>
      </x:c>
      <x:c r="H26" s="24" t="str">
        <x:v>Critical</x:v>
      </x:c>
      <x:c r="I26" s="28" t="n">
        <x:v>0.125</x:v>
      </x:c>
      <x:c r="J26" s="24" t="n">
        <x:v>3</x:v>
      </x:c>
      <x:c r="K26" s="24" t="str">
        <x:v>No</x:v>
      </x:c>
      <x:c r="L26" s="24" t="n">
        <x:v>12</x:v>
      </x:c>
      <x:c r="M26" s="24" t="str">
        <x:v>Yes</x:v>
      </x:c>
      <x:c r="N26" s="24" t="str">
        <x:v>Production HOD</x:v>
      </x:c>
      <x:c r="O26" s="26" t="n">
        <x:v>46264</x:v>
      </x:c>
      <x:c r="P26" s="27" t="str">
        <x:v>Validate against current SBTG SOP/WI, machine, product and authority limits.</x:v>
      </x:c>
      <x:c r="Q26" s="29" t="n">
        <x:f>IF(OR(B26="",C26=""),"",SUMIFS($I$6:$I$285,$B$6:$B$285,B26,$C$6:$C$285,C26,$M$6:$M$285,"Yes"))</x:f>
        <x:v>1</x:v>
      </x:c>
      <x:c r="R26" s="25" t="str">
        <x:f>IF(A26="","",IF(ABS(Q26-1)&lt;0.0001,"Ready","Review Weight"))</x:f>
        <x:v>Ready</x:v>
      </x:c>
    </x:row>
    <x:row r="27">
      <x:c r="A27" s="25" t="str">
        <x:f>IF(OR(B27="",C27="",E27=""),"",B27&amp;"|"&amp;C27&amp;"|"&amp;E27)</x:f>
        <x:v>Production|Coating Operator|PROD-PROC-003</x:v>
      </x:c>
      <x:c r="B27" s="24" t="str">
        <x:v>Production</x:v>
      </x:c>
      <x:c r="C27" s="24" t="str">
        <x:v>Coating Operator</x:v>
      </x:c>
      <x:c r="D27" s="24" t="str">
        <x:v>Operator/Technician</x:v>
      </x:c>
      <x:c r="E27" s="24" t="str">
        <x:v>PROD-PROC-003</x:v>
      </x:c>
      <x:c r="F27" s="25" t="str">
        <x:f>IF(E27="","",IFERROR(VLOOKUP(E27,'02 Skill Catalogue'!$A$6:$K$95,4,FALSE),"Skill ID not found"))</x:f>
        <x:v>Process parameter control</x:v>
      </x:c>
      <x:c r="G27" s="25" t="str">
        <x:f>IF(E27="","",IFERROR(VLOOKUP(E27,'02 Skill Catalogue'!$A$6:$K$95,3,FALSE),""))</x:f>
        <x:v>Process/Technical</x:v>
      </x:c>
      <x:c r="H27" s="24" t="str">
        <x:v>Critical</x:v>
      </x:c>
      <x:c r="I27" s="28" t="n">
        <x:v>0.125</x:v>
      </x:c>
      <x:c r="J27" s="24" t="n">
        <x:v>3</x:v>
      </x:c>
      <x:c r="K27" s="24" t="str">
        <x:v>No</x:v>
      </x:c>
      <x:c r="L27" s="24" t="n">
        <x:v>12</x:v>
      </x:c>
      <x:c r="M27" s="24" t="str">
        <x:v>Yes</x:v>
      </x:c>
      <x:c r="N27" s="24" t="str">
        <x:v>Production HOD</x:v>
      </x:c>
      <x:c r="O27" s="26" t="n">
        <x:v>46264</x:v>
      </x:c>
      <x:c r="P27" s="27" t="str">
        <x:v>Validate against current SBTG SOP/WI, machine, product and authority limits.</x:v>
      </x:c>
      <x:c r="Q27" s="29" t="n">
        <x:f>IF(OR(B27="",C27=""),"",SUMIFS($I$6:$I$285,$B$6:$B$285,B27,$C$6:$C$285,C27,$M$6:$M$285,"Yes"))</x:f>
        <x:v>1</x:v>
      </x:c>
      <x:c r="R27" s="25" t="str">
        <x:f>IF(A27="","",IF(ABS(Q27-1)&lt;0.0001,"Ready","Review Weight"))</x:f>
        <x:v>Ready</x:v>
      </x:c>
    </x:row>
    <x:row r="28">
      <x:c r="A28" s="25" t="str">
        <x:f>IF(OR(B28="",C28="",E28=""),"",B28&amp;"|"&amp;C28&amp;"|"&amp;E28)</x:f>
        <x:v>Production|Coating Operator|PROD-GLUE-004</x:v>
      </x:c>
      <x:c r="B28" s="24" t="str">
        <x:v>Production</x:v>
      </x:c>
      <x:c r="C28" s="24" t="str">
        <x:v>Coating Operator</x:v>
      </x:c>
      <x:c r="D28" s="24" t="str">
        <x:v>Operator/Technician</x:v>
      </x:c>
      <x:c r="E28" s="24" t="str">
        <x:v>PROD-GLUE-004</x:v>
      </x:c>
      <x:c r="F28" s="25" t="str">
        <x:f>IF(E28="","",IFERROR(VLOOKUP(E28,'02 Skill Catalogue'!$A$6:$K$95,4,FALSE),"Skill ID not found"))</x:f>
        <x:v>Adhesive handling and batch verification</x:v>
      </x:c>
      <x:c r="G28" s="25" t="str">
        <x:f>IF(E28="","",IFERROR(VLOOKUP(E28,'02 Skill Catalogue'!$A$6:$K$95,3,FALSE),""))</x:f>
        <x:v>Process/Technical</x:v>
      </x:c>
      <x:c r="H28" s="24" t="str">
        <x:v>Critical</x:v>
      </x:c>
      <x:c r="I28" s="28" t="n">
        <x:v>0.125</x:v>
      </x:c>
      <x:c r="J28" s="24" t="n">
        <x:v>3</x:v>
      </x:c>
      <x:c r="K28" s="24" t="str">
        <x:v>No</x:v>
      </x:c>
      <x:c r="L28" s="24" t="n">
        <x:v>12</x:v>
      </x:c>
      <x:c r="M28" s="24" t="str">
        <x:v>Yes</x:v>
      </x:c>
      <x:c r="N28" s="24" t="str">
        <x:v>Production HOD</x:v>
      </x:c>
      <x:c r="O28" s="26" t="n">
        <x:v>46264</x:v>
      </x:c>
      <x:c r="P28" s="27" t="str">
        <x:v>Validate against current SBTG SOP/WI, machine, product and authority limits.</x:v>
      </x:c>
      <x:c r="Q28" s="29" t="n">
        <x:f>IF(OR(B28="",C28=""),"",SUMIFS($I$6:$I$285,$B$6:$B$285,B28,$C$6:$C$285,C28,$M$6:$M$285,"Yes"))</x:f>
        <x:v>1</x:v>
      </x:c>
      <x:c r="R28" s="25" t="str">
        <x:f>IF(A28="","",IF(ABS(Q28-1)&lt;0.0001,"Ready","Review Weight"))</x:f>
        <x:v>Ready</x:v>
      </x:c>
    </x:row>
    <x:row r="29">
      <x:c r="A29" s="25" t="str">
        <x:f>IF(OR(B29="",C29="",E29=""),"",B29&amp;"|"&amp;C29&amp;"|"&amp;E29)</x:f>
        <x:v>Production|Coating Operator|PROD-DEF-005</x:v>
      </x:c>
      <x:c r="B29" s="24" t="str">
        <x:v>Production</x:v>
      </x:c>
      <x:c r="C29" s="24" t="str">
        <x:v>Coating Operator</x:v>
      </x:c>
      <x:c r="D29" s="24" t="str">
        <x:v>Operator/Technician</x:v>
      </x:c>
      <x:c r="E29" s="24" t="str">
        <x:v>PROD-DEF-005</x:v>
      </x:c>
      <x:c r="F29" s="25" t="str">
        <x:f>IF(E29="","",IFERROR(VLOOKUP(E29,'02 Skill Catalogue'!$A$6:$K$95,4,FALSE),"Skill ID not found"))</x:f>
        <x:v>Tape defect recognition and containment</x:v>
      </x:c>
      <x:c r="G29" s="25" t="str">
        <x:f>IF(E29="","",IFERROR(VLOOKUP(E29,'02 Skill Catalogue'!$A$6:$K$95,3,FALSE),""))</x:f>
        <x:v>Quality</x:v>
      </x:c>
      <x:c r="H29" s="24" t="str">
        <x:v>Critical</x:v>
      </x:c>
      <x:c r="I29" s="28" t="n">
        <x:v>0.125</x:v>
      </x:c>
      <x:c r="J29" s="24" t="n">
        <x:v>3</x:v>
      </x:c>
      <x:c r="K29" s="24" t="str">
        <x:v>No</x:v>
      </x:c>
      <x:c r="L29" s="24" t="n">
        <x:v>12</x:v>
      </x:c>
      <x:c r="M29" s="24" t="str">
        <x:v>Yes</x:v>
      </x:c>
      <x:c r="N29" s="24" t="str">
        <x:v>Production HOD</x:v>
      </x:c>
      <x:c r="O29" s="26" t="n">
        <x:v>46264</x:v>
      </x:c>
      <x:c r="P29" s="27" t="str">
        <x:v>Validate against current SBTG SOP/WI, machine, product and authority limits.</x:v>
      </x:c>
      <x:c r="Q29" s="29" t="n">
        <x:f>IF(OR(B29="",C29=""),"",SUMIFS($I$6:$I$285,$B$6:$B$285,B29,$C$6:$C$285,C29,$M$6:$M$285,"Yes"))</x:f>
        <x:v>1</x:v>
      </x:c>
      <x:c r="R29" s="25" t="str">
        <x:f>IF(A29="","",IF(ABS(Q29-1)&lt;0.0001,"Ready","Review Weight"))</x:f>
        <x:v>Ready</x:v>
      </x:c>
    </x:row>
    <x:row r="30">
      <x:c r="A30" s="25" t="str">
        <x:f>IF(OR(B30="",C30="",E30=""),"",B30&amp;"|"&amp;C30&amp;"|"&amp;E30)</x:f>
        <x:v>Production|Slitting Operator|CORE-SAF-001</x:v>
      </x:c>
      <x:c r="B30" s="24" t="str">
        <x:v>Production</x:v>
      </x:c>
      <x:c r="C30" s="24" t="str">
        <x:v>Slitting Operator</x:v>
      </x:c>
      <x:c r="D30" s="24" t="str">
        <x:v>Operator/Technician</x:v>
      </x:c>
      <x:c r="E30" s="24" t="str">
        <x:v>CORE-SAF-001</x:v>
      </x:c>
      <x:c r="F30" s="25" t="str">
        <x:f>IF(E30="","",IFERROR(VLOOKUP(E30,'02 Skill Catalogue'!$A$6:$K$95,4,FALSE),"Skill ID not found"))</x:f>
        <x:v>Safe work, PPE and hazard control</x:v>
      </x:c>
      <x:c r="G30" s="25" t="str">
        <x:f>IF(E30="","",IFERROR(VLOOKUP(E30,'02 Skill Catalogue'!$A$6:$K$95,3,FALSE),""))</x:f>
        <x:v>Safety</x:v>
      </x:c>
      <x:c r="H30" s="24" t="str">
        <x:v>Critical</x:v>
      </x:c>
      <x:c r="I30" s="28" t="n">
        <x:v>0.125</x:v>
      </x:c>
      <x:c r="J30" s="24" t="n">
        <x:v>3</x:v>
      </x:c>
      <x:c r="K30" s="24" t="str">
        <x:v>No</x:v>
      </x:c>
      <x:c r="L30" s="24" t="n">
        <x:v>12</x:v>
      </x:c>
      <x:c r="M30" s="24" t="str">
        <x:v>Yes</x:v>
      </x:c>
      <x:c r="N30" s="24" t="str">
        <x:v>Production HOD</x:v>
      </x:c>
      <x:c r="O30" s="26" t="n">
        <x:v>46264</x:v>
      </x:c>
      <x:c r="P30" s="27" t="str">
        <x:v>Validate against current SBTG SOP/WI, machine, product and authority limits.</x:v>
      </x:c>
      <x:c r="Q30" s="29" t="n">
        <x:f>IF(OR(B30="",C30=""),"",SUMIFS($I$6:$I$285,$B$6:$B$285,B30,$C$6:$C$285,C30,$M$6:$M$285,"Yes"))</x:f>
        <x:v>1</x:v>
      </x:c>
      <x:c r="R30" s="25" t="str">
        <x:f>IF(A30="","",IF(ABS(Q30-1)&lt;0.0001,"Ready","Review Weight"))</x:f>
        <x:v>Ready</x:v>
      </x:c>
    </x:row>
    <x:row r="31">
      <x:c r="A31" s="25" t="str">
        <x:f>IF(OR(B31="",C31="",E31=""),"",B31&amp;"|"&amp;C31&amp;"|"&amp;E31)</x:f>
        <x:v>Production|Slitting Operator|CORE-QUAL-001</x:v>
      </x:c>
      <x:c r="B31" s="24" t="str">
        <x:v>Production</x:v>
      </x:c>
      <x:c r="C31" s="24" t="str">
        <x:v>Slitting Operator</x:v>
      </x:c>
      <x:c r="D31" s="24" t="str">
        <x:v>Operator/Technician</x:v>
      </x:c>
      <x:c r="E31" s="24" t="str">
        <x:v>CORE-QUAL-001</x:v>
      </x:c>
      <x:c r="F31" s="25" t="str">
        <x:f>IF(E31="","",IFERROR(VLOOKUP(E31,'02 Skill Catalogue'!$A$6:$K$95,4,FALSE),"Skill ID not found"))</x:f>
        <x:v>SOP and work-instruction discipline</x:v>
      </x:c>
      <x:c r="G31" s="25" t="str">
        <x:f>IF(E31="","",IFERROR(VLOOKUP(E31,'02 Skill Catalogue'!$A$6:$K$95,3,FALSE),""))</x:f>
        <x:v>Quality</x:v>
      </x:c>
      <x:c r="H31" s="24" t="str">
        <x:v>Critical</x:v>
      </x:c>
      <x:c r="I31" s="28" t="n">
        <x:v>0.125</x:v>
      </x:c>
      <x:c r="J31" s="24" t="n">
        <x:v>3</x:v>
      </x:c>
      <x:c r="K31" s="24" t="str">
        <x:v>No</x:v>
      </x:c>
      <x:c r="L31" s="24" t="n">
        <x:v>12</x:v>
      </x:c>
      <x:c r="M31" s="24" t="str">
        <x:v>Yes</x:v>
      </x:c>
      <x:c r="N31" s="24" t="str">
        <x:v>Production HOD</x:v>
      </x:c>
      <x:c r="O31" s="26" t="n">
        <x:v>46264</x:v>
      </x:c>
      <x:c r="P31" s="27" t="str">
        <x:v>Validate against current SBTG SOP/WI, machine, product and authority limits.</x:v>
      </x:c>
      <x:c r="Q31" s="29" t="n">
        <x:f>IF(OR(B31="",C31=""),"",SUMIFS($I$6:$I$285,$B$6:$B$285,B31,$C$6:$C$285,C31,$M$6:$M$285,"Yes"))</x:f>
        <x:v>1</x:v>
      </x:c>
      <x:c r="R31" s="25" t="str">
        <x:f>IF(A31="","",IF(ABS(Q31-1)&lt;0.0001,"Ready","Review Weight"))</x:f>
        <x:v>Ready</x:v>
      </x:c>
    </x:row>
    <x:row r="32">
      <x:c r="A32" s="25" t="str">
        <x:f>IF(OR(B32="",C32="",E32=""),"",B32&amp;"|"&amp;C32&amp;"|"&amp;E32)</x:f>
        <x:v>Production|Slitting Operator|CORE-DATA-001</x:v>
      </x:c>
      <x:c r="B32" s="24" t="str">
        <x:v>Production</x:v>
      </x:c>
      <x:c r="C32" s="24" t="str">
        <x:v>Slitting Operator</x:v>
      </x:c>
      <x:c r="D32" s="24" t="str">
        <x:v>Operator/Technician</x:v>
      </x:c>
      <x:c r="E32" s="24" t="str">
        <x:v>CORE-DATA-001</x:v>
      </x:c>
      <x:c r="F32" s="25" t="str">
        <x:f>IF(E32="","",IFERROR(VLOOKUP(E32,'02 Skill Catalogue'!$A$6:$K$95,4,FALSE),"Skill ID not found"))</x:f>
        <x:v>Accurate operational data recording</x:v>
      </x:c>
      <x:c r="G32" s="25" t="str">
        <x:f>IF(E32="","",IFERROR(VLOOKUP(E32,'02 Skill Catalogue'!$A$6:$K$95,3,FALSE),""))</x:f>
        <x:v>Digital/Data/AI</x:v>
      </x:c>
      <x:c r="H32" s="24" t="str">
        <x:v>Essential</x:v>
      </x:c>
      <x:c r="I32" s="28" t="n">
        <x:v>0.125</x:v>
      </x:c>
      <x:c r="J32" s="24" t="n">
        <x:v>3</x:v>
      </x:c>
      <x:c r="K32" s="24" t="str">
        <x:v>No</x:v>
      </x:c>
      <x:c r="L32" s="24" t="n">
        <x:v>12</x:v>
      </x:c>
      <x:c r="M32" s="24" t="str">
        <x:v>Yes</x:v>
      </x:c>
      <x:c r="N32" s="24" t="str">
        <x:v>Production HOD</x:v>
      </x:c>
      <x:c r="O32" s="26" t="n">
        <x:v>46264</x:v>
      </x:c>
      <x:c r="P32" s="27" t="str">
        <x:v>Validate against current SBTG SOP/WI, machine, product and authority limits.</x:v>
      </x:c>
      <x:c r="Q32" s="29" t="n">
        <x:f>IF(OR(B32="",C32=""),"",SUMIFS($I$6:$I$285,$B$6:$B$285,B32,$C$6:$C$285,C32,$M$6:$M$285,"Yes"))</x:f>
        <x:v>1</x:v>
      </x:c>
      <x:c r="R32" s="25" t="str">
        <x:f>IF(A32="","",IF(ABS(Q32-1)&lt;0.0001,"Ready","Review Weight"))</x:f>
        <x:v>Ready</x:v>
      </x:c>
    </x:row>
    <x:row r="33">
      <x:c r="A33" s="25" t="str">
        <x:f>IF(OR(B33="",C33="",E33=""),"",B33&amp;"|"&amp;C33&amp;"|"&amp;E33)</x:f>
        <x:v>Production|Slitting Operator|PROD-SLIT-013</x:v>
      </x:c>
      <x:c r="B33" s="24" t="str">
        <x:v>Production</x:v>
      </x:c>
      <x:c r="C33" s="24" t="str">
        <x:v>Slitting Operator</x:v>
      </x:c>
      <x:c r="D33" s="24" t="str">
        <x:v>Operator/Technician</x:v>
      </x:c>
      <x:c r="E33" s="24" t="str">
        <x:v>PROD-SLIT-013</x:v>
      </x:c>
      <x:c r="F33" s="25" t="str">
        <x:f>IF(E33="","",IFERROR(VLOOKUP(E33,'02 Skill Catalogue'!$A$6:$K$95,4,FALSE),"Skill ID not found"))</x:f>
        <x:v>Slitting and rewinding operation</x:v>
      </x:c>
      <x:c r="G33" s="25" t="str">
        <x:f>IF(E33="","",IFERROR(VLOOKUP(E33,'02 Skill Catalogue'!$A$6:$K$95,3,FALSE),""))</x:f>
        <x:v>Machine/Equipment</x:v>
      </x:c>
      <x:c r="H33" s="24" t="str">
        <x:v>Critical</x:v>
      </x:c>
      <x:c r="I33" s="28" t="n">
        <x:v>0.125</x:v>
      </x:c>
      <x:c r="J33" s="24" t="n">
        <x:v>3</x:v>
      </x:c>
      <x:c r="K33" s="24" t="str">
        <x:v>No</x:v>
      </x:c>
      <x:c r="L33" s="24" t="n">
        <x:v>12</x:v>
      </x:c>
      <x:c r="M33" s="24" t="str">
        <x:v>Yes</x:v>
      </x:c>
      <x:c r="N33" s="24" t="str">
        <x:v>Production HOD</x:v>
      </x:c>
      <x:c r="O33" s="26" t="n">
        <x:v>46264</x:v>
      </x:c>
      <x:c r="P33" s="27" t="str">
        <x:v>Validate against current SBTG SOP/WI, machine, product and authority limits.</x:v>
      </x:c>
      <x:c r="Q33" s="29" t="n">
        <x:f>IF(OR(B33="",C33=""),"",SUMIFS($I$6:$I$285,$B$6:$B$285,B33,$C$6:$C$285,C33,$M$6:$M$285,"Yes"))</x:f>
        <x:v>1</x:v>
      </x:c>
      <x:c r="R33" s="25" t="str">
        <x:f>IF(A33="","",IF(ABS(Q33-1)&lt;0.0001,"Ready","Review Weight"))</x:f>
        <x:v>Ready</x:v>
      </x:c>
    </x:row>
    <x:row r="34">
      <x:c r="A34" s="25" t="str">
        <x:f>IF(OR(B34="",C34="",E34=""),"",B34&amp;"|"&amp;C34&amp;"|"&amp;E34)</x:f>
        <x:v>Production|Slitting Operator|PROD-DEF-005</x:v>
      </x:c>
      <x:c r="B34" s="24" t="str">
        <x:v>Production</x:v>
      </x:c>
      <x:c r="C34" s="24" t="str">
        <x:v>Slitting Operator</x:v>
      </x:c>
      <x:c r="D34" s="24" t="str">
        <x:v>Operator/Technician</x:v>
      </x:c>
      <x:c r="E34" s="24" t="str">
        <x:v>PROD-DEF-005</x:v>
      </x:c>
      <x:c r="F34" s="25" t="str">
        <x:f>IF(E34="","",IFERROR(VLOOKUP(E34,'02 Skill Catalogue'!$A$6:$K$95,4,FALSE),"Skill ID not found"))</x:f>
        <x:v>Tape defect recognition and containment</x:v>
      </x:c>
      <x:c r="G34" s="25" t="str">
        <x:f>IF(E34="","",IFERROR(VLOOKUP(E34,'02 Skill Catalogue'!$A$6:$K$95,3,FALSE),""))</x:f>
        <x:v>Quality</x:v>
      </x:c>
      <x:c r="H34" s="24" t="str">
        <x:v>Critical</x:v>
      </x:c>
      <x:c r="I34" s="28" t="n">
        <x:v>0.125</x:v>
      </x:c>
      <x:c r="J34" s="24" t="n">
        <x:v>3</x:v>
      </x:c>
      <x:c r="K34" s="24" t="str">
        <x:v>No</x:v>
      </x:c>
      <x:c r="L34" s="24" t="n">
        <x:v>12</x:v>
      </x:c>
      <x:c r="M34" s="24" t="str">
        <x:v>Yes</x:v>
      </x:c>
      <x:c r="N34" s="24" t="str">
        <x:v>Production HOD</x:v>
      </x:c>
      <x:c r="O34" s="26" t="n">
        <x:v>46264</x:v>
      </x:c>
      <x:c r="P34" s="27" t="str">
        <x:v>Validate against current SBTG SOP/WI, machine, product and authority limits.</x:v>
      </x:c>
      <x:c r="Q34" s="29" t="n">
        <x:f>IF(OR(B34="",C34=""),"",SUMIFS($I$6:$I$285,$B$6:$B$285,B34,$C$6:$C$285,C34,$M$6:$M$285,"Yes"))</x:f>
        <x:v>1</x:v>
      </x:c>
      <x:c r="R34" s="25" t="str">
        <x:f>IF(A34="","",IF(ABS(Q34-1)&lt;0.0001,"Ready","Review Weight"))</x:f>
        <x:v>Ready</x:v>
      </x:c>
    </x:row>
    <x:row r="35">
      <x:c r="A35" s="25" t="str">
        <x:f>IF(OR(B35="",C35="",E35=""),"",B35&amp;"|"&amp;C35&amp;"|"&amp;E35)</x:f>
        <x:v>Production|Slitting Operator|PROD-WASTE-006</x:v>
      </x:c>
      <x:c r="B35" s="24" t="str">
        <x:v>Production</x:v>
      </x:c>
      <x:c r="C35" s="24" t="str">
        <x:v>Slitting Operator</x:v>
      </x:c>
      <x:c r="D35" s="24" t="str">
        <x:v>Operator/Technician</x:v>
      </x:c>
      <x:c r="E35" s="24" t="str">
        <x:v>PROD-WASTE-006</x:v>
      </x:c>
      <x:c r="F35" s="25" t="str">
        <x:f>IF(E35="","",IFERROR(VLOOKUP(E35,'02 Skill Catalogue'!$A$6:$K$95,4,FALSE),"Skill ID not found"))</x:f>
        <x:v>Yield, scrap and material-loss control</x:v>
      </x:c>
      <x:c r="G35" s="25" t="str">
        <x:f>IF(E35="","",IFERROR(VLOOKUP(E35,'02 Skill Catalogue'!$A$6:$K$95,3,FALSE),""))</x:f>
        <x:v>Sustainability</x:v>
      </x:c>
      <x:c r="H35" s="24" t="str">
        <x:v>Essential</x:v>
      </x:c>
      <x:c r="I35" s="28" t="n">
        <x:v>0.125</x:v>
      </x:c>
      <x:c r="J35" s="24" t="n">
        <x:v>2</x:v>
      </x:c>
      <x:c r="K35" s="24" t="str">
        <x:v>No</x:v>
      </x:c>
      <x:c r="L35" s="24" t="n">
        <x:v>12</x:v>
      </x:c>
      <x:c r="M35" s="24" t="str">
        <x:v>Yes</x:v>
      </x:c>
      <x:c r="N35" s="24" t="str">
        <x:v>Production HOD</x:v>
      </x:c>
      <x:c r="O35" s="26" t="n">
        <x:v>46264</x:v>
      </x:c>
      <x:c r="P35" s="27" t="str">
        <x:v>Validate against current SBTG SOP/WI, machine, product and authority limits.</x:v>
      </x:c>
      <x:c r="Q35" s="29" t="n">
        <x:f>IF(OR(B35="",C35=""),"",SUMIFS($I$6:$I$285,$B$6:$B$285,B35,$C$6:$C$285,C35,$M$6:$M$285,"Yes"))</x:f>
        <x:v>1</x:v>
      </x:c>
      <x:c r="R35" s="25" t="str">
        <x:f>IF(A35="","",IF(ABS(Q35-1)&lt;0.0001,"Ready","Review Weight"))</x:f>
        <x:v>Ready</x:v>
      </x:c>
    </x:row>
    <x:row r="36">
      <x:c r="A36" s="25" t="str">
        <x:f>IF(OR(B36="",C36="",E36=""),"",B36&amp;"|"&amp;C36&amp;"|"&amp;E36)</x:f>
        <x:v>Production|Slitting Operator|PROD-CHANGE-007</x:v>
      </x:c>
      <x:c r="B36" s="24" t="str">
        <x:v>Production</x:v>
      </x:c>
      <x:c r="C36" s="24" t="str">
        <x:v>Slitting Operator</x:v>
      </x:c>
      <x:c r="D36" s="24" t="str">
        <x:v>Operator/Technician</x:v>
      </x:c>
      <x:c r="E36" s="24" t="str">
        <x:v>PROD-CHANGE-007</x:v>
      </x:c>
      <x:c r="F36" s="25" t="str">
        <x:f>IF(E36="","",IFERROR(VLOOKUP(E36,'02 Skill Catalogue'!$A$6:$K$95,4,FALSE),"Skill ID not found"))</x:f>
        <x:v>Changeover and line clearance</x:v>
      </x:c>
      <x:c r="G36" s="25" t="str">
        <x:f>IF(E36="","",IFERROR(VLOOKUP(E36,'02 Skill Catalogue'!$A$6:$K$95,3,FALSE),""))</x:f>
        <x:v>Machine/Equipment</x:v>
      </x:c>
      <x:c r="H36" s="24" t="str">
        <x:v>Critical</x:v>
      </x:c>
      <x:c r="I36" s="28" t="n">
        <x:v>0.125</x:v>
      </x:c>
      <x:c r="J36" s="24" t="n">
        <x:v>3</x:v>
      </x:c>
      <x:c r="K36" s="24" t="str">
        <x:v>No</x:v>
      </x:c>
      <x:c r="L36" s="24" t="n">
        <x:v>12</x:v>
      </x:c>
      <x:c r="M36" s="24" t="str">
        <x:v>Yes</x:v>
      </x:c>
      <x:c r="N36" s="24" t="str">
        <x:v>Production HOD</x:v>
      </x:c>
      <x:c r="O36" s="26" t="n">
        <x:v>46264</x:v>
      </x:c>
      <x:c r="P36" s="27" t="str">
        <x:v>Validate against current SBTG SOP/WI, machine, product and authority limits.</x:v>
      </x:c>
      <x:c r="Q36" s="29" t="n">
        <x:f>IF(OR(B36="",C36=""),"",SUMIFS($I$6:$I$285,$B$6:$B$285,B36,$C$6:$C$285,C36,$M$6:$M$285,"Yes"))</x:f>
        <x:v>1</x:v>
      </x:c>
      <x:c r="R36" s="25" t="str">
        <x:f>IF(A36="","",IF(ABS(Q36-1)&lt;0.0001,"Ready","Review Weight"))</x:f>
        <x:v>Ready</x:v>
      </x:c>
    </x:row>
    <x:row r="37">
      <x:c r="A37" s="25" t="str">
        <x:f>IF(OR(B37="",C37="",E37=""),"",B37&amp;"|"&amp;C37&amp;"|"&amp;E37)</x:f>
        <x:v>Production|Slitting Operator|PROD-TRACE-009</x:v>
      </x:c>
      <x:c r="B37" s="24" t="str">
        <x:v>Production</x:v>
      </x:c>
      <x:c r="C37" s="24" t="str">
        <x:v>Slitting Operator</x:v>
      </x:c>
      <x:c r="D37" s="24" t="str">
        <x:v>Operator/Technician</x:v>
      </x:c>
      <x:c r="E37" s="24" t="str">
        <x:v>PROD-TRACE-009</x:v>
      </x:c>
      <x:c r="F37" s="25" t="str">
        <x:f>IF(E37="","",IFERROR(VLOOKUP(E37,'02 Skill Catalogue'!$A$6:$K$95,4,FALSE),"Skill ID not found"))</x:f>
        <x:v>Material and product traceability</x:v>
      </x:c>
      <x:c r="G37" s="25" t="str">
        <x:f>IF(E37="","",IFERROR(VLOOKUP(E37,'02 Skill Catalogue'!$A$6:$K$95,3,FALSE),""))</x:f>
        <x:v>Quality</x:v>
      </x:c>
      <x:c r="H37" s="24" t="str">
        <x:v>Critical</x:v>
      </x:c>
      <x:c r="I37" s="28" t="n">
        <x:v>0.125</x:v>
      </x:c>
      <x:c r="J37" s="24" t="n">
        <x:v>3</x:v>
      </x:c>
      <x:c r="K37" s="24" t="str">
        <x:v>No</x:v>
      </x:c>
      <x:c r="L37" s="24" t="n">
        <x:v>12</x:v>
      </x:c>
      <x:c r="M37" s="24" t="str">
        <x:v>Yes</x:v>
      </x:c>
      <x:c r="N37" s="24" t="str">
        <x:v>Production HOD</x:v>
      </x:c>
      <x:c r="O37" s="26" t="n">
        <x:v>46264</x:v>
      </x:c>
      <x:c r="P37" s="27" t="str">
        <x:v>Validate against current SBTG SOP/WI, machine, product and authority limits.</x:v>
      </x:c>
      <x:c r="Q37" s="29" t="n">
        <x:f>IF(OR(B37="",C37=""),"",SUMIFS($I$6:$I$285,$B$6:$B$285,B37,$C$6:$C$285,C37,$M$6:$M$285,"Yes"))</x:f>
        <x:v>1</x:v>
      </x:c>
      <x:c r="R37" s="25" t="str">
        <x:f>IF(A37="","",IF(ABS(Q37-1)&lt;0.0001,"Ready","Review Weight"))</x:f>
        <x:v>Ready</x:v>
      </x:c>
    </x:row>
    <x:row r="38">
      <x:c r="A38" s="25" t="str">
        <x:f>IF(OR(B38="",C38="",E38=""),"",B38&amp;"|"&amp;C38&amp;"|"&amp;E38)</x:f>
        <x:v>Production|Printing Operator|CORE-SAF-001</x:v>
      </x:c>
      <x:c r="B38" s="24" t="str">
        <x:v>Production</x:v>
      </x:c>
      <x:c r="C38" s="24" t="str">
        <x:v>Printing Operator</x:v>
      </x:c>
      <x:c r="D38" s="24" t="str">
        <x:v>Operator/Technician</x:v>
      </x:c>
      <x:c r="E38" s="24" t="str">
        <x:v>CORE-SAF-001</x:v>
      </x:c>
      <x:c r="F38" s="25" t="str">
        <x:f>IF(E38="","",IFERROR(VLOOKUP(E38,'02 Skill Catalogue'!$A$6:$K$95,4,FALSE),"Skill ID not found"))</x:f>
        <x:v>Safe work, PPE and hazard control</x:v>
      </x:c>
      <x:c r="G38" s="25" t="str">
        <x:f>IF(E38="","",IFERROR(VLOOKUP(E38,'02 Skill Catalogue'!$A$6:$K$95,3,FALSE),""))</x:f>
        <x:v>Safety</x:v>
      </x:c>
      <x:c r="H38" s="24" t="str">
        <x:v>Critical</x:v>
      </x:c>
      <x:c r="I38" s="28" t="n">
        <x:v>0.125</x:v>
      </x:c>
      <x:c r="J38" s="24" t="n">
        <x:v>3</x:v>
      </x:c>
      <x:c r="K38" s="24" t="str">
        <x:v>No</x:v>
      </x:c>
      <x:c r="L38" s="24" t="n">
        <x:v>12</x:v>
      </x:c>
      <x:c r="M38" s="24" t="str">
        <x:v>Yes</x:v>
      </x:c>
      <x:c r="N38" s="24" t="str">
        <x:v>Production HOD</x:v>
      </x:c>
      <x:c r="O38" s="26" t="n">
        <x:v>46264</x:v>
      </x:c>
      <x:c r="P38" s="27" t="str">
        <x:v>Validate against current SBTG SOP/WI, machine, product and authority limits.</x:v>
      </x:c>
      <x:c r="Q38" s="29" t="n">
        <x:f>IF(OR(B38="",C38=""),"",SUMIFS($I$6:$I$285,$B$6:$B$285,B38,$C$6:$C$285,C38,$M$6:$M$285,"Yes"))</x:f>
        <x:v>1</x:v>
      </x:c>
      <x:c r="R38" s="25" t="str">
        <x:f>IF(A38="","",IF(ABS(Q38-1)&lt;0.0001,"Ready","Review Weight"))</x:f>
        <x:v>Ready</x:v>
      </x:c>
    </x:row>
    <x:row r="39">
      <x:c r="A39" s="25" t="str">
        <x:f>IF(OR(B39="",C39="",E39=""),"",B39&amp;"|"&amp;C39&amp;"|"&amp;E39)</x:f>
        <x:v>Production|Printing Operator|CORE-QUAL-001</x:v>
      </x:c>
      <x:c r="B39" s="24" t="str">
        <x:v>Production</x:v>
      </x:c>
      <x:c r="C39" s="24" t="str">
        <x:v>Printing Operator</x:v>
      </x:c>
      <x:c r="D39" s="24" t="str">
        <x:v>Operator/Technician</x:v>
      </x:c>
      <x:c r="E39" s="24" t="str">
        <x:v>CORE-QUAL-001</x:v>
      </x:c>
      <x:c r="F39" s="25" t="str">
        <x:f>IF(E39="","",IFERROR(VLOOKUP(E39,'02 Skill Catalogue'!$A$6:$K$95,4,FALSE),"Skill ID not found"))</x:f>
        <x:v>SOP and work-instruction discipline</x:v>
      </x:c>
      <x:c r="G39" s="25" t="str">
        <x:f>IF(E39="","",IFERROR(VLOOKUP(E39,'02 Skill Catalogue'!$A$6:$K$95,3,FALSE),""))</x:f>
        <x:v>Quality</x:v>
      </x:c>
      <x:c r="H39" s="24" t="str">
        <x:v>Critical</x:v>
      </x:c>
      <x:c r="I39" s="28" t="n">
        <x:v>0.125</x:v>
      </x:c>
      <x:c r="J39" s="24" t="n">
        <x:v>3</x:v>
      </x:c>
      <x:c r="K39" s="24" t="str">
        <x:v>No</x:v>
      </x:c>
      <x:c r="L39" s="24" t="n">
        <x:v>12</x:v>
      </x:c>
      <x:c r="M39" s="24" t="str">
        <x:v>Yes</x:v>
      </x:c>
      <x:c r="N39" s="24" t="str">
        <x:v>Production HOD</x:v>
      </x:c>
      <x:c r="O39" s="26" t="n">
        <x:v>46264</x:v>
      </x:c>
      <x:c r="P39" s="27" t="str">
        <x:v>Validate against current SBTG SOP/WI, machine, product and authority limits.</x:v>
      </x:c>
      <x:c r="Q39" s="29" t="n">
        <x:f>IF(OR(B39="",C39=""),"",SUMIFS($I$6:$I$285,$B$6:$B$285,B39,$C$6:$C$285,C39,$M$6:$M$285,"Yes"))</x:f>
        <x:v>1</x:v>
      </x:c>
      <x:c r="R39" s="25" t="str">
        <x:f>IF(A39="","",IF(ABS(Q39-1)&lt;0.0001,"Ready","Review Weight"))</x:f>
        <x:v>Ready</x:v>
      </x:c>
    </x:row>
    <x:row r="40">
      <x:c r="A40" s="25" t="str">
        <x:f>IF(OR(B40="",C40="",E40=""),"",B40&amp;"|"&amp;C40&amp;"|"&amp;E40)</x:f>
        <x:v>Production|Printing Operator|CORE-DATA-001</x:v>
      </x:c>
      <x:c r="B40" s="24" t="str">
        <x:v>Production</x:v>
      </x:c>
      <x:c r="C40" s="24" t="str">
        <x:v>Printing Operator</x:v>
      </x:c>
      <x:c r="D40" s="24" t="str">
        <x:v>Operator/Technician</x:v>
      </x:c>
      <x:c r="E40" s="24" t="str">
        <x:v>CORE-DATA-001</x:v>
      </x:c>
      <x:c r="F40" s="25" t="str">
        <x:f>IF(E40="","",IFERROR(VLOOKUP(E40,'02 Skill Catalogue'!$A$6:$K$95,4,FALSE),"Skill ID not found"))</x:f>
        <x:v>Accurate operational data recording</x:v>
      </x:c>
      <x:c r="G40" s="25" t="str">
        <x:f>IF(E40="","",IFERROR(VLOOKUP(E40,'02 Skill Catalogue'!$A$6:$K$95,3,FALSE),""))</x:f>
        <x:v>Digital/Data/AI</x:v>
      </x:c>
      <x:c r="H40" s="24" t="str">
        <x:v>Essential</x:v>
      </x:c>
      <x:c r="I40" s="28" t="n">
        <x:v>0.125</x:v>
      </x:c>
      <x:c r="J40" s="24" t="n">
        <x:v>3</x:v>
      </x:c>
      <x:c r="K40" s="24" t="str">
        <x:v>No</x:v>
      </x:c>
      <x:c r="L40" s="24" t="n">
        <x:v>12</x:v>
      </x:c>
      <x:c r="M40" s="24" t="str">
        <x:v>Yes</x:v>
      </x:c>
      <x:c r="N40" s="24" t="str">
        <x:v>Production HOD</x:v>
      </x:c>
      <x:c r="O40" s="26" t="n">
        <x:v>46264</x:v>
      </x:c>
      <x:c r="P40" s="27" t="str">
        <x:v>Validate against current SBTG SOP/WI, machine, product and authority limits.</x:v>
      </x:c>
      <x:c r="Q40" s="29" t="n">
        <x:f>IF(OR(B40="",C40=""),"",SUMIFS($I$6:$I$285,$B$6:$B$285,B40,$C$6:$C$285,C40,$M$6:$M$285,"Yes"))</x:f>
        <x:v>1</x:v>
      </x:c>
      <x:c r="R40" s="25" t="str">
        <x:f>IF(A40="","",IF(ABS(Q40-1)&lt;0.0001,"Ready","Review Weight"))</x:f>
        <x:v>Ready</x:v>
      </x:c>
    </x:row>
    <x:row r="41">
      <x:c r="A41" s="25" t="str">
        <x:f>IF(OR(B41="",C41="",E41=""),"",B41&amp;"|"&amp;C41&amp;"|"&amp;E41)</x:f>
        <x:v>Production|Printing Operator|PROD-PRINT-014</x:v>
      </x:c>
      <x:c r="B41" s="24" t="str">
        <x:v>Production</x:v>
      </x:c>
      <x:c r="C41" s="24" t="str">
        <x:v>Printing Operator</x:v>
      </x:c>
      <x:c r="D41" s="24" t="str">
        <x:v>Operator/Technician</x:v>
      </x:c>
      <x:c r="E41" s="24" t="str">
        <x:v>PROD-PRINT-014</x:v>
      </x:c>
      <x:c r="F41" s="25" t="str">
        <x:f>IF(E41="","",IFERROR(VLOOKUP(E41,'02 Skill Catalogue'!$A$6:$K$95,4,FALSE),"Skill ID not found"))</x:f>
        <x:v>Printing line setup and colour control</x:v>
      </x:c>
      <x:c r="G41" s="25" t="str">
        <x:f>IF(E41="","",IFERROR(VLOOKUP(E41,'02 Skill Catalogue'!$A$6:$K$95,3,FALSE),""))</x:f>
        <x:v>Machine/Equipment</x:v>
      </x:c>
      <x:c r="H41" s="24" t="str">
        <x:v>Critical</x:v>
      </x:c>
      <x:c r="I41" s="28" t="n">
        <x:v>0.125</x:v>
      </x:c>
      <x:c r="J41" s="24" t="n">
        <x:v>3</x:v>
      </x:c>
      <x:c r="K41" s="24" t="str">
        <x:v>No</x:v>
      </x:c>
      <x:c r="L41" s="24" t="n">
        <x:v>12</x:v>
      </x:c>
      <x:c r="M41" s="24" t="str">
        <x:v>Yes</x:v>
      </x:c>
      <x:c r="N41" s="24" t="str">
        <x:v>Production HOD</x:v>
      </x:c>
      <x:c r="O41" s="26" t="n">
        <x:v>46264</x:v>
      </x:c>
      <x:c r="P41" s="27" t="str">
        <x:v>Validate against current SBTG SOP/WI, machine, product and authority limits.</x:v>
      </x:c>
      <x:c r="Q41" s="29" t="n">
        <x:f>IF(OR(B41="",C41=""),"",SUMIFS($I$6:$I$285,$B$6:$B$285,B41,$C$6:$C$285,C41,$M$6:$M$285,"Yes"))</x:f>
        <x:v>1</x:v>
      </x:c>
      <x:c r="R41" s="25" t="str">
        <x:f>IF(A41="","",IF(ABS(Q41-1)&lt;0.0001,"Ready","Review Weight"))</x:f>
        <x:v>Ready</x:v>
      </x:c>
    </x:row>
    <x:row r="42">
      <x:c r="A42" s="25" t="str">
        <x:f>IF(OR(B42="",C42="",E42=""),"",B42&amp;"|"&amp;C42&amp;"|"&amp;E42)</x:f>
        <x:v>Production|Printing Operator|PROD-DEF-005</x:v>
      </x:c>
      <x:c r="B42" s="24" t="str">
        <x:v>Production</x:v>
      </x:c>
      <x:c r="C42" s="24" t="str">
        <x:v>Printing Operator</x:v>
      </x:c>
      <x:c r="D42" s="24" t="str">
        <x:v>Operator/Technician</x:v>
      </x:c>
      <x:c r="E42" s="24" t="str">
        <x:v>PROD-DEF-005</x:v>
      </x:c>
      <x:c r="F42" s="25" t="str">
        <x:f>IF(E42="","",IFERROR(VLOOKUP(E42,'02 Skill Catalogue'!$A$6:$K$95,4,FALSE),"Skill ID not found"))</x:f>
        <x:v>Tape defect recognition and containment</x:v>
      </x:c>
      <x:c r="G42" s="25" t="str">
        <x:f>IF(E42="","",IFERROR(VLOOKUP(E42,'02 Skill Catalogue'!$A$6:$K$95,3,FALSE),""))</x:f>
        <x:v>Quality</x:v>
      </x:c>
      <x:c r="H42" s="24" t="str">
        <x:v>Critical</x:v>
      </x:c>
      <x:c r="I42" s="28" t="n">
        <x:v>0.125</x:v>
      </x:c>
      <x:c r="J42" s="24" t="n">
        <x:v>3</x:v>
      </x:c>
      <x:c r="K42" s="24" t="str">
        <x:v>No</x:v>
      </x:c>
      <x:c r="L42" s="24" t="n">
        <x:v>12</x:v>
      </x:c>
      <x:c r="M42" s="24" t="str">
        <x:v>Yes</x:v>
      </x:c>
      <x:c r="N42" s="24" t="str">
        <x:v>Production HOD</x:v>
      </x:c>
      <x:c r="O42" s="26" t="n">
        <x:v>46264</x:v>
      </x:c>
      <x:c r="P42" s="27" t="str">
        <x:v>Validate against current SBTG SOP/WI, machine, product and authority limits.</x:v>
      </x:c>
      <x:c r="Q42" s="29" t="n">
        <x:f>IF(OR(B42="",C42=""),"",SUMIFS($I$6:$I$285,$B$6:$B$285,B42,$C$6:$C$285,C42,$M$6:$M$285,"Yes"))</x:f>
        <x:v>1</x:v>
      </x:c>
      <x:c r="R42" s="25" t="str">
        <x:f>IF(A42="","",IF(ABS(Q42-1)&lt;0.0001,"Ready","Review Weight"))</x:f>
        <x:v>Ready</x:v>
      </x:c>
    </x:row>
    <x:row r="43">
      <x:c r="A43" s="25" t="str">
        <x:f>IF(OR(B43="",C43="",E43=""),"",B43&amp;"|"&amp;C43&amp;"|"&amp;E43)</x:f>
        <x:v>Production|Printing Operator|PROD-WASTE-006</x:v>
      </x:c>
      <x:c r="B43" s="24" t="str">
        <x:v>Production</x:v>
      </x:c>
      <x:c r="C43" s="24" t="str">
        <x:v>Printing Operator</x:v>
      </x:c>
      <x:c r="D43" s="24" t="str">
        <x:v>Operator/Technician</x:v>
      </x:c>
      <x:c r="E43" s="24" t="str">
        <x:v>PROD-WASTE-006</x:v>
      </x:c>
      <x:c r="F43" s="25" t="str">
        <x:f>IF(E43="","",IFERROR(VLOOKUP(E43,'02 Skill Catalogue'!$A$6:$K$95,4,FALSE),"Skill ID not found"))</x:f>
        <x:v>Yield, scrap and material-loss control</x:v>
      </x:c>
      <x:c r="G43" s="25" t="str">
        <x:f>IF(E43="","",IFERROR(VLOOKUP(E43,'02 Skill Catalogue'!$A$6:$K$95,3,FALSE),""))</x:f>
        <x:v>Sustainability</x:v>
      </x:c>
      <x:c r="H43" s="24" t="str">
        <x:v>Essential</x:v>
      </x:c>
      <x:c r="I43" s="28" t="n">
        <x:v>0.125</x:v>
      </x:c>
      <x:c r="J43" s="24" t="n">
        <x:v>2</x:v>
      </x:c>
      <x:c r="K43" s="24" t="str">
        <x:v>No</x:v>
      </x:c>
      <x:c r="L43" s="24" t="n">
        <x:v>12</x:v>
      </x:c>
      <x:c r="M43" s="24" t="str">
        <x:v>Yes</x:v>
      </x:c>
      <x:c r="N43" s="24" t="str">
        <x:v>Production HOD</x:v>
      </x:c>
      <x:c r="O43" s="26" t="n">
        <x:v>46264</x:v>
      </x:c>
      <x:c r="P43" s="27" t="str">
        <x:v>Validate against current SBTG SOP/WI, machine, product and authority limits.</x:v>
      </x:c>
      <x:c r="Q43" s="29" t="n">
        <x:f>IF(OR(B43="",C43=""),"",SUMIFS($I$6:$I$285,$B$6:$B$285,B43,$C$6:$C$285,C43,$M$6:$M$285,"Yes"))</x:f>
        <x:v>1</x:v>
      </x:c>
      <x:c r="R43" s="25" t="str">
        <x:f>IF(A43="","",IF(ABS(Q43-1)&lt;0.0001,"Ready","Review Weight"))</x:f>
        <x:v>Ready</x:v>
      </x:c>
    </x:row>
    <x:row r="44">
      <x:c r="A44" s="25" t="str">
        <x:f>IF(OR(B44="",C44="",E44=""),"",B44&amp;"|"&amp;C44&amp;"|"&amp;E44)</x:f>
        <x:v>Production|Printing Operator|PROD-CHANGE-007</x:v>
      </x:c>
      <x:c r="B44" s="24" t="str">
        <x:v>Production</x:v>
      </x:c>
      <x:c r="C44" s="24" t="str">
        <x:v>Printing Operator</x:v>
      </x:c>
      <x:c r="D44" s="24" t="str">
        <x:v>Operator/Technician</x:v>
      </x:c>
      <x:c r="E44" s="24" t="str">
        <x:v>PROD-CHANGE-007</x:v>
      </x:c>
      <x:c r="F44" s="25" t="str">
        <x:f>IF(E44="","",IFERROR(VLOOKUP(E44,'02 Skill Catalogue'!$A$6:$K$95,4,FALSE),"Skill ID not found"))</x:f>
        <x:v>Changeover and line clearance</x:v>
      </x:c>
      <x:c r="G44" s="25" t="str">
        <x:f>IF(E44="","",IFERROR(VLOOKUP(E44,'02 Skill Catalogue'!$A$6:$K$95,3,FALSE),""))</x:f>
        <x:v>Machine/Equipment</x:v>
      </x:c>
      <x:c r="H44" s="24" t="str">
        <x:v>Critical</x:v>
      </x:c>
      <x:c r="I44" s="28" t="n">
        <x:v>0.125</x:v>
      </x:c>
      <x:c r="J44" s="24" t="n">
        <x:v>3</x:v>
      </x:c>
      <x:c r="K44" s="24" t="str">
        <x:v>No</x:v>
      </x:c>
      <x:c r="L44" s="24" t="n">
        <x:v>12</x:v>
      </x:c>
      <x:c r="M44" s="24" t="str">
        <x:v>Yes</x:v>
      </x:c>
      <x:c r="N44" s="24" t="str">
        <x:v>Production HOD</x:v>
      </x:c>
      <x:c r="O44" s="26" t="n">
        <x:v>46264</x:v>
      </x:c>
      <x:c r="P44" s="27" t="str">
        <x:v>Validate against current SBTG SOP/WI, machine, product and authority limits.</x:v>
      </x:c>
      <x:c r="Q44" s="29" t="n">
        <x:f>IF(OR(B44="",C44=""),"",SUMIFS($I$6:$I$285,$B$6:$B$285,B44,$C$6:$C$285,C44,$M$6:$M$285,"Yes"))</x:f>
        <x:v>1</x:v>
      </x:c>
      <x:c r="R44" s="25" t="str">
        <x:f>IF(A44="","",IF(ABS(Q44-1)&lt;0.0001,"Ready","Review Weight"))</x:f>
        <x:v>Ready</x:v>
      </x:c>
    </x:row>
    <x:row r="45">
      <x:c r="A45" s="25" t="str">
        <x:f>IF(OR(B45="",C45="",E45=""),"",B45&amp;"|"&amp;C45&amp;"|"&amp;E45)</x:f>
        <x:v>Production|Printing Operator|PROD-TRACE-009</x:v>
      </x:c>
      <x:c r="B45" s="24" t="str">
        <x:v>Production</x:v>
      </x:c>
      <x:c r="C45" s="24" t="str">
        <x:v>Printing Operator</x:v>
      </x:c>
      <x:c r="D45" s="24" t="str">
        <x:v>Operator/Technician</x:v>
      </x:c>
      <x:c r="E45" s="24" t="str">
        <x:v>PROD-TRACE-009</x:v>
      </x:c>
      <x:c r="F45" s="25" t="str">
        <x:f>IF(E45="","",IFERROR(VLOOKUP(E45,'02 Skill Catalogue'!$A$6:$K$95,4,FALSE),"Skill ID not found"))</x:f>
        <x:v>Material and product traceability</x:v>
      </x:c>
      <x:c r="G45" s="25" t="str">
        <x:f>IF(E45="","",IFERROR(VLOOKUP(E45,'02 Skill Catalogue'!$A$6:$K$95,3,FALSE),""))</x:f>
        <x:v>Quality</x:v>
      </x:c>
      <x:c r="H45" s="24" t="str">
        <x:v>Critical</x:v>
      </x:c>
      <x:c r="I45" s="28" t="n">
        <x:v>0.125</x:v>
      </x:c>
      <x:c r="J45" s="24" t="n">
        <x:v>3</x:v>
      </x:c>
      <x:c r="K45" s="24" t="str">
        <x:v>No</x:v>
      </x:c>
      <x:c r="L45" s="24" t="n">
        <x:v>12</x:v>
      </x:c>
      <x:c r="M45" s="24" t="str">
        <x:v>Yes</x:v>
      </x:c>
      <x:c r="N45" s="24" t="str">
        <x:v>Production HOD</x:v>
      </x:c>
      <x:c r="O45" s="26" t="n">
        <x:v>46264</x:v>
      </x:c>
      <x:c r="P45" s="27" t="str">
        <x:v>Validate against current SBTG SOP/WI, machine, product and authority limits.</x:v>
      </x:c>
      <x:c r="Q45" s="29" t="n">
        <x:f>IF(OR(B45="",C45=""),"",SUMIFS($I$6:$I$285,$B$6:$B$285,B45,$C$6:$C$285,C45,$M$6:$M$285,"Yes"))</x:f>
        <x:v>1</x:v>
      </x:c>
      <x:c r="R45" s="25" t="str">
        <x:f>IF(A45="","",IF(ABS(Q45-1)&lt;0.0001,"Ready","Review Weight"))</x:f>
        <x:v>Ready</x:v>
      </x:c>
    </x:row>
    <x:row r="46">
      <x:c r="A46" s="25" t="str">
        <x:f>IF(OR(B46="",C46="",E46=""),"",B46&amp;"|"&amp;C46&amp;"|"&amp;E46)</x:f>
        <x:v>Production|Packer|CORE-SAF-001</x:v>
      </x:c>
      <x:c r="B46" s="24" t="str">
        <x:v>Production</x:v>
      </x:c>
      <x:c r="C46" s="24" t="str">
        <x:v>Packer</x:v>
      </x:c>
      <x:c r="D46" s="24" t="str">
        <x:v>Packer/Assistant</x:v>
      </x:c>
      <x:c r="E46" s="24" t="str">
        <x:v>CORE-SAF-001</x:v>
      </x:c>
      <x:c r="F46" s="25" t="str">
        <x:f>IF(E46="","",IFERROR(VLOOKUP(E46,'02 Skill Catalogue'!$A$6:$K$95,4,FALSE),"Skill ID not found"))</x:f>
        <x:v>Safe work, PPE and hazard control</x:v>
      </x:c>
      <x:c r="G46" s="25" t="str">
        <x:f>IF(E46="","",IFERROR(VLOOKUP(E46,'02 Skill Catalogue'!$A$6:$K$95,3,FALSE),""))</x:f>
        <x:v>Safety</x:v>
      </x:c>
      <x:c r="H46" s="24" t="str">
        <x:v>Critical</x:v>
      </x:c>
      <x:c r="I46" s="28" t="n">
        <x:v>0.125</x:v>
      </x:c>
      <x:c r="J46" s="24" t="n">
        <x:v>2</x:v>
      </x:c>
      <x:c r="K46" s="24" t="str">
        <x:v>No</x:v>
      </x:c>
      <x:c r="L46" s="24" t="n">
        <x:v>12</x:v>
      </x:c>
      <x:c r="M46" s="24" t="str">
        <x:v>Yes</x:v>
      </x:c>
      <x:c r="N46" s="24" t="str">
        <x:v>Production HOD</x:v>
      </x:c>
      <x:c r="O46" s="26" t="n">
        <x:v>46264</x:v>
      </x:c>
      <x:c r="P46" s="27" t="str">
        <x:v>Validate against current SBTG SOP/WI, machine, product and authority limits.</x:v>
      </x:c>
      <x:c r="Q46" s="29" t="n">
        <x:f>IF(OR(B46="",C46=""),"",SUMIFS($I$6:$I$285,$B$6:$B$285,B46,$C$6:$C$285,C46,$M$6:$M$285,"Yes"))</x:f>
        <x:v>1</x:v>
      </x:c>
      <x:c r="R46" s="25" t="str">
        <x:f>IF(A46="","",IF(ABS(Q46-1)&lt;0.0001,"Ready","Review Weight"))</x:f>
        <x:v>Ready</x:v>
      </x:c>
    </x:row>
    <x:row r="47">
      <x:c r="A47" s="25" t="str">
        <x:f>IF(OR(B47="",C47="",E47=""),"",B47&amp;"|"&amp;C47&amp;"|"&amp;E47)</x:f>
        <x:v>Production|Packer|CORE-QUAL-001</x:v>
      </x:c>
      <x:c r="B47" s="24" t="str">
        <x:v>Production</x:v>
      </x:c>
      <x:c r="C47" s="24" t="str">
        <x:v>Packer</x:v>
      </x:c>
      <x:c r="D47" s="24" t="str">
        <x:v>Packer/Assistant</x:v>
      </x:c>
      <x:c r="E47" s="24" t="str">
        <x:v>CORE-QUAL-001</x:v>
      </x:c>
      <x:c r="F47" s="25" t="str">
        <x:f>IF(E47="","",IFERROR(VLOOKUP(E47,'02 Skill Catalogue'!$A$6:$K$95,4,FALSE),"Skill ID not found"))</x:f>
        <x:v>SOP and work-instruction discipline</x:v>
      </x:c>
      <x:c r="G47" s="25" t="str">
        <x:f>IF(E47="","",IFERROR(VLOOKUP(E47,'02 Skill Catalogue'!$A$6:$K$95,3,FALSE),""))</x:f>
        <x:v>Quality</x:v>
      </x:c>
      <x:c r="H47" s="24" t="str">
        <x:v>Critical</x:v>
      </x:c>
      <x:c r="I47" s="28" t="n">
        <x:v>0.125</x:v>
      </x:c>
      <x:c r="J47" s="24" t="n">
        <x:v>2</x:v>
      </x:c>
      <x:c r="K47" s="24" t="str">
        <x:v>No</x:v>
      </x:c>
      <x:c r="L47" s="24" t="n">
        <x:v>12</x:v>
      </x:c>
      <x:c r="M47" s="24" t="str">
        <x:v>Yes</x:v>
      </x:c>
      <x:c r="N47" s="24" t="str">
        <x:v>Production HOD</x:v>
      </x:c>
      <x:c r="O47" s="26" t="n">
        <x:v>46264</x:v>
      </x:c>
      <x:c r="P47" s="27" t="str">
        <x:v>Validate against current SBTG SOP/WI, machine, product and authority limits.</x:v>
      </x:c>
      <x:c r="Q47" s="29" t="n">
        <x:f>IF(OR(B47="",C47=""),"",SUMIFS($I$6:$I$285,$B$6:$B$285,B47,$C$6:$C$285,C47,$M$6:$M$285,"Yes"))</x:f>
        <x:v>1</x:v>
      </x:c>
      <x:c r="R47" s="25" t="str">
        <x:f>IF(A47="","",IF(ABS(Q47-1)&lt;0.0001,"Ready","Review Weight"))</x:f>
        <x:v>Ready</x:v>
      </x:c>
    </x:row>
    <x:row r="48">
      <x:c r="A48" s="25" t="str">
        <x:f>IF(OR(B48="",C48="",E48=""),"",B48&amp;"|"&amp;C48&amp;"|"&amp;E48)</x:f>
        <x:v>Production|Packer|CORE-DATA-001</x:v>
      </x:c>
      <x:c r="B48" s="24" t="str">
        <x:v>Production</x:v>
      </x:c>
      <x:c r="C48" s="24" t="str">
        <x:v>Packer</x:v>
      </x:c>
      <x:c r="D48" s="24" t="str">
        <x:v>Packer/Assistant</x:v>
      </x:c>
      <x:c r="E48" s="24" t="str">
        <x:v>CORE-DATA-001</x:v>
      </x:c>
      <x:c r="F48" s="25" t="str">
        <x:f>IF(E48="","",IFERROR(VLOOKUP(E48,'02 Skill Catalogue'!$A$6:$K$95,4,FALSE),"Skill ID not found"))</x:f>
        <x:v>Accurate operational data recording</x:v>
      </x:c>
      <x:c r="G48" s="25" t="str">
        <x:f>IF(E48="","",IFERROR(VLOOKUP(E48,'02 Skill Catalogue'!$A$6:$K$95,3,FALSE),""))</x:f>
        <x:v>Digital/Data/AI</x:v>
      </x:c>
      <x:c r="H48" s="24" t="str">
        <x:v>Essential</x:v>
      </x:c>
      <x:c r="I48" s="28" t="n">
        <x:v>0.125</x:v>
      </x:c>
      <x:c r="J48" s="24" t="n">
        <x:v>2</x:v>
      </x:c>
      <x:c r="K48" s="24" t="str">
        <x:v>No</x:v>
      </x:c>
      <x:c r="L48" s="24" t="n">
        <x:v>12</x:v>
      </x:c>
      <x:c r="M48" s="24" t="str">
        <x:v>Yes</x:v>
      </x:c>
      <x:c r="N48" s="24" t="str">
        <x:v>Production HOD</x:v>
      </x:c>
      <x:c r="O48" s="26" t="n">
        <x:v>46264</x:v>
      </x:c>
      <x:c r="P48" s="27" t="str">
        <x:v>Validate against current SBTG SOP/WI, machine, product and authority limits.</x:v>
      </x:c>
      <x:c r="Q48" s="29" t="n">
        <x:f>IF(OR(B48="",C48=""),"",SUMIFS($I$6:$I$285,$B$6:$B$285,B48,$C$6:$C$285,C48,$M$6:$M$285,"Yes"))</x:f>
        <x:v>1</x:v>
      </x:c>
      <x:c r="R48" s="25" t="str">
        <x:f>IF(A48="","",IF(ABS(Q48-1)&lt;0.0001,"Ready","Review Weight"))</x:f>
        <x:v>Ready</x:v>
      </x:c>
    </x:row>
    <x:row r="49">
      <x:c r="A49" s="25" t="str">
        <x:f>IF(OR(B49="",C49="",E49=""),"",B49&amp;"|"&amp;C49&amp;"|"&amp;E49)</x:f>
        <x:v>Production|Packer|CORE-5S-001</x:v>
      </x:c>
      <x:c r="B49" s="24" t="str">
        <x:v>Production</x:v>
      </x:c>
      <x:c r="C49" s="24" t="str">
        <x:v>Packer</x:v>
      </x:c>
      <x:c r="D49" s="24" t="str">
        <x:v>Packer/Assistant</x:v>
      </x:c>
      <x:c r="E49" s="24" t="str">
        <x:v>CORE-5S-001</x:v>
      </x:c>
      <x:c r="F49" s="25" t="str">
        <x:f>IF(E49="","",IFERROR(VLOOKUP(E49,'02 Skill Catalogue'!$A$6:$K$95,4,FALSE),"Skill ID not found"))</x:f>
        <x:v>5S and workplace ownership</x:v>
      </x:c>
      <x:c r="G49" s="25" t="str">
        <x:f>IF(E49="","",IFERROR(VLOOKUP(E49,'02 Skill Catalogue'!$A$6:$K$95,3,FALSE),""))</x:f>
        <x:v>Work Discipline</x:v>
      </x:c>
      <x:c r="H49" s="24" t="str">
        <x:v>Essential</x:v>
      </x:c>
      <x:c r="I49" s="28" t="n">
        <x:v>0.125</x:v>
      </x:c>
      <x:c r="J49" s="24" t="n">
        <x:v>3</x:v>
      </x:c>
      <x:c r="K49" s="24" t="str">
        <x:v>No</x:v>
      </x:c>
      <x:c r="L49" s="24" t="n">
        <x:v>12</x:v>
      </x:c>
      <x:c r="M49" s="24" t="str">
        <x:v>Yes</x:v>
      </x:c>
      <x:c r="N49" s="24" t="str">
        <x:v>Production HOD</x:v>
      </x:c>
      <x:c r="O49" s="26" t="n">
        <x:v>46264</x:v>
      </x:c>
      <x:c r="P49" s="27" t="str">
        <x:v>Validate against current SBTG SOP/WI, machine, product and authority limits.</x:v>
      </x:c>
      <x:c r="Q49" s="29" t="n">
        <x:f>IF(OR(B49="",C49=""),"",SUMIFS($I$6:$I$285,$B$6:$B$285,B49,$C$6:$C$285,C49,$M$6:$M$285,"Yes"))</x:f>
        <x:v>1</x:v>
      </x:c>
      <x:c r="R49" s="25" t="str">
        <x:f>IF(A49="","",IF(ABS(Q49-1)&lt;0.0001,"Ready","Review Weight"))</x:f>
        <x:v>Ready</x:v>
      </x:c>
    </x:row>
    <x:row r="50">
      <x:c r="A50" s="25" t="str">
        <x:f>IF(OR(B50="",C50="",E50=""),"",B50&amp;"|"&amp;C50&amp;"|"&amp;E50)</x:f>
        <x:v>Production|Packer|PROD-PACK-008</x:v>
      </x:c>
      <x:c r="B50" s="24" t="str">
        <x:v>Production</x:v>
      </x:c>
      <x:c r="C50" s="24" t="str">
        <x:v>Packer</x:v>
      </x:c>
      <x:c r="D50" s="24" t="str">
        <x:v>Packer/Assistant</x:v>
      </x:c>
      <x:c r="E50" s="24" t="str">
        <x:v>PROD-PACK-008</x:v>
      </x:c>
      <x:c r="F50" s="25" t="str">
        <x:f>IF(E50="","",IFERROR(VLOOKUP(E50,'02 Skill Catalogue'!$A$6:$K$95,4,FALSE),"Skill ID not found"))</x:f>
        <x:v>Packing, labelling and palletisation</x:v>
      </x:c>
      <x:c r="G50" s="25" t="str">
        <x:f>IF(E50="","",IFERROR(VLOOKUP(E50,'02 Skill Catalogue'!$A$6:$K$95,3,FALSE),""))</x:f>
        <x:v>Process/Technical</x:v>
      </x:c>
      <x:c r="H50" s="24" t="str">
        <x:v>Critical</x:v>
      </x:c>
      <x:c r="I50" s="28" t="n">
        <x:v>0.125</x:v>
      </x:c>
      <x:c r="J50" s="24" t="n">
        <x:v>3</x:v>
      </x:c>
      <x:c r="K50" s="24" t="str">
        <x:v>No</x:v>
      </x:c>
      <x:c r="L50" s="24" t="n">
        <x:v>12</x:v>
      </x:c>
      <x:c r="M50" s="24" t="str">
        <x:v>Yes</x:v>
      </x:c>
      <x:c r="N50" s="24" t="str">
        <x:v>Production HOD</x:v>
      </x:c>
      <x:c r="O50" s="26" t="n">
        <x:v>46264</x:v>
      </x:c>
      <x:c r="P50" s="27" t="str">
        <x:v>Validate against current SBTG SOP/WI, machine, product and authority limits.</x:v>
      </x:c>
      <x:c r="Q50" s="29" t="n">
        <x:f>IF(OR(B50="",C50=""),"",SUMIFS($I$6:$I$285,$B$6:$B$285,B50,$C$6:$C$285,C50,$M$6:$M$285,"Yes"))</x:f>
        <x:v>1</x:v>
      </x:c>
      <x:c r="R50" s="25" t="str">
        <x:f>IF(A50="","",IF(ABS(Q50-1)&lt;0.0001,"Ready","Review Weight"))</x:f>
        <x:v>Ready</x:v>
      </x:c>
    </x:row>
    <x:row r="51">
      <x:c r="A51" s="25" t="str">
        <x:f>IF(OR(B51="",C51="",E51=""),"",B51&amp;"|"&amp;C51&amp;"|"&amp;E51)</x:f>
        <x:v>Production|Packer|PROD-TRACE-009</x:v>
      </x:c>
      <x:c r="B51" s="24" t="str">
        <x:v>Production</x:v>
      </x:c>
      <x:c r="C51" s="24" t="str">
        <x:v>Packer</x:v>
      </x:c>
      <x:c r="D51" s="24" t="str">
        <x:v>Packer/Assistant</x:v>
      </x:c>
      <x:c r="E51" s="24" t="str">
        <x:v>PROD-TRACE-009</x:v>
      </x:c>
      <x:c r="F51" s="25" t="str">
        <x:f>IF(E51="","",IFERROR(VLOOKUP(E51,'02 Skill Catalogue'!$A$6:$K$95,4,FALSE),"Skill ID not found"))</x:f>
        <x:v>Material and product traceability</x:v>
      </x:c>
      <x:c r="G51" s="25" t="str">
        <x:f>IF(E51="","",IFERROR(VLOOKUP(E51,'02 Skill Catalogue'!$A$6:$K$95,3,FALSE),""))</x:f>
        <x:v>Quality</x:v>
      </x:c>
      <x:c r="H51" s="24" t="str">
        <x:v>Critical</x:v>
      </x:c>
      <x:c r="I51" s="28" t="n">
        <x:v>0.125</x:v>
      </x:c>
      <x:c r="J51" s="24" t="n">
        <x:v>2</x:v>
      </x:c>
      <x:c r="K51" s="24" t="str">
        <x:v>No</x:v>
      </x:c>
      <x:c r="L51" s="24" t="n">
        <x:v>12</x:v>
      </x:c>
      <x:c r="M51" s="24" t="str">
        <x:v>Yes</x:v>
      </x:c>
      <x:c r="N51" s="24" t="str">
        <x:v>Production HOD</x:v>
      </x:c>
      <x:c r="O51" s="26" t="n">
        <x:v>46264</x:v>
      </x:c>
      <x:c r="P51" s="27" t="str">
        <x:v>Validate against current SBTG SOP/WI, machine, product and authority limits.</x:v>
      </x:c>
      <x:c r="Q51" s="29" t="n">
        <x:f>IF(OR(B51="",C51=""),"",SUMIFS($I$6:$I$285,$B$6:$B$285,B51,$C$6:$C$285,C51,$M$6:$M$285,"Yes"))</x:f>
        <x:v>1</x:v>
      </x:c>
      <x:c r="R51" s="25" t="str">
        <x:f>IF(A51="","",IF(ABS(Q51-1)&lt;0.0001,"Ready","Review Weight"))</x:f>
        <x:v>Ready</x:v>
      </x:c>
    </x:row>
    <x:row r="52">
      <x:c r="A52" s="25" t="str">
        <x:f>IF(OR(B52="",C52="",E52=""),"",B52&amp;"|"&amp;C52&amp;"|"&amp;E52)</x:f>
        <x:v>Production|Packer|PROD-DEF-005</x:v>
      </x:c>
      <x:c r="B52" s="24" t="str">
        <x:v>Production</x:v>
      </x:c>
      <x:c r="C52" s="24" t="str">
        <x:v>Packer</x:v>
      </x:c>
      <x:c r="D52" s="24" t="str">
        <x:v>Packer/Assistant</x:v>
      </x:c>
      <x:c r="E52" s="24" t="str">
        <x:v>PROD-DEF-005</x:v>
      </x:c>
      <x:c r="F52" s="25" t="str">
        <x:f>IF(E52="","",IFERROR(VLOOKUP(E52,'02 Skill Catalogue'!$A$6:$K$95,4,FALSE),"Skill ID not found"))</x:f>
        <x:v>Tape defect recognition and containment</x:v>
      </x:c>
      <x:c r="G52" s="25" t="str">
        <x:f>IF(E52="","",IFERROR(VLOOKUP(E52,'02 Skill Catalogue'!$A$6:$K$95,3,FALSE),""))</x:f>
        <x:v>Quality</x:v>
      </x:c>
      <x:c r="H52" s="24" t="str">
        <x:v>Critical</x:v>
      </x:c>
      <x:c r="I52" s="28" t="n">
        <x:v>0.125</x:v>
      </x:c>
      <x:c r="J52" s="24" t="n">
        <x:v>2</x:v>
      </x:c>
      <x:c r="K52" s="24" t="str">
        <x:v>No</x:v>
      </x:c>
      <x:c r="L52" s="24" t="n">
        <x:v>12</x:v>
      </x:c>
      <x:c r="M52" s="24" t="str">
        <x:v>Yes</x:v>
      </x:c>
      <x:c r="N52" s="24" t="str">
        <x:v>Production HOD</x:v>
      </x:c>
      <x:c r="O52" s="26" t="n">
        <x:v>46264</x:v>
      </x:c>
      <x:c r="P52" s="27" t="str">
        <x:v>Validate against current SBTG SOP/WI, machine, product and authority limits.</x:v>
      </x:c>
      <x:c r="Q52" s="29" t="n">
        <x:f>IF(OR(B52="",C52=""),"",SUMIFS($I$6:$I$285,$B$6:$B$285,B52,$C$6:$C$285,C52,$M$6:$M$285,"Yes"))</x:f>
        <x:v>1</x:v>
      </x:c>
      <x:c r="R52" s="25" t="str">
        <x:f>IF(A52="","",IF(ABS(Q52-1)&lt;0.0001,"Ready","Review Weight"))</x:f>
        <x:v>Ready</x:v>
      </x:c>
    </x:row>
    <x:row r="53">
      <x:c r="A53" s="25" t="str">
        <x:f>IF(OR(B53="",C53="",E53=""),"",B53&amp;"|"&amp;C53&amp;"|"&amp;E53)</x:f>
        <x:v>Production|Packer|CORE-PROB-001</x:v>
      </x:c>
      <x:c r="B53" s="24" t="str">
        <x:v>Production</x:v>
      </x:c>
      <x:c r="C53" s="24" t="str">
        <x:v>Packer</x:v>
      </x:c>
      <x:c r="D53" s="24" t="str">
        <x:v>Packer/Assistant</x:v>
      </x:c>
      <x:c r="E53" s="24" t="str">
        <x:v>CORE-PROB-001</x:v>
      </x:c>
      <x:c r="F53" s="25" t="str">
        <x:f>IF(E53="","",IFERROR(VLOOKUP(E53,'02 Skill Catalogue'!$A$6:$K$95,4,FALSE),"Skill ID not found"))</x:f>
        <x:v>Abnormality escalation and root-cause thinking</x:v>
      </x:c>
      <x:c r="G53" s="25" t="str">
        <x:f>IF(E53="","",IFERROR(VLOOKUP(E53,'02 Skill Catalogue'!$A$6:$K$95,3,FALSE),""))</x:f>
        <x:v>Problem Solving</x:v>
      </x:c>
      <x:c r="H53" s="24" t="str">
        <x:v>Development</x:v>
      </x:c>
      <x:c r="I53" s="28" t="n">
        <x:v>0.125</x:v>
      </x:c>
      <x:c r="J53" s="24" t="n">
        <x:v>1</x:v>
      </x:c>
      <x:c r="K53" s="24" t="str">
        <x:v>No</x:v>
      </x:c>
      <x:c r="L53" s="24" t="n">
        <x:v>12</x:v>
      </x:c>
      <x:c r="M53" s="24" t="str">
        <x:v>Yes</x:v>
      </x:c>
      <x:c r="N53" s="24" t="str">
        <x:v>Production HOD</x:v>
      </x:c>
      <x:c r="O53" s="26" t="n">
        <x:v>46264</x:v>
      </x:c>
      <x:c r="P53" s="27" t="str">
        <x:v>Validate against current SBTG SOP/WI, machine, product and authority limits.</x:v>
      </x:c>
      <x:c r="Q53" s="29" t="n">
        <x:f>IF(OR(B53="",C53=""),"",SUMIFS($I$6:$I$285,$B$6:$B$285,B53,$C$6:$C$285,C53,$M$6:$M$285,"Yes"))</x:f>
        <x:v>1</x:v>
      </x:c>
      <x:c r="R53" s="25" t="str">
        <x:f>IF(A53="","",IF(ABS(Q53-1)&lt;0.0001,"Ready","Review Weight"))</x:f>
        <x:v>Ready</x:v>
      </x:c>
    </x:row>
    <x:row r="54">
      <x:c r="A54" s="25" t="str">
        <x:f>IF(OR(B54="",C54="",E54=""),"",B54&amp;"|"&amp;C54&amp;"|"&amp;E54)</x:f>
        <x:v>Production|In-process Inspector|CORE-SAF-001</x:v>
      </x:c>
      <x:c r="B54" s="24" t="str">
        <x:v>Production</x:v>
      </x:c>
      <x:c r="C54" s="24" t="str">
        <x:v>In-process Inspector</x:v>
      </x:c>
      <x:c r="D54" s="24" t="str">
        <x:v>Inspector</x:v>
      </x:c>
      <x:c r="E54" s="24" t="str">
        <x:v>CORE-SAF-001</x:v>
      </x:c>
      <x:c r="F54" s="25" t="str">
        <x:f>IF(E54="","",IFERROR(VLOOKUP(E54,'02 Skill Catalogue'!$A$6:$K$95,4,FALSE),"Skill ID not found"))</x:f>
        <x:v>Safe work, PPE and hazard control</x:v>
      </x:c>
      <x:c r="G54" s="25" t="str">
        <x:f>IF(E54="","",IFERROR(VLOOKUP(E54,'02 Skill Catalogue'!$A$6:$K$95,3,FALSE),""))</x:f>
        <x:v>Safety</x:v>
      </x:c>
      <x:c r="H54" s="24" t="str">
        <x:v>Critical</x:v>
      </x:c>
      <x:c r="I54" s="28" t="n">
        <x:v>0.125</x:v>
      </x:c>
      <x:c r="J54" s="24" t="n">
        <x:v>2</x:v>
      </x:c>
      <x:c r="K54" s="24" t="str">
        <x:v>No</x:v>
      </x:c>
      <x:c r="L54" s="24" t="n">
        <x:v>12</x:v>
      </x:c>
      <x:c r="M54" s="24" t="str">
        <x:v>Yes</x:v>
      </x:c>
      <x:c r="N54" s="24" t="str">
        <x:v>Production HOD</x:v>
      </x:c>
      <x:c r="O54" s="26" t="n">
        <x:v>46264</x:v>
      </x:c>
      <x:c r="P54" s="27" t="str">
        <x:v>Validate against current SBTG SOP/WI, machine, product and authority limits.</x:v>
      </x:c>
      <x:c r="Q54" s="29" t="n">
        <x:f>IF(OR(B54="",C54=""),"",SUMIFS($I$6:$I$285,$B$6:$B$285,B54,$C$6:$C$285,C54,$M$6:$M$285,"Yes"))</x:f>
        <x:v>1</x:v>
      </x:c>
      <x:c r="R54" s="25" t="str">
        <x:f>IF(A54="","",IF(ABS(Q54-1)&lt;0.0001,"Ready","Review Weight"))</x:f>
        <x:v>Ready</x:v>
      </x:c>
    </x:row>
    <x:row r="55">
      <x:c r="A55" s="25" t="str">
        <x:f>IF(OR(B55="",C55="",E55=""),"",B55&amp;"|"&amp;C55&amp;"|"&amp;E55)</x:f>
        <x:v>Production|In-process Inspector|CORE-QUAL-001</x:v>
      </x:c>
      <x:c r="B55" s="24" t="str">
        <x:v>Production</x:v>
      </x:c>
      <x:c r="C55" s="24" t="str">
        <x:v>In-process Inspector</x:v>
      </x:c>
      <x:c r="D55" s="24" t="str">
        <x:v>Inspector</x:v>
      </x:c>
      <x:c r="E55" s="24" t="str">
        <x:v>CORE-QUAL-001</x:v>
      </x:c>
      <x:c r="F55" s="25" t="str">
        <x:f>IF(E55="","",IFERROR(VLOOKUP(E55,'02 Skill Catalogue'!$A$6:$K$95,4,FALSE),"Skill ID not found"))</x:f>
        <x:v>SOP and work-instruction discipline</x:v>
      </x:c>
      <x:c r="G55" s="25" t="str">
        <x:f>IF(E55="","",IFERROR(VLOOKUP(E55,'02 Skill Catalogue'!$A$6:$K$95,3,FALSE),""))</x:f>
        <x:v>Quality</x:v>
      </x:c>
      <x:c r="H55" s="24" t="str">
        <x:v>Critical</x:v>
      </x:c>
      <x:c r="I55" s="28" t="n">
        <x:v>0.125</x:v>
      </x:c>
      <x:c r="J55" s="24" t="n">
        <x:v>3</x:v>
      </x:c>
      <x:c r="K55" s="24" t="str">
        <x:v>No</x:v>
      </x:c>
      <x:c r="L55" s="24" t="n">
        <x:v>12</x:v>
      </x:c>
      <x:c r="M55" s="24" t="str">
        <x:v>Yes</x:v>
      </x:c>
      <x:c r="N55" s="24" t="str">
        <x:v>Production HOD</x:v>
      </x:c>
      <x:c r="O55" s="26" t="n">
        <x:v>46264</x:v>
      </x:c>
      <x:c r="P55" s="27" t="str">
        <x:v>Validate against current SBTG SOP/WI, machine, product and authority limits.</x:v>
      </x:c>
      <x:c r="Q55" s="29" t="n">
        <x:f>IF(OR(B55="",C55=""),"",SUMIFS($I$6:$I$285,$B$6:$B$285,B55,$C$6:$C$285,C55,$M$6:$M$285,"Yes"))</x:f>
        <x:v>1</x:v>
      </x:c>
      <x:c r="R55" s="25" t="str">
        <x:f>IF(A55="","",IF(ABS(Q55-1)&lt;0.0001,"Ready","Review Weight"))</x:f>
        <x:v>Ready</x:v>
      </x:c>
    </x:row>
    <x:row r="56">
      <x:c r="A56" s="25" t="str">
        <x:f>IF(OR(B56="",C56="",E56=""),"",B56&amp;"|"&amp;C56&amp;"|"&amp;E56)</x:f>
        <x:v>Production|In-process Inspector|CORE-DATA-001</x:v>
      </x:c>
      <x:c r="B56" s="24" t="str">
        <x:v>Production</x:v>
      </x:c>
      <x:c r="C56" s="24" t="str">
        <x:v>In-process Inspector</x:v>
      </x:c>
      <x:c r="D56" s="24" t="str">
        <x:v>Inspector</x:v>
      </x:c>
      <x:c r="E56" s="24" t="str">
        <x:v>CORE-DATA-001</x:v>
      </x:c>
      <x:c r="F56" s="25" t="str">
        <x:f>IF(E56="","",IFERROR(VLOOKUP(E56,'02 Skill Catalogue'!$A$6:$K$95,4,FALSE),"Skill ID not found"))</x:f>
        <x:v>Accurate operational data recording</x:v>
      </x:c>
      <x:c r="G56" s="25" t="str">
        <x:f>IF(E56="","",IFERROR(VLOOKUP(E56,'02 Skill Catalogue'!$A$6:$K$95,3,FALSE),""))</x:f>
        <x:v>Digital/Data/AI</x:v>
      </x:c>
      <x:c r="H56" s="24" t="str">
        <x:v>Critical</x:v>
      </x:c>
      <x:c r="I56" s="28" t="n">
        <x:v>0.125</x:v>
      </x:c>
      <x:c r="J56" s="24" t="n">
        <x:v>3</x:v>
      </x:c>
      <x:c r="K56" s="24" t="str">
        <x:v>No</x:v>
      </x:c>
      <x:c r="L56" s="24" t="n">
        <x:v>12</x:v>
      </x:c>
      <x:c r="M56" s="24" t="str">
        <x:v>Yes</x:v>
      </x:c>
      <x:c r="N56" s="24" t="str">
        <x:v>Production HOD</x:v>
      </x:c>
      <x:c r="O56" s="26" t="n">
        <x:v>46264</x:v>
      </x:c>
      <x:c r="P56" s="27" t="str">
        <x:v>Validate against current SBTG SOP/WI, machine, product and authority limits.</x:v>
      </x:c>
      <x:c r="Q56" s="29" t="n">
        <x:f>IF(OR(B56="",C56=""),"",SUMIFS($I$6:$I$285,$B$6:$B$285,B56,$C$6:$C$285,C56,$M$6:$M$285,"Yes"))</x:f>
        <x:v>1</x:v>
      </x:c>
      <x:c r="R56" s="25" t="str">
        <x:f>IF(A56="","",IF(ABS(Q56-1)&lt;0.0001,"Ready","Review Weight"))</x:f>
        <x:v>Ready</x:v>
      </x:c>
    </x:row>
    <x:row r="57">
      <x:c r="A57" s="25" t="str">
        <x:f>IF(OR(B57="",C57="",E57=""),"",B57&amp;"|"&amp;C57&amp;"|"&amp;E57)</x:f>
        <x:v>Production|In-process Inspector|PROD-DEF-005</x:v>
      </x:c>
      <x:c r="B57" s="24" t="str">
        <x:v>Production</x:v>
      </x:c>
      <x:c r="C57" s="24" t="str">
        <x:v>In-process Inspector</x:v>
      </x:c>
      <x:c r="D57" s="24" t="str">
        <x:v>Inspector</x:v>
      </x:c>
      <x:c r="E57" s="24" t="str">
        <x:v>PROD-DEF-005</x:v>
      </x:c>
      <x:c r="F57" s="25" t="str">
        <x:f>IF(E57="","",IFERROR(VLOOKUP(E57,'02 Skill Catalogue'!$A$6:$K$95,4,FALSE),"Skill ID not found"))</x:f>
        <x:v>Tape defect recognition and containment</x:v>
      </x:c>
      <x:c r="G57" s="25" t="str">
        <x:f>IF(E57="","",IFERROR(VLOOKUP(E57,'02 Skill Catalogue'!$A$6:$K$95,3,FALSE),""))</x:f>
        <x:v>Quality</x:v>
      </x:c>
      <x:c r="H57" s="24" t="str">
        <x:v>Critical</x:v>
      </x:c>
      <x:c r="I57" s="28" t="n">
        <x:v>0.125</x:v>
      </x:c>
      <x:c r="J57" s="24" t="n">
        <x:v>3</x:v>
      </x:c>
      <x:c r="K57" s="24" t="str">
        <x:v>No</x:v>
      </x:c>
      <x:c r="L57" s="24" t="n">
        <x:v>12</x:v>
      </x:c>
      <x:c r="M57" s="24" t="str">
        <x:v>Yes</x:v>
      </x:c>
      <x:c r="N57" s="24" t="str">
        <x:v>Production HOD</x:v>
      </x:c>
      <x:c r="O57" s="26" t="n">
        <x:v>46264</x:v>
      </x:c>
      <x:c r="P57" s="27" t="str">
        <x:v>Validate against current SBTG SOP/WI, machine, product and authority limits.</x:v>
      </x:c>
      <x:c r="Q57" s="29" t="n">
        <x:f>IF(OR(B57="",C57=""),"",SUMIFS($I$6:$I$285,$B$6:$B$285,B57,$C$6:$C$285,C57,$M$6:$M$285,"Yes"))</x:f>
        <x:v>1</x:v>
      </x:c>
      <x:c r="R57" s="25" t="str">
        <x:f>IF(A57="","",IF(ABS(Q57-1)&lt;0.0001,"Ready","Review Weight"))</x:f>
        <x:v>Ready</x:v>
      </x:c>
    </x:row>
    <x:row r="58">
      <x:c r="A58" s="25" t="str">
        <x:f>IF(OR(B58="",C58="",E58=""),"",B58&amp;"|"&amp;C58&amp;"|"&amp;E58)</x:f>
        <x:v>Production|In-process Inspector|PROD-TRACE-009</x:v>
      </x:c>
      <x:c r="B58" s="24" t="str">
        <x:v>Production</x:v>
      </x:c>
      <x:c r="C58" s="24" t="str">
        <x:v>In-process Inspector</x:v>
      </x:c>
      <x:c r="D58" s="24" t="str">
        <x:v>Inspector</x:v>
      </x:c>
      <x:c r="E58" s="24" t="str">
        <x:v>PROD-TRACE-009</x:v>
      </x:c>
      <x:c r="F58" s="25" t="str">
        <x:f>IF(E58="","",IFERROR(VLOOKUP(E58,'02 Skill Catalogue'!$A$6:$K$95,4,FALSE),"Skill ID not found"))</x:f>
        <x:v>Material and product traceability</x:v>
      </x:c>
      <x:c r="G58" s="25" t="str">
        <x:f>IF(E58="","",IFERROR(VLOOKUP(E58,'02 Skill Catalogue'!$A$6:$K$95,3,FALSE),""))</x:f>
        <x:v>Quality</x:v>
      </x:c>
      <x:c r="H58" s="24" t="str">
        <x:v>Critical</x:v>
      </x:c>
      <x:c r="I58" s="28" t="n">
        <x:v>0.125</x:v>
      </x:c>
      <x:c r="J58" s="24" t="n">
        <x:v>3</x:v>
      </x:c>
      <x:c r="K58" s="24" t="str">
        <x:v>No</x:v>
      </x:c>
      <x:c r="L58" s="24" t="n">
        <x:v>12</x:v>
      </x:c>
      <x:c r="M58" s="24" t="str">
        <x:v>Yes</x:v>
      </x:c>
      <x:c r="N58" s="24" t="str">
        <x:v>Production HOD</x:v>
      </x:c>
      <x:c r="O58" s="26" t="n">
        <x:v>46264</x:v>
      </x:c>
      <x:c r="P58" s="27" t="str">
        <x:v>Validate against current SBTG SOP/WI, machine, product and authority limits.</x:v>
      </x:c>
      <x:c r="Q58" s="29" t="n">
        <x:f>IF(OR(B58="",C58=""),"",SUMIFS($I$6:$I$285,$B$6:$B$285,B58,$C$6:$C$285,C58,$M$6:$M$285,"Yes"))</x:f>
        <x:v>1</x:v>
      </x:c>
      <x:c r="R58" s="25" t="str">
        <x:f>IF(A58="","",IF(ABS(Q58-1)&lt;0.0001,"Ready","Review Weight"))</x:f>
        <x:v>Ready</x:v>
      </x:c>
    </x:row>
    <x:row r="59">
      <x:c r="A59" s="25" t="str">
        <x:f>IF(OR(B59="",C59="",E59=""),"",B59&amp;"|"&amp;C59&amp;"|"&amp;E59)</x:f>
        <x:v>Production|In-process Inspector|QAC-TEST-001</x:v>
      </x:c>
      <x:c r="B59" s="24" t="str">
        <x:v>Production</x:v>
      </x:c>
      <x:c r="C59" s="24" t="str">
        <x:v>In-process Inspector</x:v>
      </x:c>
      <x:c r="D59" s="24" t="str">
        <x:v>Inspector</x:v>
      </x:c>
      <x:c r="E59" s="24" t="str">
        <x:v>QAC-TEST-001</x:v>
      </x:c>
      <x:c r="F59" s="25" t="str">
        <x:f>IF(E59="","",IFERROR(VLOOKUP(E59,'02 Skill Catalogue'!$A$6:$K$95,4,FALSE),"Skill ID not found"))</x:f>
        <x:v>Sampling and tape laboratory testing</x:v>
      </x:c>
      <x:c r="G59" s="25" t="str">
        <x:f>IF(E59="","",IFERROR(VLOOKUP(E59,'02 Skill Catalogue'!$A$6:$K$95,3,FALSE),""))</x:f>
        <x:v>Quality</x:v>
      </x:c>
      <x:c r="H59" s="24" t="str">
        <x:v>Critical</x:v>
      </x:c>
      <x:c r="I59" s="28" t="n">
        <x:v>0.125</x:v>
      </x:c>
      <x:c r="J59" s="24" t="n">
        <x:v>2</x:v>
      </x:c>
      <x:c r="K59" s="24" t="str">
        <x:v>No</x:v>
      </x:c>
      <x:c r="L59" s="24" t="n">
        <x:v>12</x:v>
      </x:c>
      <x:c r="M59" s="24" t="str">
        <x:v>Yes</x:v>
      </x:c>
      <x:c r="N59" s="24" t="str">
        <x:v>Production HOD</x:v>
      </x:c>
      <x:c r="O59" s="26" t="n">
        <x:v>46264</x:v>
      </x:c>
      <x:c r="P59" s="27" t="str">
        <x:v>Validate against current SBTG SOP/WI, machine, product and authority limits.</x:v>
      </x:c>
      <x:c r="Q59" s="29" t="n">
        <x:f>IF(OR(B59="",C59=""),"",SUMIFS($I$6:$I$285,$B$6:$B$285,B59,$C$6:$C$285,C59,$M$6:$M$285,"Yes"))</x:f>
        <x:v>1</x:v>
      </x:c>
      <x:c r="R59" s="25" t="str">
        <x:f>IF(A59="","",IF(ABS(Q59-1)&lt;0.0001,"Ready","Review Weight"))</x:f>
        <x:v>Ready</x:v>
      </x:c>
    </x:row>
    <x:row r="60">
      <x:c r="A60" s="25" t="str">
        <x:f>IF(OR(B60="",C60="",E60=""),"",B60&amp;"|"&amp;C60&amp;"|"&amp;E60)</x:f>
        <x:v>Production|In-process Inspector|QAC-RELEASE-005</x:v>
      </x:c>
      <x:c r="B60" s="24" t="str">
        <x:v>Production</x:v>
      </x:c>
      <x:c r="C60" s="24" t="str">
        <x:v>In-process Inspector</x:v>
      </x:c>
      <x:c r="D60" s="24" t="str">
        <x:v>Inspector</x:v>
      </x:c>
      <x:c r="E60" s="24" t="str">
        <x:v>QAC-RELEASE-005</x:v>
      </x:c>
      <x:c r="F60" s="25" t="str">
        <x:f>IF(E60="","",IFERROR(VLOOKUP(E60,'02 Skill Catalogue'!$A$6:$K$95,4,FALSE),"Skill ID not found"))</x:f>
        <x:v>Product release, hold and concession control</x:v>
      </x:c>
      <x:c r="G60" s="25" t="str">
        <x:f>IF(E60="","",IFERROR(VLOOKUP(E60,'02 Skill Catalogue'!$A$6:$K$95,3,FALSE),""))</x:f>
        <x:v>Quality</x:v>
      </x:c>
      <x:c r="H60" s="24" t="str">
        <x:v>Critical</x:v>
      </x:c>
      <x:c r="I60" s="28" t="n">
        <x:v>0.125</x:v>
      </x:c>
      <x:c r="J60" s="24" t="n">
        <x:v>2</x:v>
      </x:c>
      <x:c r="K60" s="24" t="str">
        <x:v>No</x:v>
      </x:c>
      <x:c r="L60" s="24" t="n">
        <x:v>12</x:v>
      </x:c>
      <x:c r="M60" s="24" t="str">
        <x:v>Yes</x:v>
      </x:c>
      <x:c r="N60" s="24" t="str">
        <x:v>Production HOD</x:v>
      </x:c>
      <x:c r="O60" s="26" t="n">
        <x:v>46264</x:v>
      </x:c>
      <x:c r="P60" s="27" t="str">
        <x:v>Validate against current SBTG SOP/WI, machine, product and authority limits.</x:v>
      </x:c>
      <x:c r="Q60" s="29" t="n">
        <x:f>IF(OR(B60="",C60=""),"",SUMIFS($I$6:$I$285,$B$6:$B$285,B60,$C$6:$C$285,C60,$M$6:$M$285,"Yes"))</x:f>
        <x:v>1</x:v>
      </x:c>
      <x:c r="R60" s="25" t="str">
        <x:f>IF(A60="","",IF(ABS(Q60-1)&lt;0.0001,"Ready","Review Weight"))</x:f>
        <x:v>Ready</x:v>
      </x:c>
    </x:row>
    <x:row r="61">
      <x:c r="A61" s="25" t="str">
        <x:f>IF(OR(B61="",C61="",E61=""),"",B61&amp;"|"&amp;C61&amp;"|"&amp;E61)</x:f>
        <x:v>Production|In-process Inspector|CORE-PROB-001</x:v>
      </x:c>
      <x:c r="B61" s="24" t="str">
        <x:v>Production</x:v>
      </x:c>
      <x:c r="C61" s="24" t="str">
        <x:v>In-process Inspector</x:v>
      </x:c>
      <x:c r="D61" s="24" t="str">
        <x:v>Inspector</x:v>
      </x:c>
      <x:c r="E61" s="24" t="str">
        <x:v>CORE-PROB-001</x:v>
      </x:c>
      <x:c r="F61" s="25" t="str">
        <x:f>IF(E61="","",IFERROR(VLOOKUP(E61,'02 Skill Catalogue'!$A$6:$K$95,4,FALSE),"Skill ID not found"))</x:f>
        <x:v>Abnormality escalation and root-cause thinking</x:v>
      </x:c>
      <x:c r="G61" s="25" t="str">
        <x:f>IF(E61="","",IFERROR(VLOOKUP(E61,'02 Skill Catalogue'!$A$6:$K$95,3,FALSE),""))</x:f>
        <x:v>Problem Solving</x:v>
      </x:c>
      <x:c r="H61" s="24" t="str">
        <x:v>Essential</x:v>
      </x:c>
      <x:c r="I61" s="28" t="n">
        <x:v>0.125</x:v>
      </x:c>
      <x:c r="J61" s="24" t="n">
        <x:v>2</x:v>
      </x:c>
      <x:c r="K61" s="24" t="str">
        <x:v>No</x:v>
      </x:c>
      <x:c r="L61" s="24" t="n">
        <x:v>12</x:v>
      </x:c>
      <x:c r="M61" s="24" t="str">
        <x:v>Yes</x:v>
      </x:c>
      <x:c r="N61" s="24" t="str">
        <x:v>Production HOD</x:v>
      </x:c>
      <x:c r="O61" s="26" t="n">
        <x:v>46264</x:v>
      </x:c>
      <x:c r="P61" s="27" t="str">
        <x:v>Validate against current SBTG SOP/WI, machine, product and authority limits.</x:v>
      </x:c>
      <x:c r="Q61" s="29" t="n">
        <x:f>IF(OR(B61="",C61=""),"",SUMIFS($I$6:$I$285,$B$6:$B$285,B61,$C$6:$C$285,C61,$M$6:$M$285,"Yes"))</x:f>
        <x:v>1</x:v>
      </x:c>
      <x:c r="R61" s="25" t="str">
        <x:f>IF(A61="","",IF(ABS(Q61-1)&lt;0.0001,"Ready","Review Weight"))</x:f>
        <x:v>Ready</x:v>
      </x:c>
    </x:row>
    <x:row r="62">
      <x:c r="A62" s="25" t="str">
        <x:f>IF(OR(B62="",C62="",E62=""),"",B62&amp;"|"&amp;C62&amp;"|"&amp;E62)</x:f>
        <x:v>Production|Production Helper|CORE-SAF-001</x:v>
      </x:c>
      <x:c r="B62" s="24" t="str">
        <x:v>Production</x:v>
      </x:c>
      <x:c r="C62" s="24" t="str">
        <x:v>Production Helper</x:v>
      </x:c>
      <x:c r="D62" s="24" t="str">
        <x:v>Helper/Trainee</x:v>
      </x:c>
      <x:c r="E62" s="24" t="str">
        <x:v>CORE-SAF-001</x:v>
      </x:c>
      <x:c r="F62" s="25" t="str">
        <x:f>IF(E62="","",IFERROR(VLOOKUP(E62,'02 Skill Catalogue'!$A$6:$K$95,4,FALSE),"Skill ID not found"))</x:f>
        <x:v>Safe work, PPE and hazard control</x:v>
      </x:c>
      <x:c r="G62" s="25" t="str">
        <x:f>IF(E62="","",IFERROR(VLOOKUP(E62,'02 Skill Catalogue'!$A$6:$K$95,3,FALSE),""))</x:f>
        <x:v>Safety</x:v>
      </x:c>
      <x:c r="H62" s="24" t="str">
        <x:v>Critical</x:v>
      </x:c>
      <x:c r="I62" s="28" t="n">
        <x:v>0.125</x:v>
      </x:c>
      <x:c r="J62" s="24" t="n">
        <x:v>2</x:v>
      </x:c>
      <x:c r="K62" s="24" t="str">
        <x:v>No</x:v>
      </x:c>
      <x:c r="L62" s="24" t="n">
        <x:v>12</x:v>
      </x:c>
      <x:c r="M62" s="24" t="str">
        <x:v>Yes</x:v>
      </x:c>
      <x:c r="N62" s="24" t="str">
        <x:v>Production HOD</x:v>
      </x:c>
      <x:c r="O62" s="26" t="n">
        <x:v>46264</x:v>
      </x:c>
      <x:c r="P62" s="27" t="str">
        <x:v>Validate against current SBTG SOP/WI, machine, product and authority limits.</x:v>
      </x:c>
      <x:c r="Q62" s="29" t="n">
        <x:f>IF(OR(B62="",C62=""),"",SUMIFS($I$6:$I$285,$B$6:$B$285,B62,$C$6:$C$285,C62,$M$6:$M$285,"Yes"))</x:f>
        <x:v>1</x:v>
      </x:c>
      <x:c r="R62" s="25" t="str">
        <x:f>IF(A62="","",IF(ABS(Q62-1)&lt;0.0001,"Ready","Review Weight"))</x:f>
        <x:v>Ready</x:v>
      </x:c>
    </x:row>
    <x:row r="63">
      <x:c r="A63" s="25" t="str">
        <x:f>IF(OR(B63="",C63="",E63=""),"",B63&amp;"|"&amp;C63&amp;"|"&amp;E63)</x:f>
        <x:v>Production|Production Helper|CORE-QUAL-001</x:v>
      </x:c>
      <x:c r="B63" s="24" t="str">
        <x:v>Production</x:v>
      </x:c>
      <x:c r="C63" s="24" t="str">
        <x:v>Production Helper</x:v>
      </x:c>
      <x:c r="D63" s="24" t="str">
        <x:v>Helper/Trainee</x:v>
      </x:c>
      <x:c r="E63" s="24" t="str">
        <x:v>CORE-QUAL-001</x:v>
      </x:c>
      <x:c r="F63" s="25" t="str">
        <x:f>IF(E63="","",IFERROR(VLOOKUP(E63,'02 Skill Catalogue'!$A$6:$K$95,4,FALSE),"Skill ID not found"))</x:f>
        <x:v>SOP and work-instruction discipline</x:v>
      </x:c>
      <x:c r="G63" s="25" t="str">
        <x:f>IF(E63="","",IFERROR(VLOOKUP(E63,'02 Skill Catalogue'!$A$6:$K$95,3,FALSE),""))</x:f>
        <x:v>Quality</x:v>
      </x:c>
      <x:c r="H63" s="24" t="str">
        <x:v>Critical</x:v>
      </x:c>
      <x:c r="I63" s="28" t="n">
        <x:v>0.125</x:v>
      </x:c>
      <x:c r="J63" s="24" t="n">
        <x:v>1</x:v>
      </x:c>
      <x:c r="K63" s="24" t="str">
        <x:v>No</x:v>
      </x:c>
      <x:c r="L63" s="24" t="n">
        <x:v>12</x:v>
      </x:c>
      <x:c r="M63" s="24" t="str">
        <x:v>Yes</x:v>
      </x:c>
      <x:c r="N63" s="24" t="str">
        <x:v>Production HOD</x:v>
      </x:c>
      <x:c r="O63" s="26" t="n">
        <x:v>46264</x:v>
      </x:c>
      <x:c r="P63" s="27" t="str">
        <x:v>Validate against current SBTG SOP/WI, machine, product and authority limits.</x:v>
      </x:c>
      <x:c r="Q63" s="29" t="n">
        <x:f>IF(OR(B63="",C63=""),"",SUMIFS($I$6:$I$285,$B$6:$B$285,B63,$C$6:$C$285,C63,$M$6:$M$285,"Yes"))</x:f>
        <x:v>1</x:v>
      </x:c>
      <x:c r="R63" s="25" t="str">
        <x:f>IF(A63="","",IF(ABS(Q63-1)&lt;0.0001,"Ready","Review Weight"))</x:f>
        <x:v>Ready</x:v>
      </x:c>
    </x:row>
    <x:row r="64">
      <x:c r="A64" s="25" t="str">
        <x:f>IF(OR(B64="",C64="",E64=""),"",B64&amp;"|"&amp;C64&amp;"|"&amp;E64)</x:f>
        <x:v>Production|Production Helper|CORE-DATA-001</x:v>
      </x:c>
      <x:c r="B64" s="24" t="str">
        <x:v>Production</x:v>
      </x:c>
      <x:c r="C64" s="24" t="str">
        <x:v>Production Helper</x:v>
      </x:c>
      <x:c r="D64" s="24" t="str">
        <x:v>Helper/Trainee</x:v>
      </x:c>
      <x:c r="E64" s="24" t="str">
        <x:v>CORE-DATA-001</x:v>
      </x:c>
      <x:c r="F64" s="25" t="str">
        <x:f>IF(E64="","",IFERROR(VLOOKUP(E64,'02 Skill Catalogue'!$A$6:$K$95,4,FALSE),"Skill ID not found"))</x:f>
        <x:v>Accurate operational data recording</x:v>
      </x:c>
      <x:c r="G64" s="25" t="str">
        <x:f>IF(E64="","",IFERROR(VLOOKUP(E64,'02 Skill Catalogue'!$A$6:$K$95,3,FALSE),""))</x:f>
        <x:v>Digital/Data/AI</x:v>
      </x:c>
      <x:c r="H64" s="24" t="str">
        <x:v>Essential</x:v>
      </x:c>
      <x:c r="I64" s="28" t="n">
        <x:v>0.125</x:v>
      </x:c>
      <x:c r="J64" s="24" t="n">
        <x:v>1</x:v>
      </x:c>
      <x:c r="K64" s="24" t="str">
        <x:v>No</x:v>
      </x:c>
      <x:c r="L64" s="24" t="n">
        <x:v>12</x:v>
      </x:c>
      <x:c r="M64" s="24" t="str">
        <x:v>Yes</x:v>
      </x:c>
      <x:c r="N64" s="24" t="str">
        <x:v>Production HOD</x:v>
      </x:c>
      <x:c r="O64" s="26" t="n">
        <x:v>46264</x:v>
      </x:c>
      <x:c r="P64" s="27" t="str">
        <x:v>Validate against current SBTG SOP/WI, machine, product and authority limits.</x:v>
      </x:c>
      <x:c r="Q64" s="29" t="n">
        <x:f>IF(OR(B64="",C64=""),"",SUMIFS($I$6:$I$285,$B$6:$B$285,B64,$C$6:$C$285,C64,$M$6:$M$285,"Yes"))</x:f>
        <x:v>1</x:v>
      </x:c>
      <x:c r="R64" s="25" t="str">
        <x:f>IF(A64="","",IF(ABS(Q64-1)&lt;0.0001,"Ready","Review Weight"))</x:f>
        <x:v>Ready</x:v>
      </x:c>
    </x:row>
    <x:row r="65">
      <x:c r="A65" s="25" t="str">
        <x:f>IF(OR(B65="",C65="",E65=""),"",B65&amp;"|"&amp;C65&amp;"|"&amp;E65)</x:f>
        <x:v>Production|Production Helper|CORE-5S-001</x:v>
      </x:c>
      <x:c r="B65" s="24" t="str">
        <x:v>Production</x:v>
      </x:c>
      <x:c r="C65" s="24" t="str">
        <x:v>Production Helper</x:v>
      </x:c>
      <x:c r="D65" s="24" t="str">
        <x:v>Helper/Trainee</x:v>
      </x:c>
      <x:c r="E65" s="24" t="str">
        <x:v>CORE-5S-001</x:v>
      </x:c>
      <x:c r="F65" s="25" t="str">
        <x:f>IF(E65="","",IFERROR(VLOOKUP(E65,'02 Skill Catalogue'!$A$6:$K$95,4,FALSE),"Skill ID not found"))</x:f>
        <x:v>5S and workplace ownership</x:v>
      </x:c>
      <x:c r="G65" s="25" t="str">
        <x:f>IF(E65="","",IFERROR(VLOOKUP(E65,'02 Skill Catalogue'!$A$6:$K$95,3,FALSE),""))</x:f>
        <x:v>Work Discipline</x:v>
      </x:c>
      <x:c r="H65" s="24" t="str">
        <x:v>Essential</x:v>
      </x:c>
      <x:c r="I65" s="28" t="n">
        <x:v>0.125</x:v>
      </x:c>
      <x:c r="J65" s="24" t="n">
        <x:v>2</x:v>
      </x:c>
      <x:c r="K65" s="24" t="str">
        <x:v>No</x:v>
      </x:c>
      <x:c r="L65" s="24" t="n">
        <x:v>12</x:v>
      </x:c>
      <x:c r="M65" s="24" t="str">
        <x:v>Yes</x:v>
      </x:c>
      <x:c r="N65" s="24" t="str">
        <x:v>Production HOD</x:v>
      </x:c>
      <x:c r="O65" s="26" t="n">
        <x:v>46264</x:v>
      </x:c>
      <x:c r="P65" s="27" t="str">
        <x:v>Validate against current SBTG SOP/WI, machine, product and authority limits.</x:v>
      </x:c>
      <x:c r="Q65" s="29" t="n">
        <x:f>IF(OR(B65="",C65=""),"",SUMIFS($I$6:$I$285,$B$6:$B$285,B65,$C$6:$C$285,C65,$M$6:$M$285,"Yes"))</x:f>
        <x:v>1</x:v>
      </x:c>
      <x:c r="R65" s="25" t="str">
        <x:f>IF(A65="","",IF(ABS(Q65-1)&lt;0.0001,"Ready","Review Weight"))</x:f>
        <x:v>Ready</x:v>
      </x:c>
    </x:row>
    <x:row r="66">
      <x:c r="A66" s="25" t="str">
        <x:f>IF(OR(B66="",C66="",E66=""),"",B66&amp;"|"&amp;C66&amp;"|"&amp;E66)</x:f>
        <x:v>Production|Production Helper|PROD-PACK-008</x:v>
      </x:c>
      <x:c r="B66" s="24" t="str">
        <x:v>Production</x:v>
      </x:c>
      <x:c r="C66" s="24" t="str">
        <x:v>Production Helper</x:v>
      </x:c>
      <x:c r="D66" s="24" t="str">
        <x:v>Helper/Trainee</x:v>
      </x:c>
      <x:c r="E66" s="24" t="str">
        <x:v>PROD-PACK-008</x:v>
      </x:c>
      <x:c r="F66" s="25" t="str">
        <x:f>IF(E66="","",IFERROR(VLOOKUP(E66,'02 Skill Catalogue'!$A$6:$K$95,4,FALSE),"Skill ID not found"))</x:f>
        <x:v>Packing, labelling and palletisation</x:v>
      </x:c>
      <x:c r="G66" s="25" t="str">
        <x:f>IF(E66="","",IFERROR(VLOOKUP(E66,'02 Skill Catalogue'!$A$6:$K$95,3,FALSE),""))</x:f>
        <x:v>Process/Technical</x:v>
      </x:c>
      <x:c r="H66" s="24" t="str">
        <x:v>Critical</x:v>
      </x:c>
      <x:c r="I66" s="28" t="n">
        <x:v>0.125</x:v>
      </x:c>
      <x:c r="J66" s="24" t="n">
        <x:v>1</x:v>
      </x:c>
      <x:c r="K66" s="24" t="str">
        <x:v>No</x:v>
      </x:c>
      <x:c r="L66" s="24" t="n">
        <x:v>12</x:v>
      </x:c>
      <x:c r="M66" s="24" t="str">
        <x:v>Yes</x:v>
      </x:c>
      <x:c r="N66" s="24" t="str">
        <x:v>Production HOD</x:v>
      </x:c>
      <x:c r="O66" s="26" t="n">
        <x:v>46264</x:v>
      </x:c>
      <x:c r="P66" s="27" t="str">
        <x:v>Validate against current SBTG SOP/WI, machine, product and authority limits.</x:v>
      </x:c>
      <x:c r="Q66" s="29" t="n">
        <x:f>IF(OR(B66="",C66=""),"",SUMIFS($I$6:$I$285,$B$6:$B$285,B66,$C$6:$C$285,C66,$M$6:$M$285,"Yes"))</x:f>
        <x:v>1</x:v>
      </x:c>
      <x:c r="R66" s="25" t="str">
        <x:f>IF(A66="","",IF(ABS(Q66-1)&lt;0.0001,"Ready","Review Weight"))</x:f>
        <x:v>Ready</x:v>
      </x:c>
    </x:row>
    <x:row r="67">
      <x:c r="A67" s="25" t="str">
        <x:f>IF(OR(B67="",C67="",E67=""),"",B67&amp;"|"&amp;C67&amp;"|"&amp;E67)</x:f>
        <x:v>Production|Production Helper|PROD-TRACE-009</x:v>
      </x:c>
      <x:c r="B67" s="24" t="str">
        <x:v>Production</x:v>
      </x:c>
      <x:c r="C67" s="24" t="str">
        <x:v>Production Helper</x:v>
      </x:c>
      <x:c r="D67" s="24" t="str">
        <x:v>Helper/Trainee</x:v>
      </x:c>
      <x:c r="E67" s="24" t="str">
        <x:v>PROD-TRACE-009</x:v>
      </x:c>
      <x:c r="F67" s="25" t="str">
        <x:f>IF(E67="","",IFERROR(VLOOKUP(E67,'02 Skill Catalogue'!$A$6:$K$95,4,FALSE),"Skill ID not found"))</x:f>
        <x:v>Material and product traceability</x:v>
      </x:c>
      <x:c r="G67" s="25" t="str">
        <x:f>IF(E67="","",IFERROR(VLOOKUP(E67,'02 Skill Catalogue'!$A$6:$K$95,3,FALSE),""))</x:f>
        <x:v>Quality</x:v>
      </x:c>
      <x:c r="H67" s="24" t="str">
        <x:v>Critical</x:v>
      </x:c>
      <x:c r="I67" s="28" t="n">
        <x:v>0.125</x:v>
      </x:c>
      <x:c r="J67" s="24" t="n">
        <x:v>1</x:v>
      </x:c>
      <x:c r="K67" s="24" t="str">
        <x:v>No</x:v>
      </x:c>
      <x:c r="L67" s="24" t="n">
        <x:v>12</x:v>
      </x:c>
      <x:c r="M67" s="24" t="str">
        <x:v>Yes</x:v>
      </x:c>
      <x:c r="N67" s="24" t="str">
        <x:v>Production HOD</x:v>
      </x:c>
      <x:c r="O67" s="26" t="n">
        <x:v>46264</x:v>
      </x:c>
      <x:c r="P67" s="27" t="str">
        <x:v>Validate against current SBTG SOP/WI, machine, product and authority limits.</x:v>
      </x:c>
      <x:c r="Q67" s="29" t="n">
        <x:f>IF(OR(B67="",C67=""),"",SUMIFS($I$6:$I$285,$B$6:$B$285,B67,$C$6:$C$285,C67,$M$6:$M$285,"Yes"))</x:f>
        <x:v>1</x:v>
      </x:c>
      <x:c r="R67" s="25" t="str">
        <x:f>IF(A67="","",IF(ABS(Q67-1)&lt;0.0001,"Ready","Review Weight"))</x:f>
        <x:v>Ready</x:v>
      </x:c>
    </x:row>
    <x:row r="68">
      <x:c r="A68" s="25" t="str">
        <x:f>IF(OR(B68="",C68="",E68=""),"",B68&amp;"|"&amp;C68&amp;"|"&amp;E68)</x:f>
        <x:v>Production|Production Helper|PROD-DEF-005</x:v>
      </x:c>
      <x:c r="B68" s="24" t="str">
        <x:v>Production</x:v>
      </x:c>
      <x:c r="C68" s="24" t="str">
        <x:v>Production Helper</x:v>
      </x:c>
      <x:c r="D68" s="24" t="str">
        <x:v>Helper/Trainee</x:v>
      </x:c>
      <x:c r="E68" s="24" t="str">
        <x:v>PROD-DEF-005</x:v>
      </x:c>
      <x:c r="F68" s="25" t="str">
        <x:f>IF(E68="","",IFERROR(VLOOKUP(E68,'02 Skill Catalogue'!$A$6:$K$95,4,FALSE),"Skill ID not found"))</x:f>
        <x:v>Tape defect recognition and containment</x:v>
      </x:c>
      <x:c r="G68" s="25" t="str">
        <x:f>IF(E68="","",IFERROR(VLOOKUP(E68,'02 Skill Catalogue'!$A$6:$K$95,3,FALSE),""))</x:f>
        <x:v>Quality</x:v>
      </x:c>
      <x:c r="H68" s="24" t="str">
        <x:v>Critical</x:v>
      </x:c>
      <x:c r="I68" s="28" t="n">
        <x:v>0.125</x:v>
      </x:c>
      <x:c r="J68" s="24" t="n">
        <x:v>1</x:v>
      </x:c>
      <x:c r="K68" s="24" t="str">
        <x:v>No</x:v>
      </x:c>
      <x:c r="L68" s="24" t="n">
        <x:v>12</x:v>
      </x:c>
      <x:c r="M68" s="24" t="str">
        <x:v>Yes</x:v>
      </x:c>
      <x:c r="N68" s="24" t="str">
        <x:v>Production HOD</x:v>
      </x:c>
      <x:c r="O68" s="26" t="n">
        <x:v>46264</x:v>
      </x:c>
      <x:c r="P68" s="27" t="str">
        <x:v>Validate against current SBTG SOP/WI, machine, product and authority limits.</x:v>
      </x:c>
      <x:c r="Q68" s="29" t="n">
        <x:f>IF(OR(B68="",C68=""),"",SUMIFS($I$6:$I$285,$B$6:$B$285,B68,$C$6:$C$285,C68,$M$6:$M$285,"Yes"))</x:f>
        <x:v>1</x:v>
      </x:c>
      <x:c r="R68" s="25" t="str">
        <x:f>IF(A68="","",IF(ABS(Q68-1)&lt;0.0001,"Ready","Review Weight"))</x:f>
        <x:v>Ready</x:v>
      </x:c>
    </x:row>
    <x:row r="69">
      <x:c r="A69" s="25" t="str">
        <x:f>IF(OR(B69="",C69="",E69=""),"",B69&amp;"|"&amp;C69&amp;"|"&amp;E69)</x:f>
        <x:v>Production|Production Helper|CORE-PROB-001</x:v>
      </x:c>
      <x:c r="B69" s="24" t="str">
        <x:v>Production</x:v>
      </x:c>
      <x:c r="C69" s="24" t="str">
        <x:v>Production Helper</x:v>
      </x:c>
      <x:c r="D69" s="24" t="str">
        <x:v>Helper/Trainee</x:v>
      </x:c>
      <x:c r="E69" s="24" t="str">
        <x:v>CORE-PROB-001</x:v>
      </x:c>
      <x:c r="F69" s="25" t="str">
        <x:f>IF(E69="","",IFERROR(VLOOKUP(E69,'02 Skill Catalogue'!$A$6:$K$95,4,FALSE),"Skill ID not found"))</x:f>
        <x:v>Abnormality escalation and root-cause thinking</x:v>
      </x:c>
      <x:c r="G69" s="25" t="str">
        <x:f>IF(E69="","",IFERROR(VLOOKUP(E69,'02 Skill Catalogue'!$A$6:$K$95,3,FALSE),""))</x:f>
        <x:v>Problem Solving</x:v>
      </x:c>
      <x:c r="H69" s="24" t="str">
        <x:v>Development</x:v>
      </x:c>
      <x:c r="I69" s="28" t="n">
        <x:v>0.125</x:v>
      </x:c>
      <x:c r="J69" s="24" t="n">
        <x:v>1</x:v>
      </x:c>
      <x:c r="K69" s="24" t="str">
        <x:v>No</x:v>
      </x:c>
      <x:c r="L69" s="24" t="n">
        <x:v>12</x:v>
      </x:c>
      <x:c r="M69" s="24" t="str">
        <x:v>Yes</x:v>
      </x:c>
      <x:c r="N69" s="24" t="str">
        <x:v>Production HOD</x:v>
      </x:c>
      <x:c r="O69" s="26" t="n">
        <x:v>46264</x:v>
      </x:c>
      <x:c r="P69" s="27" t="str">
        <x:v>Validate against current SBTG SOP/WI, machine, product and authority limits.</x:v>
      </x:c>
      <x:c r="Q69" s="29" t="n">
        <x:f>IF(OR(B69="",C69=""),"",SUMIFS($I$6:$I$285,$B$6:$B$285,B69,$C$6:$C$285,C69,$M$6:$M$285,"Yes"))</x:f>
        <x:v>1</x:v>
      </x:c>
      <x:c r="R69" s="25" t="str">
        <x:f>IF(A69="","",IF(ABS(Q69-1)&lt;0.0001,"Ready","Review Weight"))</x:f>
        <x:v>Ready</x:v>
      </x:c>
    </x:row>
    <x:row r="70">
      <x:c r="A70" s="25" t="str">
        <x:f>IF(OR(B70="",C70="",E70=""),"",B70&amp;"|"&amp;C70&amp;"|"&amp;E70)</x:f>
        <x:v>Engineering|Engineering HOD / Manager|CORE-SAF-001</x:v>
      </x:c>
      <x:c r="B70" s="24" t="str">
        <x:v>Engineering</x:v>
      </x:c>
      <x:c r="C70" s="24" t="str">
        <x:v>Engineering HOD / Manager</x:v>
      </x:c>
      <x:c r="D70" s="24" t="str">
        <x:v>Leader</x:v>
      </x:c>
      <x:c r="E70" s="24" t="str">
        <x:v>CORE-SAF-001</x:v>
      </x:c>
      <x:c r="F70" s="25" t="str">
        <x:f>IF(E70="","",IFERROR(VLOOKUP(E70,'02 Skill Catalogue'!$A$6:$K$95,4,FALSE),"Skill ID not found"))</x:f>
        <x:v>Safe work, PPE and hazard control</x:v>
      </x:c>
      <x:c r="G70" s="25" t="str">
        <x:f>IF(E70="","",IFERROR(VLOOKUP(E70,'02 Skill Catalogue'!$A$6:$K$95,3,FALSE),""))</x:f>
        <x:v>Safety</x:v>
      </x:c>
      <x:c r="H70" s="24" t="str">
        <x:v>Critical</x:v>
      </x:c>
      <x:c r="I70" s="28" t="n">
        <x:v>0.125</x:v>
      </x:c>
      <x:c r="J70" s="24" t="n">
        <x:v>4</x:v>
      </x:c>
      <x:c r="K70" s="24" t="str">
        <x:v>No</x:v>
      </x:c>
      <x:c r="L70" s="24" t="n">
        <x:v>12</x:v>
      </x:c>
      <x:c r="M70" s="24" t="str">
        <x:v>Yes</x:v>
      </x:c>
      <x:c r="N70" s="24" t="str">
        <x:v>Engineering HOD</x:v>
      </x:c>
      <x:c r="O70" s="26" t="n">
        <x:v>46264</x:v>
      </x:c>
      <x:c r="P70" s="27" t="str">
        <x:v>Validate against current SBTG SOP/WI, machine, product and authority limits.</x:v>
      </x:c>
      <x:c r="Q70" s="29" t="n">
        <x:f>IF(OR(B70="",C70=""),"",SUMIFS($I$6:$I$285,$B$6:$B$285,B70,$C$6:$C$285,C70,$M$6:$M$285,"Yes"))</x:f>
        <x:v>1</x:v>
      </x:c>
      <x:c r="R70" s="25" t="str">
        <x:f>IF(A70="","",IF(ABS(Q70-1)&lt;0.0001,"Ready","Review Weight"))</x:f>
        <x:v>Ready</x:v>
      </x:c>
    </x:row>
    <x:row r="71">
      <x:c r="A71" s="25" t="str">
        <x:f>IF(OR(B71="",C71="",E71=""),"",B71&amp;"|"&amp;C71&amp;"|"&amp;E71)</x:f>
        <x:v>Engineering|Engineering HOD / Manager|CORE-DATA-001</x:v>
      </x:c>
      <x:c r="B71" s="24" t="str">
        <x:v>Engineering</x:v>
      </x:c>
      <x:c r="C71" s="24" t="str">
        <x:v>Engineering HOD / Manager</x:v>
      </x:c>
      <x:c r="D71" s="24" t="str">
        <x:v>Leader</x:v>
      </x:c>
      <x:c r="E71" s="24" t="str">
        <x:v>CORE-DATA-001</x:v>
      </x:c>
      <x:c r="F71" s="25" t="str">
        <x:f>IF(E71="","",IFERROR(VLOOKUP(E71,'02 Skill Catalogue'!$A$6:$K$95,4,FALSE),"Skill ID not found"))</x:f>
        <x:v>Accurate operational data recording</x:v>
      </x:c>
      <x:c r="G71" s="25" t="str">
        <x:f>IF(E71="","",IFERROR(VLOOKUP(E71,'02 Skill Catalogue'!$A$6:$K$95,3,FALSE),""))</x:f>
        <x:v>Digital/Data/AI</x:v>
      </x:c>
      <x:c r="H71" s="24" t="str">
        <x:v>Essential</x:v>
      </x:c>
      <x:c r="I71" s="28" t="n">
        <x:v>0.125</x:v>
      </x:c>
      <x:c r="J71" s="24" t="n">
        <x:v>4</x:v>
      </x:c>
      <x:c r="K71" s="24" t="str">
        <x:v>No</x:v>
      </x:c>
      <x:c r="L71" s="24" t="n">
        <x:v>12</x:v>
      </x:c>
      <x:c r="M71" s="24" t="str">
        <x:v>Yes</x:v>
      </x:c>
      <x:c r="N71" s="24" t="str">
        <x:v>Engineering HOD</x:v>
      </x:c>
      <x:c r="O71" s="26" t="n">
        <x:v>46264</x:v>
      </x:c>
      <x:c r="P71" s="27" t="str">
        <x:v>Validate against current SBTG SOP/WI, machine, product and authority limits.</x:v>
      </x:c>
      <x:c r="Q71" s="29" t="n">
        <x:f>IF(OR(B71="",C71=""),"",SUMIFS($I$6:$I$285,$B$6:$B$285,B71,$C$6:$C$285,C71,$M$6:$M$285,"Yes"))</x:f>
        <x:v>1</x:v>
      </x:c>
      <x:c r="R71" s="25" t="str">
        <x:f>IF(A71="","",IF(ABS(Q71-1)&lt;0.0001,"Ready","Review Weight"))</x:f>
        <x:v>Ready</x:v>
      </x:c>
    </x:row>
    <x:row r="72">
      <x:c r="A72" s="25" t="str">
        <x:f>IF(OR(B72="",C72="",E72=""),"",B72&amp;"|"&amp;C72&amp;"|"&amp;E72)</x:f>
        <x:v>Engineering|Engineering HOD / Manager|CORE-PROB-001</x:v>
      </x:c>
      <x:c r="B72" s="24" t="str">
        <x:v>Engineering</x:v>
      </x:c>
      <x:c r="C72" s="24" t="str">
        <x:v>Engineering HOD / Manager</x:v>
      </x:c>
      <x:c r="D72" s="24" t="str">
        <x:v>Leader</x:v>
      </x:c>
      <x:c r="E72" s="24" t="str">
        <x:v>CORE-PROB-001</x:v>
      </x:c>
      <x:c r="F72" s="25" t="str">
        <x:f>IF(E72="","",IFERROR(VLOOKUP(E72,'02 Skill Catalogue'!$A$6:$K$95,4,FALSE),"Skill ID not found"))</x:f>
        <x:v>Abnormality escalation and root-cause thinking</x:v>
      </x:c>
      <x:c r="G72" s="25" t="str">
        <x:f>IF(E72="","",IFERROR(VLOOKUP(E72,'02 Skill Catalogue'!$A$6:$K$95,3,FALSE),""))</x:f>
        <x:v>Problem Solving</x:v>
      </x:c>
      <x:c r="H72" s="24" t="str">
        <x:v>Essential</x:v>
      </x:c>
      <x:c r="I72" s="28" t="n">
        <x:v>0.125</x:v>
      </x:c>
      <x:c r="J72" s="24" t="n">
        <x:v>4</x:v>
      </x:c>
      <x:c r="K72" s="24" t="str">
        <x:v>No</x:v>
      </x:c>
      <x:c r="L72" s="24" t="n">
        <x:v>12</x:v>
      </x:c>
      <x:c r="M72" s="24" t="str">
        <x:v>Yes</x:v>
      </x:c>
      <x:c r="N72" s="24" t="str">
        <x:v>Engineering HOD</x:v>
      </x:c>
      <x:c r="O72" s="26" t="n">
        <x:v>46264</x:v>
      </x:c>
      <x:c r="P72" s="27" t="str">
        <x:v>Validate against current SBTG SOP/WI, machine, product and authority limits.</x:v>
      </x:c>
      <x:c r="Q72" s="29" t="n">
        <x:f>IF(OR(B72="",C72=""),"",SUMIFS($I$6:$I$285,$B$6:$B$285,B72,$C$6:$C$285,C72,$M$6:$M$285,"Yes"))</x:f>
        <x:v>1</x:v>
      </x:c>
      <x:c r="R72" s="25" t="str">
        <x:f>IF(A72="","",IF(ABS(Q72-1)&lt;0.0001,"Ready","Review Weight"))</x:f>
        <x:v>Ready</x:v>
      </x:c>
    </x:row>
    <x:row r="73">
      <x:c r="A73" s="25" t="str">
        <x:f>IF(OR(B73="",C73="",E73=""),"",B73&amp;"|"&amp;C73&amp;"|"&amp;E73)</x:f>
        <x:v>Engineering|Engineering HOD / Manager|ENG-RCM-005</x:v>
      </x:c>
      <x:c r="B73" s="24" t="str">
        <x:v>Engineering</x:v>
      </x:c>
      <x:c r="C73" s="24" t="str">
        <x:v>Engineering HOD / Manager</x:v>
      </x:c>
      <x:c r="D73" s="24" t="str">
        <x:v>Leader</x:v>
      </x:c>
      <x:c r="E73" s="24" t="str">
        <x:v>ENG-RCM-005</x:v>
      </x:c>
      <x:c r="F73" s="25" t="str">
        <x:f>IF(E73="","",IFERROR(VLOOKUP(E73,'02 Skill Catalogue'!$A$6:$K$95,4,FALSE),"Skill ID not found"))</x:f>
        <x:v>Reliability and breakdown root-cause elimination</x:v>
      </x:c>
      <x:c r="G73" s="25" t="str">
        <x:f>IF(E73="","",IFERROR(VLOOKUP(E73,'02 Skill Catalogue'!$A$6:$K$95,3,FALSE),""))</x:f>
        <x:v>Problem Solving</x:v>
      </x:c>
      <x:c r="H73" s="24" t="str">
        <x:v>Critical</x:v>
      </x:c>
      <x:c r="I73" s="28" t="n">
        <x:v>0.125</x:v>
      </x:c>
      <x:c r="J73" s="24" t="n">
        <x:v>4</x:v>
      </x:c>
      <x:c r="K73" s="24" t="str">
        <x:v>No</x:v>
      </x:c>
      <x:c r="L73" s="24" t="n">
        <x:v>12</x:v>
      </x:c>
      <x:c r="M73" s="24" t="str">
        <x:v>Yes</x:v>
      </x:c>
      <x:c r="N73" s="24" t="str">
        <x:v>Engineering HOD</x:v>
      </x:c>
      <x:c r="O73" s="26" t="n">
        <x:v>46264</x:v>
      </x:c>
      <x:c r="P73" s="27" t="str">
        <x:v>Validate against current SBTG SOP/WI, machine, product and authority limits.</x:v>
      </x:c>
      <x:c r="Q73" s="29" t="n">
        <x:f>IF(OR(B73="",C73=""),"",SUMIFS($I$6:$I$285,$B$6:$B$285,B73,$C$6:$C$285,C73,$M$6:$M$285,"Yes"))</x:f>
        <x:v>1</x:v>
      </x:c>
      <x:c r="R73" s="25" t="str">
        <x:f>IF(A73="","",IF(ABS(Q73-1)&lt;0.0001,"Ready","Review Weight"))</x:f>
        <x:v>Ready</x:v>
      </x:c>
    </x:row>
    <x:row r="74">
      <x:c r="A74" s="25" t="str">
        <x:f>IF(OR(B74="",C74="",E74=""),"",B74&amp;"|"&amp;C74&amp;"|"&amp;E74)</x:f>
        <x:v>Engineering|Engineering HOD / Manager|ENG-PM-004</x:v>
      </x:c>
      <x:c r="B74" s="24" t="str">
        <x:v>Engineering</x:v>
      </x:c>
      <x:c r="C74" s="24" t="str">
        <x:v>Engineering HOD / Manager</x:v>
      </x:c>
      <x:c r="D74" s="24" t="str">
        <x:v>Leader</x:v>
      </x:c>
      <x:c r="E74" s="24" t="str">
        <x:v>ENG-PM-004</x:v>
      </x:c>
      <x:c r="F74" s="25" t="str">
        <x:f>IF(E74="","",IFERROR(VLOOKUP(E74,'02 Skill Catalogue'!$A$6:$K$95,4,FALSE),"Skill ID not found"))</x:f>
        <x:v>Planned maintenance execution</x:v>
      </x:c>
      <x:c r="G74" s="25" t="str">
        <x:f>IF(E74="","",IFERROR(VLOOKUP(E74,'02 Skill Catalogue'!$A$6:$K$95,3,FALSE),""))</x:f>
        <x:v>Machine/Equipment</x:v>
      </x:c>
      <x:c r="H74" s="24" t="str">
        <x:v>Critical</x:v>
      </x:c>
      <x:c r="I74" s="28" t="n">
        <x:v>0.125</x:v>
      </x:c>
      <x:c r="J74" s="24" t="n">
        <x:v>4</x:v>
      </x:c>
      <x:c r="K74" s="24" t="str">
        <x:v>No</x:v>
      </x:c>
      <x:c r="L74" s="24" t="n">
        <x:v>12</x:v>
      </x:c>
      <x:c r="M74" s="24" t="str">
        <x:v>Yes</x:v>
      </x:c>
      <x:c r="N74" s="24" t="str">
        <x:v>Engineering HOD</x:v>
      </x:c>
      <x:c r="O74" s="26" t="n">
        <x:v>46264</x:v>
      </x:c>
      <x:c r="P74" s="27" t="str">
        <x:v>Validate against current SBTG SOP/WI, machine, product and authority limits.</x:v>
      </x:c>
      <x:c r="Q74" s="29" t="n">
        <x:f>IF(OR(B74="",C74=""),"",SUMIFS($I$6:$I$285,$B$6:$B$285,B74,$C$6:$C$285,C74,$M$6:$M$285,"Yes"))</x:f>
        <x:v>1</x:v>
      </x:c>
      <x:c r="R74" s="25" t="str">
        <x:f>IF(A74="","",IF(ABS(Q74-1)&lt;0.0001,"Ready","Review Weight"))</x:f>
        <x:v>Ready</x:v>
      </x:c>
    </x:row>
    <x:row r="75">
      <x:c r="A75" s="25" t="str">
        <x:f>IF(OR(B75="",C75="",E75=""),"",B75&amp;"|"&amp;C75&amp;"|"&amp;E75)</x:f>
        <x:v>Engineering|Engineering HOD / Manager|ENG-OT-010</x:v>
      </x:c>
      <x:c r="B75" s="24" t="str">
        <x:v>Engineering</x:v>
      </x:c>
      <x:c r="C75" s="24" t="str">
        <x:v>Engineering HOD / Manager</x:v>
      </x:c>
      <x:c r="D75" s="24" t="str">
        <x:v>Leader</x:v>
      </x:c>
      <x:c r="E75" s="24" t="str">
        <x:v>ENG-OT-010</x:v>
      </x:c>
      <x:c r="F75" s="25" t="str">
        <x:f>IF(E75="","",IFERROR(VLOOKUP(E75,'02 Skill Catalogue'!$A$6:$K$95,4,FALSE),"Skill ID not found"))</x:f>
        <x:v>Operational-technology cybersecurity</x:v>
      </x:c>
      <x:c r="G75" s="25" t="str">
        <x:f>IF(E75="","",IFERROR(VLOOKUP(E75,'02 Skill Catalogue'!$A$6:$K$95,3,FALSE),""))</x:f>
        <x:v>Digital/Data/AI</x:v>
      </x:c>
      <x:c r="H75" s="24" t="str">
        <x:v>Critical</x:v>
      </x:c>
      <x:c r="I75" s="28" t="n">
        <x:v>0.125</x:v>
      </x:c>
      <x:c r="J75" s="24" t="n">
        <x:v>3</x:v>
      </x:c>
      <x:c r="K75" s="24" t="str">
        <x:v>No</x:v>
      </x:c>
      <x:c r="L75" s="24" t="n">
        <x:v>12</x:v>
      </x:c>
      <x:c r="M75" s="24" t="str">
        <x:v>Yes</x:v>
      </x:c>
      <x:c r="N75" s="24" t="str">
        <x:v>Engineering HOD</x:v>
      </x:c>
      <x:c r="O75" s="26" t="n">
        <x:v>46264</x:v>
      </x:c>
      <x:c r="P75" s="27" t="str">
        <x:v>Validate against current SBTG SOP/WI, machine, product and authority limits.</x:v>
      </x:c>
      <x:c r="Q75" s="29" t="n">
        <x:f>IF(OR(B75="",C75=""),"",SUMIFS($I$6:$I$285,$B$6:$B$285,B75,$C$6:$C$285,C75,$M$6:$M$285,"Yes"))</x:f>
        <x:v>1</x:v>
      </x:c>
      <x:c r="R75" s="25" t="str">
        <x:f>IF(A75="","",IF(ABS(Q75-1)&lt;0.0001,"Ready","Review Weight"))</x:f>
        <x:v>Ready</x:v>
      </x:c>
    </x:row>
    <x:row r="76">
      <x:c r="A76" s="25" t="str">
        <x:f>IF(OR(B76="",C76="",E76=""),"",B76&amp;"|"&amp;C76&amp;"|"&amp;E76)</x:f>
        <x:v>Engineering|Engineering HOD / Manager|LEAD-SYS-001</x:v>
      </x:c>
      <x:c r="B76" s="24" t="str">
        <x:v>Engineering</x:v>
      </x:c>
      <x:c r="C76" s="24" t="str">
        <x:v>Engineering HOD / Manager</x:v>
      </x:c>
      <x:c r="D76" s="24" t="str">
        <x:v>Leader</x:v>
      </x:c>
      <x:c r="E76" s="24" t="str">
        <x:v>LEAD-SYS-001</x:v>
      </x:c>
      <x:c r="F76" s="25" t="str">
        <x:f>IF(E76="","",IFERROR(VLOOKUP(E76,'02 Skill Catalogue'!$A$6:$K$95,4,FALSE),"Skill ID not found"))</x:f>
        <x:v>Process standardisation and system building</x:v>
      </x:c>
      <x:c r="G76" s="25" t="str">
        <x:f>IF(E76="","",IFERROR(VLOOKUP(E76,'02 Skill Catalogue'!$A$6:$K$95,3,FALSE),""))</x:f>
        <x:v>Leadership</x:v>
      </x:c>
      <x:c r="H76" s="24" t="str">
        <x:v>Essential</x:v>
      </x:c>
      <x:c r="I76" s="28" t="n">
        <x:v>0.125</x:v>
      </x:c>
      <x:c r="J76" s="24" t="n">
        <x:v>4</x:v>
      </x:c>
      <x:c r="K76" s="24" t="str">
        <x:v>No</x:v>
      </x:c>
      <x:c r="L76" s="24" t="n">
        <x:v>12</x:v>
      </x:c>
      <x:c r="M76" s="24" t="str">
        <x:v>Yes</x:v>
      </x:c>
      <x:c r="N76" s="24" t="str">
        <x:v>Engineering HOD</x:v>
      </x:c>
      <x:c r="O76" s="26" t="n">
        <x:v>46264</x:v>
      </x:c>
      <x:c r="P76" s="27" t="str">
        <x:v>Validate against current SBTG SOP/WI, machine, product and authority limits.</x:v>
      </x:c>
      <x:c r="Q76" s="29" t="n">
        <x:f>IF(OR(B76="",C76=""),"",SUMIFS($I$6:$I$285,$B$6:$B$285,B76,$C$6:$C$285,C76,$M$6:$M$285,"Yes"))</x:f>
        <x:v>1</x:v>
      </x:c>
      <x:c r="R76" s="25" t="str">
        <x:f>IF(A76="","",IF(ABS(Q76-1)&lt;0.0001,"Ready","Review Weight"))</x:f>
        <x:v>Ready</x:v>
      </x:c>
    </x:row>
    <x:row r="77">
      <x:c r="A77" s="25" t="str">
        <x:f>IF(OR(B77="",C77="",E77=""),"",B77&amp;"|"&amp;C77&amp;"|"&amp;E77)</x:f>
        <x:v>Engineering|Engineering HOD / Manager|LEAD-VALUE-003</x:v>
      </x:c>
      <x:c r="B77" s="24" t="str">
        <x:v>Engineering</x:v>
      </x:c>
      <x:c r="C77" s="24" t="str">
        <x:v>Engineering HOD / Manager</x:v>
      </x:c>
      <x:c r="D77" s="24" t="str">
        <x:v>Leader</x:v>
      </x:c>
      <x:c r="E77" s="24" t="str">
        <x:v>LEAD-VALUE-003</x:v>
      </x:c>
      <x:c r="F77" s="25" t="str">
        <x:f>IF(E77="","",IFERROR(VLOOKUP(E77,'02 Skill Catalogue'!$A$6:$K$95,4,FALSE),"Skill ID not found"))</x:f>
        <x:v>KPI ownership and value creation</x:v>
      </x:c>
      <x:c r="G77" s="25" t="str">
        <x:f>IF(E77="","",IFERROR(VLOOKUP(E77,'02 Skill Catalogue'!$A$6:$K$95,3,FALSE),""))</x:f>
        <x:v>Leadership</x:v>
      </x:c>
      <x:c r="H77" s="24" t="str">
        <x:v>Essential</x:v>
      </x:c>
      <x:c r="I77" s="28" t="n">
        <x:v>0.125</x:v>
      </x:c>
      <x:c r="J77" s="24" t="n">
        <x:v>4</x:v>
      </x:c>
      <x:c r="K77" s="24" t="str">
        <x:v>No</x:v>
      </x:c>
      <x:c r="L77" s="24" t="n">
        <x:v>12</x:v>
      </x:c>
      <x:c r="M77" s="24" t="str">
        <x:v>Yes</x:v>
      </x:c>
      <x:c r="N77" s="24" t="str">
        <x:v>Engineering HOD</x:v>
      </x:c>
      <x:c r="O77" s="26" t="n">
        <x:v>46264</x:v>
      </x:c>
      <x:c r="P77" s="27" t="str">
        <x:v>Validate against current SBTG SOP/WI, machine, product and authority limits.</x:v>
      </x:c>
      <x:c r="Q77" s="29" t="n">
        <x:f>IF(OR(B77="",C77=""),"",SUMIFS($I$6:$I$285,$B$6:$B$285,B77,$C$6:$C$285,C77,$M$6:$M$285,"Yes"))</x:f>
        <x:v>1</x:v>
      </x:c>
      <x:c r="R77" s="25" t="str">
        <x:f>IF(A77="","",IF(ABS(Q77-1)&lt;0.0001,"Ready","Review Weight"))</x:f>
        <x:v>Ready</x:v>
      </x:c>
    </x:row>
    <x:row r="78">
      <x:c r="A78" s="25" t="str">
        <x:f>IF(OR(B78="",C78="",E78=""),"",B78&amp;"|"&amp;C78&amp;"|"&amp;E78)</x:f>
        <x:v>Engineering|Maintenance Leader|CORE-SAF-001</x:v>
      </x:c>
      <x:c r="B78" s="24" t="str">
        <x:v>Engineering</x:v>
      </x:c>
      <x:c r="C78" s="24" t="str">
        <x:v>Maintenance Leader</x:v>
      </x:c>
      <x:c r="D78" s="24" t="str">
        <x:v>Leader</x:v>
      </x:c>
      <x:c r="E78" s="24" t="str">
        <x:v>CORE-SAF-001</x:v>
      </x:c>
      <x:c r="F78" s="25" t="str">
        <x:f>IF(E78="","",IFERROR(VLOOKUP(E78,'02 Skill Catalogue'!$A$6:$K$95,4,FALSE),"Skill ID not found"))</x:f>
        <x:v>Safe work, PPE and hazard control</x:v>
      </x:c>
      <x:c r="G78" s="25" t="str">
        <x:f>IF(E78="","",IFERROR(VLOOKUP(E78,'02 Skill Catalogue'!$A$6:$K$95,3,FALSE),""))</x:f>
        <x:v>Safety</x:v>
      </x:c>
      <x:c r="H78" s="24" t="str">
        <x:v>Critical</x:v>
      </x:c>
      <x:c r="I78" s="28" t="n">
        <x:v>0.125</x:v>
      </x:c>
      <x:c r="J78" s="24" t="n">
        <x:v>4</x:v>
      </x:c>
      <x:c r="K78" s="24" t="str">
        <x:v>No</x:v>
      </x:c>
      <x:c r="L78" s="24" t="n">
        <x:v>12</x:v>
      </x:c>
      <x:c r="M78" s="24" t="str">
        <x:v>Yes</x:v>
      </x:c>
      <x:c r="N78" s="24" t="str">
        <x:v>Engineering HOD</x:v>
      </x:c>
      <x:c r="O78" s="26" t="n">
        <x:v>46264</x:v>
      </x:c>
      <x:c r="P78" s="27" t="str">
        <x:v>Validate against current SBTG SOP/WI, machine, product and authority limits.</x:v>
      </x:c>
      <x:c r="Q78" s="29" t="n">
        <x:f>IF(OR(B78="",C78=""),"",SUMIFS($I$6:$I$285,$B$6:$B$285,B78,$C$6:$C$285,C78,$M$6:$M$285,"Yes"))</x:f>
        <x:v>1</x:v>
      </x:c>
      <x:c r="R78" s="25" t="str">
        <x:f>IF(A78="","",IF(ABS(Q78-1)&lt;0.0001,"Ready","Review Weight"))</x:f>
        <x:v>Ready</x:v>
      </x:c>
    </x:row>
    <x:row r="79">
      <x:c r="A79" s="25" t="str">
        <x:f>IF(OR(B79="",C79="",E79=""),"",B79&amp;"|"&amp;C79&amp;"|"&amp;E79)</x:f>
        <x:v>Engineering|Maintenance Leader|CORE-DATA-001</x:v>
      </x:c>
      <x:c r="B79" s="24" t="str">
        <x:v>Engineering</x:v>
      </x:c>
      <x:c r="C79" s="24" t="str">
        <x:v>Maintenance Leader</x:v>
      </x:c>
      <x:c r="D79" s="24" t="str">
        <x:v>Leader</x:v>
      </x:c>
      <x:c r="E79" s="24" t="str">
        <x:v>CORE-DATA-001</x:v>
      </x:c>
      <x:c r="F79" s="25" t="str">
        <x:f>IF(E79="","",IFERROR(VLOOKUP(E79,'02 Skill Catalogue'!$A$6:$K$95,4,FALSE),"Skill ID not found"))</x:f>
        <x:v>Accurate operational data recording</x:v>
      </x:c>
      <x:c r="G79" s="25" t="str">
        <x:f>IF(E79="","",IFERROR(VLOOKUP(E79,'02 Skill Catalogue'!$A$6:$K$95,3,FALSE),""))</x:f>
        <x:v>Digital/Data/AI</x:v>
      </x:c>
      <x:c r="H79" s="24" t="str">
        <x:v>Essential</x:v>
      </x:c>
      <x:c r="I79" s="28" t="n">
        <x:v>0.125</x:v>
      </x:c>
      <x:c r="J79" s="24" t="n">
        <x:v>3</x:v>
      </x:c>
      <x:c r="K79" s="24" t="str">
        <x:v>No</x:v>
      </x:c>
      <x:c r="L79" s="24" t="n">
        <x:v>12</x:v>
      </x:c>
      <x:c r="M79" s="24" t="str">
        <x:v>Yes</x:v>
      </x:c>
      <x:c r="N79" s="24" t="str">
        <x:v>Engineering HOD</x:v>
      </x:c>
      <x:c r="O79" s="26" t="n">
        <x:v>46264</x:v>
      </x:c>
      <x:c r="P79" s="27" t="str">
        <x:v>Validate against current SBTG SOP/WI, machine, product and authority limits.</x:v>
      </x:c>
      <x:c r="Q79" s="29" t="n">
        <x:f>IF(OR(B79="",C79=""),"",SUMIFS($I$6:$I$285,$B$6:$B$285,B79,$C$6:$C$285,C79,$M$6:$M$285,"Yes"))</x:f>
        <x:v>1</x:v>
      </x:c>
      <x:c r="R79" s="25" t="str">
        <x:f>IF(A79="","",IF(ABS(Q79-1)&lt;0.0001,"Ready","Review Weight"))</x:f>
        <x:v>Ready</x:v>
      </x:c>
    </x:row>
    <x:row r="80">
      <x:c r="A80" s="25" t="str">
        <x:f>IF(OR(B80="",C80="",E80=""),"",B80&amp;"|"&amp;C80&amp;"|"&amp;E80)</x:f>
        <x:v>Engineering|Maintenance Leader|CORE-PROB-001</x:v>
      </x:c>
      <x:c r="B80" s="24" t="str">
        <x:v>Engineering</x:v>
      </x:c>
      <x:c r="C80" s="24" t="str">
        <x:v>Maintenance Leader</x:v>
      </x:c>
      <x:c r="D80" s="24" t="str">
        <x:v>Leader</x:v>
      </x:c>
      <x:c r="E80" s="24" t="str">
        <x:v>CORE-PROB-001</x:v>
      </x:c>
      <x:c r="F80" s="25" t="str">
        <x:f>IF(E80="","",IFERROR(VLOOKUP(E80,'02 Skill Catalogue'!$A$6:$K$95,4,FALSE),"Skill ID not found"))</x:f>
        <x:v>Abnormality escalation and root-cause thinking</x:v>
      </x:c>
      <x:c r="G80" s="25" t="str">
        <x:f>IF(E80="","",IFERROR(VLOOKUP(E80,'02 Skill Catalogue'!$A$6:$K$95,3,FALSE),""))</x:f>
        <x:v>Problem Solving</x:v>
      </x:c>
      <x:c r="H80" s="24" t="str">
        <x:v>Essential</x:v>
      </x:c>
      <x:c r="I80" s="28" t="n">
        <x:v>0.125</x:v>
      </x:c>
      <x:c r="J80" s="24" t="n">
        <x:v>4</x:v>
      </x:c>
      <x:c r="K80" s="24" t="str">
        <x:v>No</x:v>
      </x:c>
      <x:c r="L80" s="24" t="n">
        <x:v>12</x:v>
      </x:c>
      <x:c r="M80" s="24" t="str">
        <x:v>Yes</x:v>
      </x:c>
      <x:c r="N80" s="24" t="str">
        <x:v>Engineering HOD</x:v>
      </x:c>
      <x:c r="O80" s="26" t="n">
        <x:v>46264</x:v>
      </x:c>
      <x:c r="P80" s="27" t="str">
        <x:v>Validate against current SBTG SOP/WI, machine, product and authority limits.</x:v>
      </x:c>
      <x:c r="Q80" s="29" t="n">
        <x:f>IF(OR(B80="",C80=""),"",SUMIFS($I$6:$I$285,$B$6:$B$285,B80,$C$6:$C$285,C80,$M$6:$M$285,"Yes"))</x:f>
        <x:v>1</x:v>
      </x:c>
      <x:c r="R80" s="25" t="str">
        <x:f>IF(A80="","",IF(ABS(Q80-1)&lt;0.0001,"Ready","Review Weight"))</x:f>
        <x:v>Ready</x:v>
      </x:c>
    </x:row>
    <x:row r="81">
      <x:c r="A81" s="25" t="str">
        <x:f>IF(OR(B81="",C81="",E81=""),"",B81&amp;"|"&amp;C81&amp;"|"&amp;E81)</x:f>
        <x:v>Engineering|Maintenance Leader|ENG-MECH-001</x:v>
      </x:c>
      <x:c r="B81" s="24" t="str">
        <x:v>Engineering</x:v>
      </x:c>
      <x:c r="C81" s="24" t="str">
        <x:v>Maintenance Leader</x:v>
      </x:c>
      <x:c r="D81" s="24" t="str">
        <x:v>Leader</x:v>
      </x:c>
      <x:c r="E81" s="24" t="str">
        <x:v>ENG-MECH-001</x:v>
      </x:c>
      <x:c r="F81" s="25" t="str">
        <x:f>IF(E81="","",IFERROR(VLOOKUP(E81,'02 Skill Catalogue'!$A$6:$K$95,4,FALSE),"Skill ID not found"))</x:f>
        <x:v>Mechanical diagnostics and repair</x:v>
      </x:c>
      <x:c r="G81" s="25" t="str">
        <x:f>IF(E81="","",IFERROR(VLOOKUP(E81,'02 Skill Catalogue'!$A$6:$K$95,3,FALSE),""))</x:f>
        <x:v>Machine/Equipment</x:v>
      </x:c>
      <x:c r="H81" s="24" t="str">
        <x:v>Critical</x:v>
      </x:c>
      <x:c r="I81" s="28" t="n">
        <x:v>0.125</x:v>
      </x:c>
      <x:c r="J81" s="24" t="n">
        <x:v>4</x:v>
      </x:c>
      <x:c r="K81" s="24" t="str">
        <x:v>No</x:v>
      </x:c>
      <x:c r="L81" s="24" t="n">
        <x:v>12</x:v>
      </x:c>
      <x:c r="M81" s="24" t="str">
        <x:v>Yes</x:v>
      </x:c>
      <x:c r="N81" s="24" t="str">
        <x:v>Engineering HOD</x:v>
      </x:c>
      <x:c r="O81" s="26" t="n">
        <x:v>46264</x:v>
      </x:c>
      <x:c r="P81" s="27" t="str">
        <x:v>Validate against current SBTG SOP/WI, machine, product and authority limits.</x:v>
      </x:c>
      <x:c r="Q81" s="29" t="n">
        <x:f>IF(OR(B81="",C81=""),"",SUMIFS($I$6:$I$285,$B$6:$B$285,B81,$C$6:$C$285,C81,$M$6:$M$285,"Yes"))</x:f>
        <x:v>1</x:v>
      </x:c>
      <x:c r="R81" s="25" t="str">
        <x:f>IF(A81="","",IF(ABS(Q81-1)&lt;0.0001,"Ready","Review Weight"))</x:f>
        <x:v>Ready</x:v>
      </x:c>
    </x:row>
    <x:row r="82">
      <x:c r="A82" s="25" t="str">
        <x:f>IF(OR(B82="",C82="",E82=""),"",B82&amp;"|"&amp;C82&amp;"|"&amp;E82)</x:f>
        <x:v>Engineering|Maintenance Leader|ENG-ELEC-002</x:v>
      </x:c>
      <x:c r="B82" s="24" t="str">
        <x:v>Engineering</x:v>
      </x:c>
      <x:c r="C82" s="24" t="str">
        <x:v>Maintenance Leader</x:v>
      </x:c>
      <x:c r="D82" s="24" t="str">
        <x:v>Leader</x:v>
      </x:c>
      <x:c r="E82" s="24" t="str">
        <x:v>ENG-ELEC-002</x:v>
      </x:c>
      <x:c r="F82" s="25" t="str">
        <x:f>IF(E82="","",IFERROR(VLOOKUP(E82,'02 Skill Catalogue'!$A$6:$K$95,4,FALSE),"Skill ID not found"))</x:f>
        <x:v>Electrical safety and diagnostics</x:v>
      </x:c>
      <x:c r="G82" s="25" t="str">
        <x:f>IF(E82="","",IFERROR(VLOOKUP(E82,'02 Skill Catalogue'!$A$6:$K$95,3,FALSE),""))</x:f>
        <x:v>Safety</x:v>
      </x:c>
      <x:c r="H82" s="24" t="str">
        <x:v>Critical</x:v>
      </x:c>
      <x:c r="I82" s="28" t="n">
        <x:v>0.125</x:v>
      </x:c>
      <x:c r="J82" s="24" t="n">
        <x:v>3</x:v>
      </x:c>
      <x:c r="K82" s="24" t="str">
        <x:v>No</x:v>
      </x:c>
      <x:c r="L82" s="24" t="n">
        <x:v>12</x:v>
      </x:c>
      <x:c r="M82" s="24" t="str">
        <x:v>Yes</x:v>
      </x:c>
      <x:c r="N82" s="24" t="str">
        <x:v>Engineering HOD</x:v>
      </x:c>
      <x:c r="O82" s="26" t="n">
        <x:v>46264</x:v>
      </x:c>
      <x:c r="P82" s="27" t="str">
        <x:v>Validate against current SBTG SOP/WI, machine, product and authority limits.</x:v>
      </x:c>
      <x:c r="Q82" s="29" t="n">
        <x:f>IF(OR(B82="",C82=""),"",SUMIFS($I$6:$I$285,$B$6:$B$285,B82,$C$6:$C$285,C82,$M$6:$M$285,"Yes"))</x:f>
        <x:v>1</x:v>
      </x:c>
      <x:c r="R82" s="25" t="str">
        <x:f>IF(A82="","",IF(ABS(Q82-1)&lt;0.0001,"Ready","Review Weight"))</x:f>
        <x:v>Ready</x:v>
      </x:c>
    </x:row>
    <x:row r="83">
      <x:c r="A83" s="25" t="str">
        <x:f>IF(OR(B83="",C83="",E83=""),"",B83&amp;"|"&amp;C83&amp;"|"&amp;E83)</x:f>
        <x:v>Engineering|Maintenance Leader|ENG-PM-004</x:v>
      </x:c>
      <x:c r="B83" s="24" t="str">
        <x:v>Engineering</x:v>
      </x:c>
      <x:c r="C83" s="24" t="str">
        <x:v>Maintenance Leader</x:v>
      </x:c>
      <x:c r="D83" s="24" t="str">
        <x:v>Leader</x:v>
      </x:c>
      <x:c r="E83" s="24" t="str">
        <x:v>ENG-PM-004</x:v>
      </x:c>
      <x:c r="F83" s="25" t="str">
        <x:f>IF(E83="","",IFERROR(VLOOKUP(E83,'02 Skill Catalogue'!$A$6:$K$95,4,FALSE),"Skill ID not found"))</x:f>
        <x:v>Planned maintenance execution</x:v>
      </x:c>
      <x:c r="G83" s="25" t="str">
        <x:f>IF(E83="","",IFERROR(VLOOKUP(E83,'02 Skill Catalogue'!$A$6:$K$95,3,FALSE),""))</x:f>
        <x:v>Machine/Equipment</x:v>
      </x:c>
      <x:c r="H83" s="24" t="str">
        <x:v>Critical</x:v>
      </x:c>
      <x:c r="I83" s="28" t="n">
        <x:v>0.125</x:v>
      </x:c>
      <x:c r="J83" s="24" t="n">
        <x:v>4</x:v>
      </x:c>
      <x:c r="K83" s="24" t="str">
        <x:v>No</x:v>
      </x:c>
      <x:c r="L83" s="24" t="n">
        <x:v>12</x:v>
      </x:c>
      <x:c r="M83" s="24" t="str">
        <x:v>Yes</x:v>
      </x:c>
      <x:c r="N83" s="24" t="str">
        <x:v>Engineering HOD</x:v>
      </x:c>
      <x:c r="O83" s="26" t="n">
        <x:v>46264</x:v>
      </x:c>
      <x:c r="P83" s="27" t="str">
        <x:v>Validate against current SBTG SOP/WI, machine, product and authority limits.</x:v>
      </x:c>
      <x:c r="Q83" s="29" t="n">
        <x:f>IF(OR(B83="",C83=""),"",SUMIFS($I$6:$I$285,$B$6:$B$285,B83,$C$6:$C$285,C83,$M$6:$M$285,"Yes"))</x:f>
        <x:v>1</x:v>
      </x:c>
      <x:c r="R83" s="25" t="str">
        <x:f>IF(A83="","",IF(ABS(Q83-1)&lt;0.0001,"Ready","Review Weight"))</x:f>
        <x:v>Ready</x:v>
      </x:c>
    </x:row>
    <x:row r="84">
      <x:c r="A84" s="25" t="str">
        <x:f>IF(OR(B84="",C84="",E84=""),"",B84&amp;"|"&amp;C84&amp;"|"&amp;E84)</x:f>
        <x:v>Engineering|Maintenance Leader|ENG-RCM-005</x:v>
      </x:c>
      <x:c r="B84" s="24" t="str">
        <x:v>Engineering</x:v>
      </x:c>
      <x:c r="C84" s="24" t="str">
        <x:v>Maintenance Leader</x:v>
      </x:c>
      <x:c r="D84" s="24" t="str">
        <x:v>Leader</x:v>
      </x:c>
      <x:c r="E84" s="24" t="str">
        <x:v>ENG-RCM-005</x:v>
      </x:c>
      <x:c r="F84" s="25" t="str">
        <x:f>IF(E84="","",IFERROR(VLOOKUP(E84,'02 Skill Catalogue'!$A$6:$K$95,4,FALSE),"Skill ID not found"))</x:f>
        <x:v>Reliability and breakdown root-cause elimination</x:v>
      </x:c>
      <x:c r="G84" s="25" t="str">
        <x:f>IF(E84="","",IFERROR(VLOOKUP(E84,'02 Skill Catalogue'!$A$6:$K$95,3,FALSE),""))</x:f>
        <x:v>Problem Solving</x:v>
      </x:c>
      <x:c r="H84" s="24" t="str">
        <x:v>Critical</x:v>
      </x:c>
      <x:c r="I84" s="28" t="n">
        <x:v>0.125</x:v>
      </x:c>
      <x:c r="J84" s="24" t="n">
        <x:v>3</x:v>
      </x:c>
      <x:c r="K84" s="24" t="str">
        <x:v>No</x:v>
      </x:c>
      <x:c r="L84" s="24" t="n">
        <x:v>12</x:v>
      </x:c>
      <x:c r="M84" s="24" t="str">
        <x:v>Yes</x:v>
      </x:c>
      <x:c r="N84" s="24" t="str">
        <x:v>Engineering HOD</x:v>
      </x:c>
      <x:c r="O84" s="26" t="n">
        <x:v>46264</x:v>
      </x:c>
      <x:c r="P84" s="27" t="str">
        <x:v>Validate against current SBTG SOP/WI, machine, product and authority limits.</x:v>
      </x:c>
      <x:c r="Q84" s="29" t="n">
        <x:f>IF(OR(B84="",C84=""),"",SUMIFS($I$6:$I$285,$B$6:$B$285,B84,$C$6:$C$285,C84,$M$6:$M$285,"Yes"))</x:f>
        <x:v>1</x:v>
      </x:c>
      <x:c r="R84" s="25" t="str">
        <x:f>IF(A84="","",IF(ABS(Q84-1)&lt;0.0001,"Ready","Review Weight"))</x:f>
        <x:v>Ready</x:v>
      </x:c>
    </x:row>
    <x:row r="85">
      <x:c r="A85" s="25" t="str">
        <x:f>IF(OR(B85="",C85="",E85=""),"",B85&amp;"|"&amp;C85&amp;"|"&amp;E85)</x:f>
        <x:v>Engineering|Maintenance Leader|LEAD-COACH-002</x:v>
      </x:c>
      <x:c r="B85" s="24" t="str">
        <x:v>Engineering</x:v>
      </x:c>
      <x:c r="C85" s="24" t="str">
        <x:v>Maintenance Leader</x:v>
      </x:c>
      <x:c r="D85" s="24" t="str">
        <x:v>Leader</x:v>
      </x:c>
      <x:c r="E85" s="24" t="str">
        <x:v>LEAD-COACH-002</x:v>
      </x:c>
      <x:c r="F85" s="25" t="str">
        <x:f>IF(E85="","",IFERROR(VLOOKUP(E85,'02 Skill Catalogue'!$A$6:$K$95,4,FALSE),"Skill ID not found"))</x:f>
        <x:v>Coaching, qualification and succession</x:v>
      </x:c>
      <x:c r="G85" s="25" t="str">
        <x:f>IF(E85="","",IFERROR(VLOOKUP(E85,'02 Skill Catalogue'!$A$6:$K$95,3,FALSE),""))</x:f>
        <x:v>Leadership</x:v>
      </x:c>
      <x:c r="H85" s="24" t="str">
        <x:v>Essential</x:v>
      </x:c>
      <x:c r="I85" s="28" t="n">
        <x:v>0.125</x:v>
      </x:c>
      <x:c r="J85" s="24" t="n">
        <x:v>3</x:v>
      </x:c>
      <x:c r="K85" s="24" t="str">
        <x:v>No</x:v>
      </x:c>
      <x:c r="L85" s="24" t="n">
        <x:v>12</x:v>
      </x:c>
      <x:c r="M85" s="24" t="str">
        <x:v>Yes</x:v>
      </x:c>
      <x:c r="N85" s="24" t="str">
        <x:v>Engineering HOD</x:v>
      </x:c>
      <x:c r="O85" s="26" t="n">
        <x:v>46264</x:v>
      </x:c>
      <x:c r="P85" s="27" t="str">
        <x:v>Validate against current SBTG SOP/WI, machine, product and authority limits.</x:v>
      </x:c>
      <x:c r="Q85" s="29" t="n">
        <x:f>IF(OR(B85="",C85=""),"",SUMIFS($I$6:$I$285,$B$6:$B$285,B85,$C$6:$C$285,C85,$M$6:$M$285,"Yes"))</x:f>
        <x:v>1</x:v>
      </x:c>
      <x:c r="R85" s="25" t="str">
        <x:f>IF(A85="","",IF(ABS(Q85-1)&lt;0.0001,"Ready","Review Weight"))</x:f>
        <x:v>Ready</x:v>
      </x:c>
    </x:row>
    <x:row r="86">
      <x:c r="A86" s="25" t="str">
        <x:f>IF(OR(B86="",C86="",E86=""),"",B86&amp;"|"&amp;C86&amp;"|"&amp;E86)</x:f>
        <x:v>Engineering|Mechanical Maintenance Technician|CORE-SAF-001</x:v>
      </x:c>
      <x:c r="B86" s="24" t="str">
        <x:v>Engineering</x:v>
      </x:c>
      <x:c r="C86" s="24" t="str">
        <x:v>Mechanical Maintenance Technician</x:v>
      </x:c>
      <x:c r="D86" s="24" t="str">
        <x:v>Operator/Technician</x:v>
      </x:c>
      <x:c r="E86" s="24" t="str">
        <x:v>CORE-SAF-001</x:v>
      </x:c>
      <x:c r="F86" s="25" t="str">
        <x:f>IF(E86="","",IFERROR(VLOOKUP(E86,'02 Skill Catalogue'!$A$6:$K$95,4,FALSE),"Skill ID not found"))</x:f>
        <x:v>Safe work, PPE and hazard control</x:v>
      </x:c>
      <x:c r="G86" s="25" t="str">
        <x:f>IF(E86="","",IFERROR(VLOOKUP(E86,'02 Skill Catalogue'!$A$6:$K$95,3,FALSE),""))</x:f>
        <x:v>Safety</x:v>
      </x:c>
      <x:c r="H86" s="24" t="str">
        <x:v>Critical</x:v>
      </x:c>
      <x:c r="I86" s="28" t="n">
        <x:v>0.125</x:v>
      </x:c>
      <x:c r="J86" s="24" t="n">
        <x:v>3</x:v>
      </x:c>
      <x:c r="K86" s="24" t="str">
        <x:v>No</x:v>
      </x:c>
      <x:c r="L86" s="24" t="n">
        <x:v>12</x:v>
      </x:c>
      <x:c r="M86" s="24" t="str">
        <x:v>Yes</x:v>
      </x:c>
      <x:c r="N86" s="24" t="str">
        <x:v>Engineering HOD</x:v>
      </x:c>
      <x:c r="O86" s="26" t="n">
        <x:v>46264</x:v>
      </x:c>
      <x:c r="P86" s="27" t="str">
        <x:v>Validate against current SBTG SOP/WI, machine, product and authority limits.</x:v>
      </x:c>
      <x:c r="Q86" s="29" t="n">
        <x:f>IF(OR(B86="",C86=""),"",SUMIFS($I$6:$I$285,$B$6:$B$285,B86,$C$6:$C$285,C86,$M$6:$M$285,"Yes"))</x:f>
        <x:v>1</x:v>
      </x:c>
      <x:c r="R86" s="25" t="str">
        <x:f>IF(A86="","",IF(ABS(Q86-1)&lt;0.0001,"Ready","Review Weight"))</x:f>
        <x:v>Ready</x:v>
      </x:c>
    </x:row>
    <x:row r="87">
      <x:c r="A87" s="25" t="str">
        <x:f>IF(OR(B87="",C87="",E87=""),"",B87&amp;"|"&amp;C87&amp;"|"&amp;E87)</x:f>
        <x:v>Engineering|Mechanical Maintenance Technician|CORE-QUAL-001</x:v>
      </x:c>
      <x:c r="B87" s="24" t="str">
        <x:v>Engineering</x:v>
      </x:c>
      <x:c r="C87" s="24" t="str">
        <x:v>Mechanical Maintenance Technician</x:v>
      </x:c>
      <x:c r="D87" s="24" t="str">
        <x:v>Operator/Technician</x:v>
      </x:c>
      <x:c r="E87" s="24" t="str">
        <x:v>CORE-QUAL-001</x:v>
      </x:c>
      <x:c r="F87" s="25" t="str">
        <x:f>IF(E87="","",IFERROR(VLOOKUP(E87,'02 Skill Catalogue'!$A$6:$K$95,4,FALSE),"Skill ID not found"))</x:f>
        <x:v>SOP and work-instruction discipline</x:v>
      </x:c>
      <x:c r="G87" s="25" t="str">
        <x:f>IF(E87="","",IFERROR(VLOOKUP(E87,'02 Skill Catalogue'!$A$6:$K$95,3,FALSE),""))</x:f>
        <x:v>Quality</x:v>
      </x:c>
      <x:c r="H87" s="24" t="str">
        <x:v>Critical</x:v>
      </x:c>
      <x:c r="I87" s="28" t="n">
        <x:v>0.125</x:v>
      </x:c>
      <x:c r="J87" s="24" t="n">
        <x:v>2</x:v>
      </x:c>
      <x:c r="K87" s="24" t="str">
        <x:v>No</x:v>
      </x:c>
      <x:c r="L87" s="24" t="n">
        <x:v>12</x:v>
      </x:c>
      <x:c r="M87" s="24" t="str">
        <x:v>Yes</x:v>
      </x:c>
      <x:c r="N87" s="24" t="str">
        <x:v>Engineering HOD</x:v>
      </x:c>
      <x:c r="O87" s="26" t="n">
        <x:v>46264</x:v>
      </x:c>
      <x:c r="P87" s="27" t="str">
        <x:v>Validate against current SBTG SOP/WI, machine, product and authority limits.</x:v>
      </x:c>
      <x:c r="Q87" s="29" t="n">
        <x:f>IF(OR(B87="",C87=""),"",SUMIFS($I$6:$I$285,$B$6:$B$285,B87,$C$6:$C$285,C87,$M$6:$M$285,"Yes"))</x:f>
        <x:v>1</x:v>
      </x:c>
      <x:c r="R87" s="25" t="str">
        <x:f>IF(A87="","",IF(ABS(Q87-1)&lt;0.0001,"Ready","Review Weight"))</x:f>
        <x:v>Ready</x:v>
      </x:c>
    </x:row>
    <x:row r="88">
      <x:c r="A88" s="25" t="str">
        <x:f>IF(OR(B88="",C88="",E88=""),"",B88&amp;"|"&amp;C88&amp;"|"&amp;E88)</x:f>
        <x:v>Engineering|Mechanical Maintenance Technician|CORE-DATA-001</x:v>
      </x:c>
      <x:c r="B88" s="24" t="str">
        <x:v>Engineering</x:v>
      </x:c>
      <x:c r="C88" s="24" t="str">
        <x:v>Mechanical Maintenance Technician</x:v>
      </x:c>
      <x:c r="D88" s="24" t="str">
        <x:v>Operator/Technician</x:v>
      </x:c>
      <x:c r="E88" s="24" t="str">
        <x:v>CORE-DATA-001</x:v>
      </x:c>
      <x:c r="F88" s="25" t="str">
        <x:f>IF(E88="","",IFERROR(VLOOKUP(E88,'02 Skill Catalogue'!$A$6:$K$95,4,FALSE),"Skill ID not found"))</x:f>
        <x:v>Accurate operational data recording</x:v>
      </x:c>
      <x:c r="G88" s="25" t="str">
        <x:f>IF(E88="","",IFERROR(VLOOKUP(E88,'02 Skill Catalogue'!$A$6:$K$95,3,FALSE),""))</x:f>
        <x:v>Digital/Data/AI</x:v>
      </x:c>
      <x:c r="H88" s="24" t="str">
        <x:v>Essential</x:v>
      </x:c>
      <x:c r="I88" s="28" t="n">
        <x:v>0.125</x:v>
      </x:c>
      <x:c r="J88" s="24" t="n">
        <x:v>3</x:v>
      </x:c>
      <x:c r="K88" s="24" t="str">
        <x:v>No</x:v>
      </x:c>
      <x:c r="L88" s="24" t="n">
        <x:v>12</x:v>
      </x:c>
      <x:c r="M88" s="24" t="str">
        <x:v>Yes</x:v>
      </x:c>
      <x:c r="N88" s="24" t="str">
        <x:v>Engineering HOD</x:v>
      </x:c>
      <x:c r="O88" s="26" t="n">
        <x:v>46264</x:v>
      </x:c>
      <x:c r="P88" s="27" t="str">
        <x:v>Validate against current SBTG SOP/WI, machine, product and authority limits.</x:v>
      </x:c>
      <x:c r="Q88" s="29" t="n">
        <x:f>IF(OR(B88="",C88=""),"",SUMIFS($I$6:$I$285,$B$6:$B$285,B88,$C$6:$C$285,C88,$M$6:$M$285,"Yes"))</x:f>
        <x:v>1</x:v>
      </x:c>
      <x:c r="R88" s="25" t="str">
        <x:f>IF(A88="","",IF(ABS(Q88-1)&lt;0.0001,"Ready","Review Weight"))</x:f>
        <x:v>Ready</x:v>
      </x:c>
    </x:row>
    <x:row r="89">
      <x:c r="A89" s="25" t="str">
        <x:f>IF(OR(B89="",C89="",E89=""),"",B89&amp;"|"&amp;C89&amp;"|"&amp;E89)</x:f>
        <x:v>Engineering|Mechanical Maintenance Technician|ENG-MECH-001</x:v>
      </x:c>
      <x:c r="B89" s="24" t="str">
        <x:v>Engineering</x:v>
      </x:c>
      <x:c r="C89" s="24" t="str">
        <x:v>Mechanical Maintenance Technician</x:v>
      </x:c>
      <x:c r="D89" s="24" t="str">
        <x:v>Operator/Technician</x:v>
      </x:c>
      <x:c r="E89" s="24" t="str">
        <x:v>ENG-MECH-001</x:v>
      </x:c>
      <x:c r="F89" s="25" t="str">
        <x:f>IF(E89="","",IFERROR(VLOOKUP(E89,'02 Skill Catalogue'!$A$6:$K$95,4,FALSE),"Skill ID not found"))</x:f>
        <x:v>Mechanical diagnostics and repair</x:v>
      </x:c>
      <x:c r="G89" s="25" t="str">
        <x:f>IF(E89="","",IFERROR(VLOOKUP(E89,'02 Skill Catalogue'!$A$6:$K$95,3,FALSE),""))</x:f>
        <x:v>Machine/Equipment</x:v>
      </x:c>
      <x:c r="H89" s="24" t="str">
        <x:v>Critical</x:v>
      </x:c>
      <x:c r="I89" s="28" t="n">
        <x:v>0.125</x:v>
      </x:c>
      <x:c r="J89" s="24" t="n">
        <x:v>3</x:v>
      </x:c>
      <x:c r="K89" s="24" t="str">
        <x:v>No</x:v>
      </x:c>
      <x:c r="L89" s="24" t="n">
        <x:v>12</x:v>
      </x:c>
      <x:c r="M89" s="24" t="str">
        <x:v>Yes</x:v>
      </x:c>
      <x:c r="N89" s="24" t="str">
        <x:v>Engineering HOD</x:v>
      </x:c>
      <x:c r="O89" s="26" t="n">
        <x:v>46264</x:v>
      </x:c>
      <x:c r="P89" s="27" t="str">
        <x:v>Validate against current SBTG SOP/WI, machine, product and authority limits.</x:v>
      </x:c>
      <x:c r="Q89" s="29" t="n">
        <x:f>IF(OR(B89="",C89=""),"",SUMIFS($I$6:$I$285,$B$6:$B$285,B89,$C$6:$C$285,C89,$M$6:$M$285,"Yes"))</x:f>
        <x:v>1</x:v>
      </x:c>
      <x:c r="R89" s="25" t="str">
        <x:f>IF(A89="","",IF(ABS(Q89-1)&lt;0.0001,"Ready","Review Weight"))</x:f>
        <x:v>Ready</x:v>
      </x:c>
    </x:row>
    <x:row r="90">
      <x:c r="A90" s="25" t="str">
        <x:f>IF(OR(B90="",C90="",E90=""),"",B90&amp;"|"&amp;C90&amp;"|"&amp;E90)</x:f>
        <x:v>Engineering|Mechanical Maintenance Technician|ENG-PM-004</x:v>
      </x:c>
      <x:c r="B90" s="24" t="str">
        <x:v>Engineering</x:v>
      </x:c>
      <x:c r="C90" s="24" t="str">
        <x:v>Mechanical Maintenance Technician</x:v>
      </x:c>
      <x:c r="D90" s="24" t="str">
        <x:v>Operator/Technician</x:v>
      </x:c>
      <x:c r="E90" s="24" t="str">
        <x:v>ENG-PM-004</x:v>
      </x:c>
      <x:c r="F90" s="25" t="str">
        <x:f>IF(E90="","",IFERROR(VLOOKUP(E90,'02 Skill Catalogue'!$A$6:$K$95,4,FALSE),"Skill ID not found"))</x:f>
        <x:v>Planned maintenance execution</x:v>
      </x:c>
      <x:c r="G90" s="25" t="str">
        <x:f>IF(E90="","",IFERROR(VLOOKUP(E90,'02 Skill Catalogue'!$A$6:$K$95,3,FALSE),""))</x:f>
        <x:v>Machine/Equipment</x:v>
      </x:c>
      <x:c r="H90" s="24" t="str">
        <x:v>Critical</x:v>
      </x:c>
      <x:c r="I90" s="28" t="n">
        <x:v>0.125</x:v>
      </x:c>
      <x:c r="J90" s="24" t="n">
        <x:v>3</x:v>
      </x:c>
      <x:c r="K90" s="24" t="str">
        <x:v>No</x:v>
      </x:c>
      <x:c r="L90" s="24" t="n">
        <x:v>12</x:v>
      </x:c>
      <x:c r="M90" s="24" t="str">
        <x:v>Yes</x:v>
      </x:c>
      <x:c r="N90" s="24" t="str">
        <x:v>Engineering HOD</x:v>
      </x:c>
      <x:c r="O90" s="26" t="n">
        <x:v>46264</x:v>
      </x:c>
      <x:c r="P90" s="27" t="str">
        <x:v>Validate against current SBTG SOP/WI, machine, product and authority limits.</x:v>
      </x:c>
      <x:c r="Q90" s="29" t="n">
        <x:f>IF(OR(B90="",C90=""),"",SUMIFS($I$6:$I$285,$B$6:$B$285,B90,$C$6:$C$285,C90,$M$6:$M$285,"Yes"))</x:f>
        <x:v>1</x:v>
      </x:c>
      <x:c r="R90" s="25" t="str">
        <x:f>IF(A90="","",IF(ABS(Q90-1)&lt;0.0001,"Ready","Review Weight"))</x:f>
        <x:v>Ready</x:v>
      </x:c>
    </x:row>
    <x:row r="91">
      <x:c r="A91" s="25" t="str">
        <x:f>IF(OR(B91="",C91="",E91=""),"",B91&amp;"|"&amp;C91&amp;"|"&amp;E91)</x:f>
        <x:v>Engineering|Mechanical Maintenance Technician|ENG-CMMS-009</x:v>
      </x:c>
      <x:c r="B91" s="24" t="str">
        <x:v>Engineering</x:v>
      </x:c>
      <x:c r="C91" s="24" t="str">
        <x:v>Mechanical Maintenance Technician</x:v>
      </x:c>
      <x:c r="D91" s="24" t="str">
        <x:v>Operator/Technician</x:v>
      </x:c>
      <x:c r="E91" s="24" t="str">
        <x:v>ENG-CMMS-009</x:v>
      </x:c>
      <x:c r="F91" s="25" t="str">
        <x:f>IF(E91="","",IFERROR(VLOOKUP(E91,'02 Skill Catalogue'!$A$6:$K$95,4,FALSE),"Skill ID not found"))</x:f>
        <x:v>Maintenance data and CMMS discipline</x:v>
      </x:c>
      <x:c r="G91" s="25" t="str">
        <x:f>IF(E91="","",IFERROR(VLOOKUP(E91,'02 Skill Catalogue'!$A$6:$K$95,3,FALSE),""))</x:f>
        <x:v>Digital/Data/AI</x:v>
      </x:c>
      <x:c r="H91" s="24" t="str">
        <x:v>Essential</x:v>
      </x:c>
      <x:c r="I91" s="28" t="n">
        <x:v>0.125</x:v>
      </x:c>
      <x:c r="J91" s="24" t="n">
        <x:v>3</x:v>
      </x:c>
      <x:c r="K91" s="24" t="str">
        <x:v>No</x:v>
      </x:c>
      <x:c r="L91" s="24" t="n">
        <x:v>12</x:v>
      </x:c>
      <x:c r="M91" s="24" t="str">
        <x:v>Yes</x:v>
      </x:c>
      <x:c r="N91" s="24" t="str">
        <x:v>Engineering HOD</x:v>
      </x:c>
      <x:c r="O91" s="26" t="n">
        <x:v>46264</x:v>
      </x:c>
      <x:c r="P91" s="27" t="str">
        <x:v>Validate against current SBTG SOP/WI, machine, product and authority limits.</x:v>
      </x:c>
      <x:c r="Q91" s="29" t="n">
        <x:f>IF(OR(B91="",C91=""),"",SUMIFS($I$6:$I$285,$B$6:$B$285,B91,$C$6:$C$285,C91,$M$6:$M$285,"Yes"))</x:f>
        <x:v>1</x:v>
      </x:c>
      <x:c r="R91" s="25" t="str">
        <x:f>IF(A91="","",IF(ABS(Q91-1)&lt;0.0001,"Ready","Review Weight"))</x:f>
        <x:v>Ready</x:v>
      </x:c>
    </x:row>
    <x:row r="92">
      <x:c r="A92" s="25" t="str">
        <x:f>IF(OR(B92="",C92="",E92=""),"",B92&amp;"|"&amp;C92&amp;"|"&amp;E92)</x:f>
        <x:v>Engineering|Mechanical Maintenance Technician|ENG-SPARE-008</x:v>
      </x:c>
      <x:c r="B92" s="24" t="str">
        <x:v>Engineering</x:v>
      </x:c>
      <x:c r="C92" s="24" t="str">
        <x:v>Mechanical Maintenance Technician</x:v>
      </x:c>
      <x:c r="D92" s="24" t="str">
        <x:v>Operator/Technician</x:v>
      </x:c>
      <x:c r="E92" s="24" t="str">
        <x:v>ENG-SPARE-008</x:v>
      </x:c>
      <x:c r="F92" s="25" t="str">
        <x:f>IF(E92="","",IFERROR(VLOOKUP(E92,'02 Skill Catalogue'!$A$6:$K$95,4,FALSE),"Skill ID not found"))</x:f>
        <x:v>Critical-spares management</x:v>
      </x:c>
      <x:c r="G92" s="25" t="str">
        <x:f>IF(E92="","",IFERROR(VLOOKUP(E92,'02 Skill Catalogue'!$A$6:$K$95,3,FALSE),""))</x:f>
        <x:v>Process/Technical</x:v>
      </x:c>
      <x:c r="H92" s="24" t="str">
        <x:v>Essential</x:v>
      </x:c>
      <x:c r="I92" s="28" t="n">
        <x:v>0.125</x:v>
      </x:c>
      <x:c r="J92" s="24" t="n">
        <x:v>2</x:v>
      </x:c>
      <x:c r="K92" s="24" t="str">
        <x:v>No</x:v>
      </x:c>
      <x:c r="L92" s="24" t="n">
        <x:v>12</x:v>
      </x:c>
      <x:c r="M92" s="24" t="str">
        <x:v>Yes</x:v>
      </x:c>
      <x:c r="N92" s="24" t="str">
        <x:v>Engineering HOD</x:v>
      </x:c>
      <x:c r="O92" s="26" t="n">
        <x:v>46264</x:v>
      </x:c>
      <x:c r="P92" s="27" t="str">
        <x:v>Validate against current SBTG SOP/WI, machine, product and authority limits.</x:v>
      </x:c>
      <x:c r="Q92" s="29" t="n">
        <x:f>IF(OR(B92="",C92=""),"",SUMIFS($I$6:$I$285,$B$6:$B$285,B92,$C$6:$C$285,C92,$M$6:$M$285,"Yes"))</x:f>
        <x:v>1</x:v>
      </x:c>
      <x:c r="R92" s="25" t="str">
        <x:f>IF(A92="","",IF(ABS(Q92-1)&lt;0.0001,"Ready","Review Weight"))</x:f>
        <x:v>Ready</x:v>
      </x:c>
    </x:row>
    <x:row r="93">
      <x:c r="A93" s="25" t="str">
        <x:f>IF(OR(B93="",C93="",E93=""),"",B93&amp;"|"&amp;C93&amp;"|"&amp;E93)</x:f>
        <x:v>Engineering|Mechanical Maintenance Technician|CORE-PROB-001</x:v>
      </x:c>
      <x:c r="B93" s="24" t="str">
        <x:v>Engineering</x:v>
      </x:c>
      <x:c r="C93" s="24" t="str">
        <x:v>Mechanical Maintenance Technician</x:v>
      </x:c>
      <x:c r="D93" s="24" t="str">
        <x:v>Operator/Technician</x:v>
      </x:c>
      <x:c r="E93" s="24" t="str">
        <x:v>CORE-PROB-001</x:v>
      </x:c>
      <x:c r="F93" s="25" t="str">
        <x:f>IF(E93="","",IFERROR(VLOOKUP(E93,'02 Skill Catalogue'!$A$6:$K$95,4,FALSE),"Skill ID not found"))</x:f>
        <x:v>Abnormality escalation and root-cause thinking</x:v>
      </x:c>
      <x:c r="G93" s="25" t="str">
        <x:f>IF(E93="","",IFERROR(VLOOKUP(E93,'02 Skill Catalogue'!$A$6:$K$95,3,FALSE),""))</x:f>
        <x:v>Problem Solving</x:v>
      </x:c>
      <x:c r="H93" s="24" t="str">
        <x:v>Essential</x:v>
      </x:c>
      <x:c r="I93" s="28" t="n">
        <x:v>0.125</x:v>
      </x:c>
      <x:c r="J93" s="24" t="n">
        <x:v>3</x:v>
      </x:c>
      <x:c r="K93" s="24" t="str">
        <x:v>No</x:v>
      </x:c>
      <x:c r="L93" s="24" t="n">
        <x:v>12</x:v>
      </x:c>
      <x:c r="M93" s="24" t="str">
        <x:v>Yes</x:v>
      </x:c>
      <x:c r="N93" s="24" t="str">
        <x:v>Engineering HOD</x:v>
      </x:c>
      <x:c r="O93" s="26" t="n">
        <x:v>46264</x:v>
      </x:c>
      <x:c r="P93" s="27" t="str">
        <x:v>Validate against current SBTG SOP/WI, machine, product and authority limits.</x:v>
      </x:c>
      <x:c r="Q93" s="29" t="n">
        <x:f>IF(OR(B93="",C93=""),"",SUMIFS($I$6:$I$285,$B$6:$B$285,B93,$C$6:$C$285,C93,$M$6:$M$285,"Yes"))</x:f>
        <x:v>1</x:v>
      </x:c>
      <x:c r="R93" s="25" t="str">
        <x:f>IF(A93="","",IF(ABS(Q93-1)&lt;0.0001,"Ready","Review Weight"))</x:f>
        <x:v>Ready</x:v>
      </x:c>
    </x:row>
    <x:row r="94">
      <x:c r="A94" s="25" t="str">
        <x:f>IF(OR(B94="",C94="",E94=""),"",B94&amp;"|"&amp;C94&amp;"|"&amp;E94)</x:f>
        <x:v>Engineering|Electrical / Automation Technician|CORE-SAF-001</x:v>
      </x:c>
      <x:c r="B94" s="24" t="str">
        <x:v>Engineering</x:v>
      </x:c>
      <x:c r="C94" s="24" t="str">
        <x:v>Electrical / Automation Technician</x:v>
      </x:c>
      <x:c r="D94" s="24" t="str">
        <x:v>Operator/Technician</x:v>
      </x:c>
      <x:c r="E94" s="24" t="str">
        <x:v>CORE-SAF-001</x:v>
      </x:c>
      <x:c r="F94" s="25" t="str">
        <x:f>IF(E94="","",IFERROR(VLOOKUP(E94,'02 Skill Catalogue'!$A$6:$K$95,4,FALSE),"Skill ID not found"))</x:f>
        <x:v>Safe work, PPE and hazard control</x:v>
      </x:c>
      <x:c r="G94" s="25" t="str">
        <x:f>IF(E94="","",IFERROR(VLOOKUP(E94,'02 Skill Catalogue'!$A$6:$K$95,3,FALSE),""))</x:f>
        <x:v>Safety</x:v>
      </x:c>
      <x:c r="H94" s="24" t="str">
        <x:v>Critical</x:v>
      </x:c>
      <x:c r="I94" s="28" t="n">
        <x:v>0.125</x:v>
      </x:c>
      <x:c r="J94" s="24" t="n">
        <x:v>3</x:v>
      </x:c>
      <x:c r="K94" s="24" t="str">
        <x:v>No</x:v>
      </x:c>
      <x:c r="L94" s="24" t="n">
        <x:v>12</x:v>
      </x:c>
      <x:c r="M94" s="24" t="str">
        <x:v>Yes</x:v>
      </x:c>
      <x:c r="N94" s="24" t="str">
        <x:v>Engineering HOD</x:v>
      </x:c>
      <x:c r="O94" s="26" t="n">
        <x:v>46264</x:v>
      </x:c>
      <x:c r="P94" s="27" t="str">
        <x:v>Validate against current SBTG SOP/WI, machine, product and authority limits.</x:v>
      </x:c>
      <x:c r="Q94" s="29" t="n">
        <x:f>IF(OR(B94="",C94=""),"",SUMIFS($I$6:$I$285,$B$6:$B$285,B94,$C$6:$C$285,C94,$M$6:$M$285,"Yes"))</x:f>
        <x:v>1</x:v>
      </x:c>
      <x:c r="R94" s="25" t="str">
        <x:f>IF(A94="","",IF(ABS(Q94-1)&lt;0.0001,"Ready","Review Weight"))</x:f>
        <x:v>Ready</x:v>
      </x:c>
    </x:row>
    <x:row r="95">
      <x:c r="A95" s="25" t="str">
        <x:f>IF(OR(B95="",C95="",E95=""),"",B95&amp;"|"&amp;C95&amp;"|"&amp;E95)</x:f>
        <x:v>Engineering|Electrical / Automation Technician|ENG-ELEC-002</x:v>
      </x:c>
      <x:c r="B95" s="24" t="str">
        <x:v>Engineering</x:v>
      </x:c>
      <x:c r="C95" s="24" t="str">
        <x:v>Electrical / Automation Technician</x:v>
      </x:c>
      <x:c r="D95" s="24" t="str">
        <x:v>Operator/Technician</x:v>
      </x:c>
      <x:c r="E95" s="24" t="str">
        <x:v>ENG-ELEC-002</x:v>
      </x:c>
      <x:c r="F95" s="25" t="str">
        <x:f>IF(E95="","",IFERROR(VLOOKUP(E95,'02 Skill Catalogue'!$A$6:$K$95,4,FALSE),"Skill ID not found"))</x:f>
        <x:v>Electrical safety and diagnostics</x:v>
      </x:c>
      <x:c r="G95" s="25" t="str">
        <x:f>IF(E95="","",IFERROR(VLOOKUP(E95,'02 Skill Catalogue'!$A$6:$K$95,3,FALSE),""))</x:f>
        <x:v>Safety</x:v>
      </x:c>
      <x:c r="H95" s="24" t="str">
        <x:v>Critical</x:v>
      </x:c>
      <x:c r="I95" s="28" t="n">
        <x:v>0.125</x:v>
      </x:c>
      <x:c r="J95" s="24" t="n">
        <x:v>3</x:v>
      </x:c>
      <x:c r="K95" s="24" t="str">
        <x:v>No</x:v>
      </x:c>
      <x:c r="L95" s="24" t="n">
        <x:v>12</x:v>
      </x:c>
      <x:c r="M95" s="24" t="str">
        <x:v>Yes</x:v>
      </x:c>
      <x:c r="N95" s="24" t="str">
        <x:v>Engineering HOD</x:v>
      </x:c>
      <x:c r="O95" s="26" t="n">
        <x:v>46264</x:v>
      </x:c>
      <x:c r="P95" s="27" t="str">
        <x:v>Validate against current SBTG SOP/WI, machine, product and authority limits.</x:v>
      </x:c>
      <x:c r="Q95" s="29" t="n">
        <x:f>IF(OR(B95="",C95=""),"",SUMIFS($I$6:$I$285,$B$6:$B$285,B95,$C$6:$C$285,C95,$M$6:$M$285,"Yes"))</x:f>
        <x:v>1</x:v>
      </x:c>
      <x:c r="R95" s="25" t="str">
        <x:f>IF(A95="","",IF(ABS(Q95-1)&lt;0.0001,"Ready","Review Weight"))</x:f>
        <x:v>Ready</x:v>
      </x:c>
    </x:row>
    <x:row r="96">
      <x:c r="A96" s="25" t="str">
        <x:f>IF(OR(B96="",C96="",E96=""),"",B96&amp;"|"&amp;C96&amp;"|"&amp;E96)</x:f>
        <x:v>Engineering|Electrical / Automation Technician|ENG-PLC-003</x:v>
      </x:c>
      <x:c r="B96" s="24" t="str">
        <x:v>Engineering</x:v>
      </x:c>
      <x:c r="C96" s="24" t="str">
        <x:v>Electrical / Automation Technician</x:v>
      </x:c>
      <x:c r="D96" s="24" t="str">
        <x:v>Operator/Technician</x:v>
      </x:c>
      <x:c r="E96" s="24" t="str">
        <x:v>ENG-PLC-003</x:v>
      </x:c>
      <x:c r="F96" s="25" t="str">
        <x:f>IF(E96="","",IFERROR(VLOOKUP(E96,'02 Skill Catalogue'!$A$6:$K$95,4,FALSE),"Skill ID not found"))</x:f>
        <x:v>PLC, sensor and control-system troubleshooting</x:v>
      </x:c>
      <x:c r="G96" s="25" t="str">
        <x:f>IF(E96="","",IFERROR(VLOOKUP(E96,'02 Skill Catalogue'!$A$6:$K$95,3,FALSE),""))</x:f>
        <x:v>Digital/Data/AI</x:v>
      </x:c>
      <x:c r="H96" s="24" t="str">
        <x:v>Critical</x:v>
      </x:c>
      <x:c r="I96" s="28" t="n">
        <x:v>0.125</x:v>
      </x:c>
      <x:c r="J96" s="24" t="n">
        <x:v>3</x:v>
      </x:c>
      <x:c r="K96" s="24" t="str">
        <x:v>No</x:v>
      </x:c>
      <x:c r="L96" s="24" t="n">
        <x:v>12</x:v>
      </x:c>
      <x:c r="M96" s="24" t="str">
        <x:v>Yes</x:v>
      </x:c>
      <x:c r="N96" s="24" t="str">
        <x:v>Engineering HOD</x:v>
      </x:c>
      <x:c r="O96" s="26" t="n">
        <x:v>46264</x:v>
      </x:c>
      <x:c r="P96" s="27" t="str">
        <x:v>Validate against current SBTG SOP/WI, machine, product and authority limits.</x:v>
      </x:c>
      <x:c r="Q96" s="29" t="n">
        <x:f>IF(OR(B96="",C96=""),"",SUMIFS($I$6:$I$285,$B$6:$B$285,B96,$C$6:$C$285,C96,$M$6:$M$285,"Yes"))</x:f>
        <x:v>1</x:v>
      </x:c>
      <x:c r="R96" s="25" t="str">
        <x:f>IF(A96="","",IF(ABS(Q96-1)&lt;0.0001,"Ready","Review Weight"))</x:f>
        <x:v>Ready</x:v>
      </x:c>
    </x:row>
    <x:row r="97">
      <x:c r="A97" s="25" t="str">
        <x:f>IF(OR(B97="",C97="",E97=""),"",B97&amp;"|"&amp;C97&amp;"|"&amp;E97)</x:f>
        <x:v>Engineering|Electrical / Automation Technician|ENG-OT-010</x:v>
      </x:c>
      <x:c r="B97" s="24" t="str">
        <x:v>Engineering</x:v>
      </x:c>
      <x:c r="C97" s="24" t="str">
        <x:v>Electrical / Automation Technician</x:v>
      </x:c>
      <x:c r="D97" s="24" t="str">
        <x:v>Operator/Technician</x:v>
      </x:c>
      <x:c r="E97" s="24" t="str">
        <x:v>ENG-OT-010</x:v>
      </x:c>
      <x:c r="F97" s="25" t="str">
        <x:f>IF(E97="","",IFERROR(VLOOKUP(E97,'02 Skill Catalogue'!$A$6:$K$95,4,FALSE),"Skill ID not found"))</x:f>
        <x:v>Operational-technology cybersecurity</x:v>
      </x:c>
      <x:c r="G97" s="25" t="str">
        <x:f>IF(E97="","",IFERROR(VLOOKUP(E97,'02 Skill Catalogue'!$A$6:$K$95,3,FALSE),""))</x:f>
        <x:v>Digital/Data/AI</x:v>
      </x:c>
      <x:c r="H97" s="24" t="str">
        <x:v>Critical</x:v>
      </x:c>
      <x:c r="I97" s="28" t="n">
        <x:v>0.125</x:v>
      </x:c>
      <x:c r="J97" s="24" t="n">
        <x:v>3</x:v>
      </x:c>
      <x:c r="K97" s="24" t="str">
        <x:v>No</x:v>
      </x:c>
      <x:c r="L97" s="24" t="n">
        <x:v>12</x:v>
      </x:c>
      <x:c r="M97" s="24" t="str">
        <x:v>Yes</x:v>
      </x:c>
      <x:c r="N97" s="24" t="str">
        <x:v>Engineering HOD</x:v>
      </x:c>
      <x:c r="O97" s="26" t="n">
        <x:v>46264</x:v>
      </x:c>
      <x:c r="P97" s="27" t="str">
        <x:v>Validate against current SBTG SOP/WI, machine, product and authority limits.</x:v>
      </x:c>
      <x:c r="Q97" s="29" t="n">
        <x:f>IF(OR(B97="",C97=""),"",SUMIFS($I$6:$I$285,$B$6:$B$285,B97,$C$6:$C$285,C97,$M$6:$M$285,"Yes"))</x:f>
        <x:v>1</x:v>
      </x:c>
      <x:c r="R97" s="25" t="str">
        <x:f>IF(A97="","",IF(ABS(Q97-1)&lt;0.0001,"Ready","Review Weight"))</x:f>
        <x:v>Ready</x:v>
      </x:c>
    </x:row>
    <x:row r="98">
      <x:c r="A98" s="25" t="str">
        <x:f>IF(OR(B98="",C98="",E98=""),"",B98&amp;"|"&amp;C98&amp;"|"&amp;E98)</x:f>
        <x:v>Engineering|Electrical / Automation Technician|ENG-PM-004</x:v>
      </x:c>
      <x:c r="B98" s="24" t="str">
        <x:v>Engineering</x:v>
      </x:c>
      <x:c r="C98" s="24" t="str">
        <x:v>Electrical / Automation Technician</x:v>
      </x:c>
      <x:c r="D98" s="24" t="str">
        <x:v>Operator/Technician</x:v>
      </x:c>
      <x:c r="E98" s="24" t="str">
        <x:v>ENG-PM-004</x:v>
      </x:c>
      <x:c r="F98" s="25" t="str">
        <x:f>IF(E98="","",IFERROR(VLOOKUP(E98,'02 Skill Catalogue'!$A$6:$K$95,4,FALSE),"Skill ID not found"))</x:f>
        <x:v>Planned maintenance execution</x:v>
      </x:c>
      <x:c r="G98" s="25" t="str">
        <x:f>IF(E98="","",IFERROR(VLOOKUP(E98,'02 Skill Catalogue'!$A$6:$K$95,3,FALSE),""))</x:f>
        <x:v>Machine/Equipment</x:v>
      </x:c>
      <x:c r="H98" s="24" t="str">
        <x:v>Critical</x:v>
      </x:c>
      <x:c r="I98" s="28" t="n">
        <x:v>0.125</x:v>
      </x:c>
      <x:c r="J98" s="24" t="n">
        <x:v>3</x:v>
      </x:c>
      <x:c r="K98" s="24" t="str">
        <x:v>No</x:v>
      </x:c>
      <x:c r="L98" s="24" t="n">
        <x:v>12</x:v>
      </x:c>
      <x:c r="M98" s="24" t="str">
        <x:v>Yes</x:v>
      </x:c>
      <x:c r="N98" s="24" t="str">
        <x:v>Engineering HOD</x:v>
      </x:c>
      <x:c r="O98" s="26" t="n">
        <x:v>46264</x:v>
      </x:c>
      <x:c r="P98" s="27" t="str">
        <x:v>Validate against current SBTG SOP/WI, machine, product and authority limits.</x:v>
      </x:c>
      <x:c r="Q98" s="29" t="n">
        <x:f>IF(OR(B98="",C98=""),"",SUMIFS($I$6:$I$285,$B$6:$B$285,B98,$C$6:$C$285,C98,$M$6:$M$285,"Yes"))</x:f>
        <x:v>1</x:v>
      </x:c>
      <x:c r="R98" s="25" t="str">
        <x:f>IF(A98="","",IF(ABS(Q98-1)&lt;0.0001,"Ready","Review Weight"))</x:f>
        <x:v>Ready</x:v>
      </x:c>
    </x:row>
    <x:row r="99">
      <x:c r="A99" s="25" t="str">
        <x:f>IF(OR(B99="",C99="",E99=""),"",B99&amp;"|"&amp;C99&amp;"|"&amp;E99)</x:f>
        <x:v>Engineering|Electrical / Automation Technician|ENG-CMMS-009</x:v>
      </x:c>
      <x:c r="B99" s="24" t="str">
        <x:v>Engineering</x:v>
      </x:c>
      <x:c r="C99" s="24" t="str">
        <x:v>Electrical / Automation Technician</x:v>
      </x:c>
      <x:c r="D99" s="24" t="str">
        <x:v>Operator/Technician</x:v>
      </x:c>
      <x:c r="E99" s="24" t="str">
        <x:v>ENG-CMMS-009</x:v>
      </x:c>
      <x:c r="F99" s="25" t="str">
        <x:f>IF(E99="","",IFERROR(VLOOKUP(E99,'02 Skill Catalogue'!$A$6:$K$95,4,FALSE),"Skill ID not found"))</x:f>
        <x:v>Maintenance data and CMMS discipline</x:v>
      </x:c>
      <x:c r="G99" s="25" t="str">
        <x:f>IF(E99="","",IFERROR(VLOOKUP(E99,'02 Skill Catalogue'!$A$6:$K$95,3,FALSE),""))</x:f>
        <x:v>Digital/Data/AI</x:v>
      </x:c>
      <x:c r="H99" s="24" t="str">
        <x:v>Essential</x:v>
      </x:c>
      <x:c r="I99" s="28" t="n">
        <x:v>0.125</x:v>
      </x:c>
      <x:c r="J99" s="24" t="n">
        <x:v>3</x:v>
      </x:c>
      <x:c r="K99" s="24" t="str">
        <x:v>No</x:v>
      </x:c>
      <x:c r="L99" s="24" t="n">
        <x:v>12</x:v>
      </x:c>
      <x:c r="M99" s="24" t="str">
        <x:v>Yes</x:v>
      </x:c>
      <x:c r="N99" s="24" t="str">
        <x:v>Engineering HOD</x:v>
      </x:c>
      <x:c r="O99" s="26" t="n">
        <x:v>46264</x:v>
      </x:c>
      <x:c r="P99" s="27" t="str">
        <x:v>Validate against current SBTG SOP/WI, machine, product and authority limits.</x:v>
      </x:c>
      <x:c r="Q99" s="29" t="n">
        <x:f>IF(OR(B99="",C99=""),"",SUMIFS($I$6:$I$285,$B$6:$B$285,B99,$C$6:$C$285,C99,$M$6:$M$285,"Yes"))</x:f>
        <x:v>1</x:v>
      </x:c>
      <x:c r="R99" s="25" t="str">
        <x:f>IF(A99="","",IF(ABS(Q99-1)&lt;0.0001,"Ready","Review Weight"))</x:f>
        <x:v>Ready</x:v>
      </x:c>
    </x:row>
    <x:row r="100">
      <x:c r="A100" s="25" t="str">
        <x:f>IF(OR(B100="",C100="",E100=""),"",B100&amp;"|"&amp;C100&amp;"|"&amp;E100)</x:f>
        <x:v>Engineering|Electrical / Automation Technician|CORE-DATA-001</x:v>
      </x:c>
      <x:c r="B100" s="24" t="str">
        <x:v>Engineering</x:v>
      </x:c>
      <x:c r="C100" s="24" t="str">
        <x:v>Electrical / Automation Technician</x:v>
      </x:c>
      <x:c r="D100" s="24" t="str">
        <x:v>Operator/Technician</x:v>
      </x:c>
      <x:c r="E100" s="24" t="str">
        <x:v>CORE-DATA-001</x:v>
      </x:c>
      <x:c r="F100" s="25" t="str">
        <x:f>IF(E100="","",IFERROR(VLOOKUP(E100,'02 Skill Catalogue'!$A$6:$K$95,4,FALSE),"Skill ID not found"))</x:f>
        <x:v>Accurate operational data recording</x:v>
      </x:c>
      <x:c r="G100" s="25" t="str">
        <x:f>IF(E100="","",IFERROR(VLOOKUP(E100,'02 Skill Catalogue'!$A$6:$K$95,3,FALSE),""))</x:f>
        <x:v>Digital/Data/AI</x:v>
      </x:c>
      <x:c r="H100" s="24" t="str">
        <x:v>Essential</x:v>
      </x:c>
      <x:c r="I100" s="28" t="n">
        <x:v>0.125</x:v>
      </x:c>
      <x:c r="J100" s="24" t="n">
        <x:v>3</x:v>
      </x:c>
      <x:c r="K100" s="24" t="str">
        <x:v>No</x:v>
      </x:c>
      <x:c r="L100" s="24" t="n">
        <x:v>12</x:v>
      </x:c>
      <x:c r="M100" s="24" t="str">
        <x:v>Yes</x:v>
      </x:c>
      <x:c r="N100" s="24" t="str">
        <x:v>Engineering HOD</x:v>
      </x:c>
      <x:c r="O100" s="26" t="n">
        <x:v>46264</x:v>
      </x:c>
      <x:c r="P100" s="27" t="str">
        <x:v>Validate against current SBTG SOP/WI, machine, product and authority limits.</x:v>
      </x:c>
      <x:c r="Q100" s="29" t="n">
        <x:f>IF(OR(B100="",C100=""),"",SUMIFS($I$6:$I$285,$B$6:$B$285,B100,$C$6:$C$285,C100,$M$6:$M$285,"Yes"))</x:f>
        <x:v>1</x:v>
      </x:c>
      <x:c r="R100" s="25" t="str">
        <x:f>IF(A100="","",IF(ABS(Q100-1)&lt;0.0001,"Ready","Review Weight"))</x:f>
        <x:v>Ready</x:v>
      </x:c>
    </x:row>
    <x:row r="101">
      <x:c r="A101" s="25" t="str">
        <x:f>IF(OR(B101="",C101="",E101=""),"",B101&amp;"|"&amp;C101&amp;"|"&amp;E101)</x:f>
        <x:v>Engineering|Electrical / Automation Technician|CORE-PROB-001</x:v>
      </x:c>
      <x:c r="B101" s="24" t="str">
        <x:v>Engineering</x:v>
      </x:c>
      <x:c r="C101" s="24" t="str">
        <x:v>Electrical / Automation Technician</x:v>
      </x:c>
      <x:c r="D101" s="24" t="str">
        <x:v>Operator/Technician</x:v>
      </x:c>
      <x:c r="E101" s="24" t="str">
        <x:v>CORE-PROB-001</x:v>
      </x:c>
      <x:c r="F101" s="25" t="str">
        <x:f>IF(E101="","",IFERROR(VLOOKUP(E101,'02 Skill Catalogue'!$A$6:$K$95,4,FALSE),"Skill ID not found"))</x:f>
        <x:v>Abnormality escalation and root-cause thinking</x:v>
      </x:c>
      <x:c r="G101" s="25" t="str">
        <x:f>IF(E101="","",IFERROR(VLOOKUP(E101,'02 Skill Catalogue'!$A$6:$K$95,3,FALSE),""))</x:f>
        <x:v>Problem Solving</x:v>
      </x:c>
      <x:c r="H101" s="24" t="str">
        <x:v>Essential</x:v>
      </x:c>
      <x:c r="I101" s="28" t="n">
        <x:v>0.125</x:v>
      </x:c>
      <x:c r="J101" s="24" t="n">
        <x:v>3</x:v>
      </x:c>
      <x:c r="K101" s="24" t="str">
        <x:v>No</x:v>
      </x:c>
      <x:c r="L101" s="24" t="n">
        <x:v>12</x:v>
      </x:c>
      <x:c r="M101" s="24" t="str">
        <x:v>Yes</x:v>
      </x:c>
      <x:c r="N101" s="24" t="str">
        <x:v>Engineering HOD</x:v>
      </x:c>
      <x:c r="O101" s="26" t="n">
        <x:v>46264</x:v>
      </x:c>
      <x:c r="P101" s="27" t="str">
        <x:v>Validate against current SBTG SOP/WI, machine, product and authority limits.</x:v>
      </x:c>
      <x:c r="Q101" s="29" t="n">
        <x:f>IF(OR(B101="",C101=""),"",SUMIFS($I$6:$I$285,$B$6:$B$285,B101,$C$6:$C$285,C101,$M$6:$M$285,"Yes"))</x:f>
        <x:v>1</x:v>
      </x:c>
      <x:c r="R101" s="25" t="str">
        <x:f>IF(A101="","",IF(ABS(Q101-1)&lt;0.0001,"Ready","Review Weight"))</x:f>
        <x:v>Ready</x:v>
      </x:c>
    </x:row>
    <x:row r="102">
      <x:c r="A102" s="25" t="str">
        <x:f>IF(OR(B102="",C102="",E102=""),"",B102&amp;"|"&amp;C102&amp;"|"&amp;E102)</x:f>
        <x:v>Engineering|Utilities Operator|CORE-SAF-001</x:v>
      </x:c>
      <x:c r="B102" s="24" t="str">
        <x:v>Engineering</x:v>
      </x:c>
      <x:c r="C102" s="24" t="str">
        <x:v>Utilities Operator</x:v>
      </x:c>
      <x:c r="D102" s="24" t="str">
        <x:v>Operator/Technician</x:v>
      </x:c>
      <x:c r="E102" s="24" t="str">
        <x:v>CORE-SAF-001</x:v>
      </x:c>
      <x:c r="F102" s="25" t="str">
        <x:f>IF(E102="","",IFERROR(VLOOKUP(E102,'02 Skill Catalogue'!$A$6:$K$95,4,FALSE),"Skill ID not found"))</x:f>
        <x:v>Safe work, PPE and hazard control</x:v>
      </x:c>
      <x:c r="G102" s="25" t="str">
        <x:f>IF(E102="","",IFERROR(VLOOKUP(E102,'02 Skill Catalogue'!$A$6:$K$95,3,FALSE),""))</x:f>
        <x:v>Safety</x:v>
      </x:c>
      <x:c r="H102" s="24" t="str">
        <x:v>Critical</x:v>
      </x:c>
      <x:c r="I102" s="28" t="n">
        <x:v>0.125</x:v>
      </x:c>
      <x:c r="J102" s="24" t="n">
        <x:v>3</x:v>
      </x:c>
      <x:c r="K102" s="24" t="str">
        <x:v>No</x:v>
      </x:c>
      <x:c r="L102" s="24" t="n">
        <x:v>12</x:v>
      </x:c>
      <x:c r="M102" s="24" t="str">
        <x:v>Yes</x:v>
      </x:c>
      <x:c r="N102" s="24" t="str">
        <x:v>Engineering HOD</x:v>
      </x:c>
      <x:c r="O102" s="26" t="n">
        <x:v>46264</x:v>
      </x:c>
      <x:c r="P102" s="27" t="str">
        <x:v>Validate against current SBTG SOP/WI, machine, product and authority limits.</x:v>
      </x:c>
      <x:c r="Q102" s="29" t="n">
        <x:f>IF(OR(B102="",C102=""),"",SUMIFS($I$6:$I$285,$B$6:$B$285,B102,$C$6:$C$285,C102,$M$6:$M$285,"Yes"))</x:f>
        <x:v>1</x:v>
      </x:c>
      <x:c r="R102" s="25" t="str">
        <x:f>IF(A102="","",IF(ABS(Q102-1)&lt;0.0001,"Ready","Review Weight"))</x:f>
        <x:v>Ready</x:v>
      </x:c>
    </x:row>
    <x:row r="103">
      <x:c r="A103" s="25" t="str">
        <x:f>IF(OR(B103="",C103="",E103=""),"",B103&amp;"|"&amp;C103&amp;"|"&amp;E103)</x:f>
        <x:v>Engineering|Utilities Operator|CORE-QUAL-001</x:v>
      </x:c>
      <x:c r="B103" s="24" t="str">
        <x:v>Engineering</x:v>
      </x:c>
      <x:c r="C103" s="24" t="str">
        <x:v>Utilities Operator</x:v>
      </x:c>
      <x:c r="D103" s="24" t="str">
        <x:v>Operator/Technician</x:v>
      </x:c>
      <x:c r="E103" s="24" t="str">
        <x:v>CORE-QUAL-001</x:v>
      </x:c>
      <x:c r="F103" s="25" t="str">
        <x:f>IF(E103="","",IFERROR(VLOOKUP(E103,'02 Skill Catalogue'!$A$6:$K$95,4,FALSE),"Skill ID not found"))</x:f>
        <x:v>SOP and work-instruction discipline</x:v>
      </x:c>
      <x:c r="G103" s="25" t="str">
        <x:f>IF(E103="","",IFERROR(VLOOKUP(E103,'02 Skill Catalogue'!$A$6:$K$95,3,FALSE),""))</x:f>
        <x:v>Quality</x:v>
      </x:c>
      <x:c r="H103" s="24" t="str">
        <x:v>Critical</x:v>
      </x:c>
      <x:c r="I103" s="28" t="n">
        <x:v>0.125</x:v>
      </x:c>
      <x:c r="J103" s="24" t="n">
        <x:v>2</x:v>
      </x:c>
      <x:c r="K103" s="24" t="str">
        <x:v>No</x:v>
      </x:c>
      <x:c r="L103" s="24" t="n">
        <x:v>12</x:v>
      </x:c>
      <x:c r="M103" s="24" t="str">
        <x:v>Yes</x:v>
      </x:c>
      <x:c r="N103" s="24" t="str">
        <x:v>Engineering HOD</x:v>
      </x:c>
      <x:c r="O103" s="26" t="n">
        <x:v>46264</x:v>
      </x:c>
      <x:c r="P103" s="27" t="str">
        <x:v>Validate against current SBTG SOP/WI, machine, product and authority limits.</x:v>
      </x:c>
      <x:c r="Q103" s="29" t="n">
        <x:f>IF(OR(B103="",C103=""),"",SUMIFS($I$6:$I$285,$B$6:$B$285,B103,$C$6:$C$285,C103,$M$6:$M$285,"Yes"))</x:f>
        <x:v>1</x:v>
      </x:c>
      <x:c r="R103" s="25" t="str">
        <x:f>IF(A103="","",IF(ABS(Q103-1)&lt;0.0001,"Ready","Review Weight"))</x:f>
        <x:v>Ready</x:v>
      </x:c>
    </x:row>
    <x:row r="104">
      <x:c r="A104" s="25" t="str">
        <x:f>IF(OR(B104="",C104="",E104=""),"",B104&amp;"|"&amp;C104&amp;"|"&amp;E104)</x:f>
        <x:v>Engineering|Utilities Operator|CORE-DATA-001</x:v>
      </x:c>
      <x:c r="B104" s="24" t="str">
        <x:v>Engineering</x:v>
      </x:c>
      <x:c r="C104" s="24" t="str">
        <x:v>Utilities Operator</x:v>
      </x:c>
      <x:c r="D104" s="24" t="str">
        <x:v>Operator/Technician</x:v>
      </x:c>
      <x:c r="E104" s="24" t="str">
        <x:v>CORE-DATA-001</x:v>
      </x:c>
      <x:c r="F104" s="25" t="str">
        <x:f>IF(E104="","",IFERROR(VLOOKUP(E104,'02 Skill Catalogue'!$A$6:$K$95,4,FALSE),"Skill ID not found"))</x:f>
        <x:v>Accurate operational data recording</x:v>
      </x:c>
      <x:c r="G104" s="25" t="str">
        <x:f>IF(E104="","",IFERROR(VLOOKUP(E104,'02 Skill Catalogue'!$A$6:$K$95,3,FALSE),""))</x:f>
        <x:v>Digital/Data/AI</x:v>
      </x:c>
      <x:c r="H104" s="24" t="str">
        <x:v>Essential</x:v>
      </x:c>
      <x:c r="I104" s="28" t="n">
        <x:v>0.125</x:v>
      </x:c>
      <x:c r="J104" s="24" t="n">
        <x:v>3</x:v>
      </x:c>
      <x:c r="K104" s="24" t="str">
        <x:v>No</x:v>
      </x:c>
      <x:c r="L104" s="24" t="n">
        <x:v>12</x:v>
      </x:c>
      <x:c r="M104" s="24" t="str">
        <x:v>Yes</x:v>
      </x:c>
      <x:c r="N104" s="24" t="str">
        <x:v>Engineering HOD</x:v>
      </x:c>
      <x:c r="O104" s="26" t="n">
        <x:v>46264</x:v>
      </x:c>
      <x:c r="P104" s="27" t="str">
        <x:v>Validate against current SBTG SOP/WI, machine, product and authority limits.</x:v>
      </x:c>
      <x:c r="Q104" s="29" t="n">
        <x:f>IF(OR(B104="",C104=""),"",SUMIFS($I$6:$I$285,$B$6:$B$285,B104,$C$6:$C$285,C104,$M$6:$M$285,"Yes"))</x:f>
        <x:v>1</x:v>
      </x:c>
      <x:c r="R104" s="25" t="str">
        <x:f>IF(A104="","",IF(ABS(Q104-1)&lt;0.0001,"Ready","Review Weight"))</x:f>
        <x:v>Ready</x:v>
      </x:c>
    </x:row>
    <x:row r="105">
      <x:c r="A105" s="25" t="str">
        <x:f>IF(OR(B105="",C105="",E105=""),"",B105&amp;"|"&amp;C105&amp;"|"&amp;E105)</x:f>
        <x:v>Engineering|Utilities Operator|CORE-5S-001</x:v>
      </x:c>
      <x:c r="B105" s="24" t="str">
        <x:v>Engineering</x:v>
      </x:c>
      <x:c r="C105" s="24" t="str">
        <x:v>Utilities Operator</x:v>
      </x:c>
      <x:c r="D105" s="24" t="str">
        <x:v>Operator/Technician</x:v>
      </x:c>
      <x:c r="E105" s="24" t="str">
        <x:v>CORE-5S-001</x:v>
      </x:c>
      <x:c r="F105" s="25" t="str">
        <x:f>IF(E105="","",IFERROR(VLOOKUP(E105,'02 Skill Catalogue'!$A$6:$K$95,4,FALSE),"Skill ID not found"))</x:f>
        <x:v>5S and workplace ownership</x:v>
      </x:c>
      <x:c r="G105" s="25" t="str">
        <x:f>IF(E105="","",IFERROR(VLOOKUP(E105,'02 Skill Catalogue'!$A$6:$K$95,3,FALSE),""))</x:f>
        <x:v>Work Discipline</x:v>
      </x:c>
      <x:c r="H105" s="24" t="str">
        <x:v>Essential</x:v>
      </x:c>
      <x:c r="I105" s="28" t="n">
        <x:v>0.125</x:v>
      </x:c>
      <x:c r="J105" s="24" t="n">
        <x:v>3</x:v>
      </x:c>
      <x:c r="K105" s="24" t="str">
        <x:v>No</x:v>
      </x:c>
      <x:c r="L105" s="24" t="n">
        <x:v>12</x:v>
      </x:c>
      <x:c r="M105" s="24" t="str">
        <x:v>Yes</x:v>
      </x:c>
      <x:c r="N105" s="24" t="str">
        <x:v>Engineering HOD</x:v>
      </x:c>
      <x:c r="O105" s="26" t="n">
        <x:v>46264</x:v>
      </x:c>
      <x:c r="P105" s="27" t="str">
        <x:v>Validate against current SBTG SOP/WI, machine, product and authority limits.</x:v>
      </x:c>
      <x:c r="Q105" s="29" t="n">
        <x:f>IF(OR(B105="",C105=""),"",SUMIFS($I$6:$I$285,$B$6:$B$285,B105,$C$6:$C$285,C105,$M$6:$M$285,"Yes"))</x:f>
        <x:v>1</x:v>
      </x:c>
      <x:c r="R105" s="25" t="str">
        <x:f>IF(A105="","",IF(ABS(Q105-1)&lt;0.0001,"Ready","Review Weight"))</x:f>
        <x:v>Ready</x:v>
      </x:c>
    </x:row>
    <x:row r="106">
      <x:c r="A106" s="25" t="str">
        <x:f>IF(OR(B106="",C106="",E106=""),"",B106&amp;"|"&amp;C106&amp;"|"&amp;E106)</x:f>
        <x:v>Engineering|Utilities Operator|ENG-UTIL-007</x:v>
      </x:c>
      <x:c r="B106" s="24" t="str">
        <x:v>Engineering</x:v>
      </x:c>
      <x:c r="C106" s="24" t="str">
        <x:v>Utilities Operator</x:v>
      </x:c>
      <x:c r="D106" s="24" t="str">
        <x:v>Operator/Technician</x:v>
      </x:c>
      <x:c r="E106" s="24" t="str">
        <x:v>ENG-UTIL-007</x:v>
      </x:c>
      <x:c r="F106" s="25" t="str">
        <x:f>IF(E106="","",IFERROR(VLOOKUP(E106,'02 Skill Catalogue'!$A$6:$K$95,4,FALSE),"Skill ID not found"))</x:f>
        <x:v>Utilities operation and energy control</x:v>
      </x:c>
      <x:c r="G106" s="25" t="str">
        <x:f>IF(E106="","",IFERROR(VLOOKUP(E106,'02 Skill Catalogue'!$A$6:$K$95,3,FALSE),""))</x:f>
        <x:v>Machine/Equipment</x:v>
      </x:c>
      <x:c r="H106" s="24" t="str">
        <x:v>Critical</x:v>
      </x:c>
      <x:c r="I106" s="28" t="n">
        <x:v>0.125</x:v>
      </x:c>
      <x:c r="J106" s="24" t="n">
        <x:v>3</x:v>
      </x:c>
      <x:c r="K106" s="24" t="str">
        <x:v>No</x:v>
      </x:c>
      <x:c r="L106" s="24" t="n">
        <x:v>12</x:v>
      </x:c>
      <x:c r="M106" s="24" t="str">
        <x:v>Yes</x:v>
      </x:c>
      <x:c r="N106" s="24" t="str">
        <x:v>Engineering HOD</x:v>
      </x:c>
      <x:c r="O106" s="26" t="n">
        <x:v>46264</x:v>
      </x:c>
      <x:c r="P106" s="27" t="str">
        <x:v>Validate against current SBTG SOP/WI, machine, product and authority limits.</x:v>
      </x:c>
      <x:c r="Q106" s="29" t="n">
        <x:f>IF(OR(B106="",C106=""),"",SUMIFS($I$6:$I$285,$B$6:$B$285,B106,$C$6:$C$285,C106,$M$6:$M$285,"Yes"))</x:f>
        <x:v>1</x:v>
      </x:c>
      <x:c r="R106" s="25" t="str">
        <x:f>IF(A106="","",IF(ABS(Q106-1)&lt;0.0001,"Ready","Review Weight"))</x:f>
        <x:v>Ready</x:v>
      </x:c>
    </x:row>
    <x:row r="107">
      <x:c r="A107" s="25" t="str">
        <x:f>IF(OR(B107="",C107="",E107=""),"",B107&amp;"|"&amp;C107&amp;"|"&amp;E107)</x:f>
        <x:v>Engineering|Utilities Operator|ENG-PM-004</x:v>
      </x:c>
      <x:c r="B107" s="24" t="str">
        <x:v>Engineering</x:v>
      </x:c>
      <x:c r="C107" s="24" t="str">
        <x:v>Utilities Operator</x:v>
      </x:c>
      <x:c r="D107" s="24" t="str">
        <x:v>Operator/Technician</x:v>
      </x:c>
      <x:c r="E107" s="24" t="str">
        <x:v>ENG-PM-004</x:v>
      </x:c>
      <x:c r="F107" s="25" t="str">
        <x:f>IF(E107="","",IFERROR(VLOOKUP(E107,'02 Skill Catalogue'!$A$6:$K$95,4,FALSE),"Skill ID not found"))</x:f>
        <x:v>Planned maintenance execution</x:v>
      </x:c>
      <x:c r="G107" s="25" t="str">
        <x:f>IF(E107="","",IFERROR(VLOOKUP(E107,'02 Skill Catalogue'!$A$6:$K$95,3,FALSE),""))</x:f>
        <x:v>Machine/Equipment</x:v>
      </x:c>
      <x:c r="H107" s="24" t="str">
        <x:v>Critical</x:v>
      </x:c>
      <x:c r="I107" s="28" t="n">
        <x:v>0.125</x:v>
      </x:c>
      <x:c r="J107" s="24" t="n">
        <x:v>2</x:v>
      </x:c>
      <x:c r="K107" s="24" t="str">
        <x:v>No</x:v>
      </x:c>
      <x:c r="L107" s="24" t="n">
        <x:v>12</x:v>
      </x:c>
      <x:c r="M107" s="24" t="str">
        <x:v>Yes</x:v>
      </x:c>
      <x:c r="N107" s="24" t="str">
        <x:v>Engineering HOD</x:v>
      </x:c>
      <x:c r="O107" s="26" t="n">
        <x:v>46264</x:v>
      </x:c>
      <x:c r="P107" s="27" t="str">
        <x:v>Validate against current SBTG SOP/WI, machine, product and authority limits.</x:v>
      </x:c>
      <x:c r="Q107" s="29" t="n">
        <x:f>IF(OR(B107="",C107=""),"",SUMIFS($I$6:$I$285,$B$6:$B$285,B107,$C$6:$C$285,C107,$M$6:$M$285,"Yes"))</x:f>
        <x:v>1</x:v>
      </x:c>
      <x:c r="R107" s="25" t="str">
        <x:f>IF(A107="","",IF(ABS(Q107-1)&lt;0.0001,"Ready","Review Weight"))</x:f>
        <x:v>Ready</x:v>
      </x:c>
    </x:row>
    <x:row r="108">
      <x:c r="A108" s="25" t="str">
        <x:f>IF(OR(B108="",C108="",E108=""),"",B108&amp;"|"&amp;C108&amp;"|"&amp;E108)</x:f>
        <x:v>Engineering|Utilities Operator|ENG-CMMS-009</x:v>
      </x:c>
      <x:c r="B108" s="24" t="str">
        <x:v>Engineering</x:v>
      </x:c>
      <x:c r="C108" s="24" t="str">
        <x:v>Utilities Operator</x:v>
      </x:c>
      <x:c r="D108" s="24" t="str">
        <x:v>Operator/Technician</x:v>
      </x:c>
      <x:c r="E108" s="24" t="str">
        <x:v>ENG-CMMS-009</x:v>
      </x:c>
      <x:c r="F108" s="25" t="str">
        <x:f>IF(E108="","",IFERROR(VLOOKUP(E108,'02 Skill Catalogue'!$A$6:$K$95,4,FALSE),"Skill ID not found"))</x:f>
        <x:v>Maintenance data and CMMS discipline</x:v>
      </x:c>
      <x:c r="G108" s="25" t="str">
        <x:f>IF(E108="","",IFERROR(VLOOKUP(E108,'02 Skill Catalogue'!$A$6:$K$95,3,FALSE),""))</x:f>
        <x:v>Digital/Data/AI</x:v>
      </x:c>
      <x:c r="H108" s="24" t="str">
        <x:v>Essential</x:v>
      </x:c>
      <x:c r="I108" s="28" t="n">
        <x:v>0.125</x:v>
      </x:c>
      <x:c r="J108" s="24" t="n">
        <x:v>2</x:v>
      </x:c>
      <x:c r="K108" s="24" t="str">
        <x:v>No</x:v>
      </x:c>
      <x:c r="L108" s="24" t="n">
        <x:v>12</x:v>
      </x:c>
      <x:c r="M108" s="24" t="str">
        <x:v>Yes</x:v>
      </x:c>
      <x:c r="N108" s="24" t="str">
        <x:v>Engineering HOD</x:v>
      </x:c>
      <x:c r="O108" s="26" t="n">
        <x:v>46264</x:v>
      </x:c>
      <x:c r="P108" s="27" t="str">
        <x:v>Validate against current SBTG SOP/WI, machine, product and authority limits.</x:v>
      </x:c>
      <x:c r="Q108" s="29" t="n">
        <x:f>IF(OR(B108="",C108=""),"",SUMIFS($I$6:$I$285,$B$6:$B$285,B108,$C$6:$C$285,C108,$M$6:$M$285,"Yes"))</x:f>
        <x:v>1</x:v>
      </x:c>
      <x:c r="R108" s="25" t="str">
        <x:f>IF(A108="","",IF(ABS(Q108-1)&lt;0.0001,"Ready","Review Weight"))</x:f>
        <x:v>Ready</x:v>
      </x:c>
    </x:row>
    <x:row r="109">
      <x:c r="A109" s="25" t="str">
        <x:f>IF(OR(B109="",C109="",E109=""),"",B109&amp;"|"&amp;C109&amp;"|"&amp;E109)</x:f>
        <x:v>Engineering|Utilities Operator|CORE-PROB-001</x:v>
      </x:c>
      <x:c r="B109" s="24" t="str">
        <x:v>Engineering</x:v>
      </x:c>
      <x:c r="C109" s="24" t="str">
        <x:v>Utilities Operator</x:v>
      </x:c>
      <x:c r="D109" s="24" t="str">
        <x:v>Operator/Technician</x:v>
      </x:c>
      <x:c r="E109" s="24" t="str">
        <x:v>CORE-PROB-001</x:v>
      </x:c>
      <x:c r="F109" s="25" t="str">
        <x:f>IF(E109="","",IFERROR(VLOOKUP(E109,'02 Skill Catalogue'!$A$6:$K$95,4,FALSE),"Skill ID not found"))</x:f>
        <x:v>Abnormality escalation and root-cause thinking</x:v>
      </x:c>
      <x:c r="G109" s="25" t="str">
        <x:f>IF(E109="","",IFERROR(VLOOKUP(E109,'02 Skill Catalogue'!$A$6:$K$95,3,FALSE),""))</x:f>
        <x:v>Problem Solving</x:v>
      </x:c>
      <x:c r="H109" s="24" t="str">
        <x:v>Essential</x:v>
      </x:c>
      <x:c r="I109" s="28" t="n">
        <x:v>0.125</x:v>
      </x:c>
      <x:c r="J109" s="24" t="n">
        <x:v>2</x:v>
      </x:c>
      <x:c r="K109" s="24" t="str">
        <x:v>No</x:v>
      </x:c>
      <x:c r="L109" s="24" t="n">
        <x:v>12</x:v>
      </x:c>
      <x:c r="M109" s="24" t="str">
        <x:v>Yes</x:v>
      </x:c>
      <x:c r="N109" s="24" t="str">
        <x:v>Engineering HOD</x:v>
      </x:c>
      <x:c r="O109" s="26" t="n">
        <x:v>46264</x:v>
      </x:c>
      <x:c r="P109" s="27" t="str">
        <x:v>Validate against current SBTG SOP/WI, machine, product and authority limits.</x:v>
      </x:c>
      <x:c r="Q109" s="29" t="n">
        <x:f>IF(OR(B109="",C109=""),"",SUMIFS($I$6:$I$285,$B$6:$B$285,B109,$C$6:$C$285,C109,$M$6:$M$285,"Yes"))</x:f>
        <x:v>1</x:v>
      </x:c>
      <x:c r="R109" s="25" t="str">
        <x:f>IF(A109="","",IF(ABS(Q109-1)&lt;0.0001,"Ready","Review Weight"))</x:f>
        <x:v>Ready</x:v>
      </x:c>
    </x:row>
    <x:row r="110">
      <x:c r="A110" s="25" t="str">
        <x:f>IF(OR(B110="",C110="",E110=""),"",B110&amp;"|"&amp;C110&amp;"|"&amp;E110)</x:f>
        <x:v>Engineering|Engineering Helper|CORE-SAF-001</x:v>
      </x:c>
      <x:c r="B110" s="24" t="str">
        <x:v>Engineering</x:v>
      </x:c>
      <x:c r="C110" s="24" t="str">
        <x:v>Engineering Helper</x:v>
      </x:c>
      <x:c r="D110" s="24" t="str">
        <x:v>Helper/Trainee</x:v>
      </x:c>
      <x:c r="E110" s="24" t="str">
        <x:v>CORE-SAF-001</x:v>
      </x:c>
      <x:c r="F110" s="25" t="str">
        <x:f>IF(E110="","",IFERROR(VLOOKUP(E110,'02 Skill Catalogue'!$A$6:$K$95,4,FALSE),"Skill ID not found"))</x:f>
        <x:v>Safe work, PPE and hazard control</x:v>
      </x:c>
      <x:c r="G110" s="25" t="str">
        <x:f>IF(E110="","",IFERROR(VLOOKUP(E110,'02 Skill Catalogue'!$A$6:$K$95,3,FALSE),""))</x:f>
        <x:v>Safety</x:v>
      </x:c>
      <x:c r="H110" s="24" t="str">
        <x:v>Critical</x:v>
      </x:c>
      <x:c r="I110" s="28" t="n">
        <x:v>0.125</x:v>
      </x:c>
      <x:c r="J110" s="24" t="n">
        <x:v>2</x:v>
      </x:c>
      <x:c r="K110" s="24" t="str">
        <x:v>No</x:v>
      </x:c>
      <x:c r="L110" s="24" t="n">
        <x:v>12</x:v>
      </x:c>
      <x:c r="M110" s="24" t="str">
        <x:v>Yes</x:v>
      </x:c>
      <x:c r="N110" s="24" t="str">
        <x:v>Engineering HOD</x:v>
      </x:c>
      <x:c r="O110" s="26" t="n">
        <x:v>46264</x:v>
      </x:c>
      <x:c r="P110" s="27" t="str">
        <x:v>Validate against current SBTG SOP/WI, machine, product and authority limits.</x:v>
      </x:c>
      <x:c r="Q110" s="29" t="n">
        <x:f>IF(OR(B110="",C110=""),"",SUMIFS($I$6:$I$285,$B$6:$B$285,B110,$C$6:$C$285,C110,$M$6:$M$285,"Yes"))</x:f>
        <x:v>1</x:v>
      </x:c>
      <x:c r="R110" s="25" t="str">
        <x:f>IF(A110="","",IF(ABS(Q110-1)&lt;0.0001,"Ready","Review Weight"))</x:f>
        <x:v>Ready</x:v>
      </x:c>
    </x:row>
    <x:row r="111">
      <x:c r="A111" s="25" t="str">
        <x:f>IF(OR(B111="",C111="",E111=""),"",B111&amp;"|"&amp;C111&amp;"|"&amp;E111)</x:f>
        <x:v>Engineering|Engineering Helper|CORE-QUAL-001</x:v>
      </x:c>
      <x:c r="B111" s="24" t="str">
        <x:v>Engineering</x:v>
      </x:c>
      <x:c r="C111" s="24" t="str">
        <x:v>Engineering Helper</x:v>
      </x:c>
      <x:c r="D111" s="24" t="str">
        <x:v>Helper/Trainee</x:v>
      </x:c>
      <x:c r="E111" s="24" t="str">
        <x:v>CORE-QUAL-001</x:v>
      </x:c>
      <x:c r="F111" s="25" t="str">
        <x:f>IF(E111="","",IFERROR(VLOOKUP(E111,'02 Skill Catalogue'!$A$6:$K$95,4,FALSE),"Skill ID not found"))</x:f>
        <x:v>SOP and work-instruction discipline</x:v>
      </x:c>
      <x:c r="G111" s="25" t="str">
        <x:f>IF(E111="","",IFERROR(VLOOKUP(E111,'02 Skill Catalogue'!$A$6:$K$95,3,FALSE),""))</x:f>
        <x:v>Quality</x:v>
      </x:c>
      <x:c r="H111" s="24" t="str">
        <x:v>Critical</x:v>
      </x:c>
      <x:c r="I111" s="28" t="n">
        <x:v>0.125</x:v>
      </x:c>
      <x:c r="J111" s="24" t="n">
        <x:v>1</x:v>
      </x:c>
      <x:c r="K111" s="24" t="str">
        <x:v>No</x:v>
      </x:c>
      <x:c r="L111" s="24" t="n">
        <x:v>12</x:v>
      </x:c>
      <x:c r="M111" s="24" t="str">
        <x:v>Yes</x:v>
      </x:c>
      <x:c r="N111" s="24" t="str">
        <x:v>Engineering HOD</x:v>
      </x:c>
      <x:c r="O111" s="26" t="n">
        <x:v>46264</x:v>
      </x:c>
      <x:c r="P111" s="27" t="str">
        <x:v>Validate against current SBTG SOP/WI, machine, product and authority limits.</x:v>
      </x:c>
      <x:c r="Q111" s="29" t="n">
        <x:f>IF(OR(B111="",C111=""),"",SUMIFS($I$6:$I$285,$B$6:$B$285,B111,$C$6:$C$285,C111,$M$6:$M$285,"Yes"))</x:f>
        <x:v>1</x:v>
      </x:c>
      <x:c r="R111" s="25" t="str">
        <x:f>IF(A111="","",IF(ABS(Q111-1)&lt;0.0001,"Ready","Review Weight"))</x:f>
        <x:v>Ready</x:v>
      </x:c>
    </x:row>
    <x:row r="112">
      <x:c r="A112" s="25" t="str">
        <x:f>IF(OR(B112="",C112="",E112=""),"",B112&amp;"|"&amp;C112&amp;"|"&amp;E112)</x:f>
        <x:v>Engineering|Engineering Helper|CORE-DATA-001</x:v>
      </x:c>
      <x:c r="B112" s="24" t="str">
        <x:v>Engineering</x:v>
      </x:c>
      <x:c r="C112" s="24" t="str">
        <x:v>Engineering Helper</x:v>
      </x:c>
      <x:c r="D112" s="24" t="str">
        <x:v>Helper/Trainee</x:v>
      </x:c>
      <x:c r="E112" s="24" t="str">
        <x:v>CORE-DATA-001</x:v>
      </x:c>
      <x:c r="F112" s="25" t="str">
        <x:f>IF(E112="","",IFERROR(VLOOKUP(E112,'02 Skill Catalogue'!$A$6:$K$95,4,FALSE),"Skill ID not found"))</x:f>
        <x:v>Accurate operational data recording</x:v>
      </x:c>
      <x:c r="G112" s="25" t="str">
        <x:f>IF(E112="","",IFERROR(VLOOKUP(E112,'02 Skill Catalogue'!$A$6:$K$95,3,FALSE),""))</x:f>
        <x:v>Digital/Data/AI</x:v>
      </x:c>
      <x:c r="H112" s="24" t="str">
        <x:v>Essential</x:v>
      </x:c>
      <x:c r="I112" s="28" t="n">
        <x:v>0.125</x:v>
      </x:c>
      <x:c r="J112" s="24" t="n">
        <x:v>1</x:v>
      </x:c>
      <x:c r="K112" s="24" t="str">
        <x:v>No</x:v>
      </x:c>
      <x:c r="L112" s="24" t="n">
        <x:v>12</x:v>
      </x:c>
      <x:c r="M112" s="24" t="str">
        <x:v>Yes</x:v>
      </x:c>
      <x:c r="N112" s="24" t="str">
        <x:v>Engineering HOD</x:v>
      </x:c>
      <x:c r="O112" s="26" t="n">
        <x:v>46264</x:v>
      </x:c>
      <x:c r="P112" s="27" t="str">
        <x:v>Validate against current SBTG SOP/WI, machine, product and authority limits.</x:v>
      </x:c>
      <x:c r="Q112" s="29" t="n">
        <x:f>IF(OR(B112="",C112=""),"",SUMIFS($I$6:$I$285,$B$6:$B$285,B112,$C$6:$C$285,C112,$M$6:$M$285,"Yes"))</x:f>
        <x:v>1</x:v>
      </x:c>
      <x:c r="R112" s="25" t="str">
        <x:f>IF(A112="","",IF(ABS(Q112-1)&lt;0.0001,"Ready","Review Weight"))</x:f>
        <x:v>Ready</x:v>
      </x:c>
    </x:row>
    <x:row r="113">
      <x:c r="A113" s="25" t="str">
        <x:f>IF(OR(B113="",C113="",E113=""),"",B113&amp;"|"&amp;C113&amp;"|"&amp;E113)</x:f>
        <x:v>Engineering|Engineering Helper|CORE-5S-001</x:v>
      </x:c>
      <x:c r="B113" s="24" t="str">
        <x:v>Engineering</x:v>
      </x:c>
      <x:c r="C113" s="24" t="str">
        <x:v>Engineering Helper</x:v>
      </x:c>
      <x:c r="D113" s="24" t="str">
        <x:v>Helper/Trainee</x:v>
      </x:c>
      <x:c r="E113" s="24" t="str">
        <x:v>CORE-5S-001</x:v>
      </x:c>
      <x:c r="F113" s="25" t="str">
        <x:f>IF(E113="","",IFERROR(VLOOKUP(E113,'02 Skill Catalogue'!$A$6:$K$95,4,FALSE),"Skill ID not found"))</x:f>
        <x:v>5S and workplace ownership</x:v>
      </x:c>
      <x:c r="G113" s="25" t="str">
        <x:f>IF(E113="","",IFERROR(VLOOKUP(E113,'02 Skill Catalogue'!$A$6:$K$95,3,FALSE),""))</x:f>
        <x:v>Work Discipline</x:v>
      </x:c>
      <x:c r="H113" s="24" t="str">
        <x:v>Essential</x:v>
      </x:c>
      <x:c r="I113" s="28" t="n">
        <x:v>0.125</x:v>
      </x:c>
      <x:c r="J113" s="24" t="n">
        <x:v>2</x:v>
      </x:c>
      <x:c r="K113" s="24" t="str">
        <x:v>No</x:v>
      </x:c>
      <x:c r="L113" s="24" t="n">
        <x:v>12</x:v>
      </x:c>
      <x:c r="M113" s="24" t="str">
        <x:v>Yes</x:v>
      </x:c>
      <x:c r="N113" s="24" t="str">
        <x:v>Engineering HOD</x:v>
      </x:c>
      <x:c r="O113" s="26" t="n">
        <x:v>46264</x:v>
      </x:c>
      <x:c r="P113" s="27" t="str">
        <x:v>Validate against current SBTG SOP/WI, machine, product and authority limits.</x:v>
      </x:c>
      <x:c r="Q113" s="29" t="n">
        <x:f>IF(OR(B113="",C113=""),"",SUMIFS($I$6:$I$285,$B$6:$B$285,B113,$C$6:$C$285,C113,$M$6:$M$285,"Yes"))</x:f>
        <x:v>1</x:v>
      </x:c>
      <x:c r="R113" s="25" t="str">
        <x:f>IF(A113="","",IF(ABS(Q113-1)&lt;0.0001,"Ready","Review Weight"))</x:f>
        <x:v>Ready</x:v>
      </x:c>
    </x:row>
    <x:row r="114">
      <x:c r="A114" s="25" t="str">
        <x:f>IF(OR(B114="",C114="",E114=""),"",B114&amp;"|"&amp;C114&amp;"|"&amp;E114)</x:f>
        <x:v>Engineering|Engineering Helper|ENG-MECH-001</x:v>
      </x:c>
      <x:c r="B114" s="24" t="str">
        <x:v>Engineering</x:v>
      </x:c>
      <x:c r="C114" s="24" t="str">
        <x:v>Engineering Helper</x:v>
      </x:c>
      <x:c r="D114" s="24" t="str">
        <x:v>Helper/Trainee</x:v>
      </x:c>
      <x:c r="E114" s="24" t="str">
        <x:v>ENG-MECH-001</x:v>
      </x:c>
      <x:c r="F114" s="25" t="str">
        <x:f>IF(E114="","",IFERROR(VLOOKUP(E114,'02 Skill Catalogue'!$A$6:$K$95,4,FALSE),"Skill ID not found"))</x:f>
        <x:v>Mechanical diagnostics and repair</x:v>
      </x:c>
      <x:c r="G114" s="25" t="str">
        <x:f>IF(E114="","",IFERROR(VLOOKUP(E114,'02 Skill Catalogue'!$A$6:$K$95,3,FALSE),""))</x:f>
        <x:v>Machine/Equipment</x:v>
      </x:c>
      <x:c r="H114" s="24" t="str">
        <x:v>Critical</x:v>
      </x:c>
      <x:c r="I114" s="28" t="n">
        <x:v>0.125</x:v>
      </x:c>
      <x:c r="J114" s="24" t="n">
        <x:v>1</x:v>
      </x:c>
      <x:c r="K114" s="24" t="str">
        <x:v>No</x:v>
      </x:c>
      <x:c r="L114" s="24" t="n">
        <x:v>12</x:v>
      </x:c>
      <x:c r="M114" s="24" t="str">
        <x:v>Yes</x:v>
      </x:c>
      <x:c r="N114" s="24" t="str">
        <x:v>Engineering HOD</x:v>
      </x:c>
      <x:c r="O114" s="26" t="n">
        <x:v>46264</x:v>
      </x:c>
      <x:c r="P114" s="27" t="str">
        <x:v>Validate against current SBTG SOP/WI, machine, product and authority limits.</x:v>
      </x:c>
      <x:c r="Q114" s="29" t="n">
        <x:f>IF(OR(B114="",C114=""),"",SUMIFS($I$6:$I$285,$B$6:$B$285,B114,$C$6:$C$285,C114,$M$6:$M$285,"Yes"))</x:f>
        <x:v>1</x:v>
      </x:c>
      <x:c r="R114" s="25" t="str">
        <x:f>IF(A114="","",IF(ABS(Q114-1)&lt;0.0001,"Ready","Review Weight"))</x:f>
        <x:v>Ready</x:v>
      </x:c>
    </x:row>
    <x:row r="115">
      <x:c r="A115" s="25" t="str">
        <x:f>IF(OR(B115="",C115="",E115=""),"",B115&amp;"|"&amp;C115&amp;"|"&amp;E115)</x:f>
        <x:v>Engineering|Engineering Helper|ENG-PM-004</x:v>
      </x:c>
      <x:c r="B115" s="24" t="str">
        <x:v>Engineering</x:v>
      </x:c>
      <x:c r="C115" s="24" t="str">
        <x:v>Engineering Helper</x:v>
      </x:c>
      <x:c r="D115" s="24" t="str">
        <x:v>Helper/Trainee</x:v>
      </x:c>
      <x:c r="E115" s="24" t="str">
        <x:v>ENG-PM-004</x:v>
      </x:c>
      <x:c r="F115" s="25" t="str">
        <x:f>IF(E115="","",IFERROR(VLOOKUP(E115,'02 Skill Catalogue'!$A$6:$K$95,4,FALSE),"Skill ID not found"))</x:f>
        <x:v>Planned maintenance execution</x:v>
      </x:c>
      <x:c r="G115" s="25" t="str">
        <x:f>IF(E115="","",IFERROR(VLOOKUP(E115,'02 Skill Catalogue'!$A$6:$K$95,3,FALSE),""))</x:f>
        <x:v>Machine/Equipment</x:v>
      </x:c>
      <x:c r="H115" s="24" t="str">
        <x:v>Critical</x:v>
      </x:c>
      <x:c r="I115" s="28" t="n">
        <x:v>0.125</x:v>
      </x:c>
      <x:c r="J115" s="24" t="n">
        <x:v>1</x:v>
      </x:c>
      <x:c r="K115" s="24" t="str">
        <x:v>No</x:v>
      </x:c>
      <x:c r="L115" s="24" t="n">
        <x:v>12</x:v>
      </x:c>
      <x:c r="M115" s="24" t="str">
        <x:v>Yes</x:v>
      </x:c>
      <x:c r="N115" s="24" t="str">
        <x:v>Engineering HOD</x:v>
      </x:c>
      <x:c r="O115" s="26" t="n">
        <x:v>46264</x:v>
      </x:c>
      <x:c r="P115" s="27" t="str">
        <x:v>Validate against current SBTG SOP/WI, machine, product and authority limits.</x:v>
      </x:c>
      <x:c r="Q115" s="29" t="n">
        <x:f>IF(OR(B115="",C115=""),"",SUMIFS($I$6:$I$285,$B$6:$B$285,B115,$C$6:$C$285,C115,$M$6:$M$285,"Yes"))</x:f>
        <x:v>1</x:v>
      </x:c>
      <x:c r="R115" s="25" t="str">
        <x:f>IF(A115="","",IF(ABS(Q115-1)&lt;0.0001,"Ready","Review Weight"))</x:f>
        <x:v>Ready</x:v>
      </x:c>
    </x:row>
    <x:row r="116">
      <x:c r="A116" s="25" t="str">
        <x:f>IF(OR(B116="",C116="",E116=""),"",B116&amp;"|"&amp;C116&amp;"|"&amp;E116)</x:f>
        <x:v>Engineering|Engineering Helper|ENG-CMMS-009</x:v>
      </x:c>
      <x:c r="B116" s="24" t="str">
        <x:v>Engineering</x:v>
      </x:c>
      <x:c r="C116" s="24" t="str">
        <x:v>Engineering Helper</x:v>
      </x:c>
      <x:c r="D116" s="24" t="str">
        <x:v>Helper/Trainee</x:v>
      </x:c>
      <x:c r="E116" s="24" t="str">
        <x:v>ENG-CMMS-009</x:v>
      </x:c>
      <x:c r="F116" s="25" t="str">
        <x:f>IF(E116="","",IFERROR(VLOOKUP(E116,'02 Skill Catalogue'!$A$6:$K$95,4,FALSE),"Skill ID not found"))</x:f>
        <x:v>Maintenance data and CMMS discipline</x:v>
      </x:c>
      <x:c r="G116" s="25" t="str">
        <x:f>IF(E116="","",IFERROR(VLOOKUP(E116,'02 Skill Catalogue'!$A$6:$K$95,3,FALSE),""))</x:f>
        <x:v>Digital/Data/AI</x:v>
      </x:c>
      <x:c r="H116" s="24" t="str">
        <x:v>Development</x:v>
      </x:c>
      <x:c r="I116" s="28" t="n">
        <x:v>0.125</x:v>
      </x:c>
      <x:c r="J116" s="24" t="n">
        <x:v>1</x:v>
      </x:c>
      <x:c r="K116" s="24" t="str">
        <x:v>No</x:v>
      </x:c>
      <x:c r="L116" s="24" t="n">
        <x:v>12</x:v>
      </x:c>
      <x:c r="M116" s="24" t="str">
        <x:v>Yes</x:v>
      </x:c>
      <x:c r="N116" s="24" t="str">
        <x:v>Engineering HOD</x:v>
      </x:c>
      <x:c r="O116" s="26" t="n">
        <x:v>46264</x:v>
      </x:c>
      <x:c r="P116" s="27" t="str">
        <x:v>Validate against current SBTG SOP/WI, machine, product and authority limits.</x:v>
      </x:c>
      <x:c r="Q116" s="29" t="n">
        <x:f>IF(OR(B116="",C116=""),"",SUMIFS($I$6:$I$285,$B$6:$B$285,B116,$C$6:$C$285,C116,$M$6:$M$285,"Yes"))</x:f>
        <x:v>1</x:v>
      </x:c>
      <x:c r="R116" s="25" t="str">
        <x:f>IF(A116="","",IF(ABS(Q116-1)&lt;0.0001,"Ready","Review Weight"))</x:f>
        <x:v>Ready</x:v>
      </x:c>
    </x:row>
    <x:row r="117">
      <x:c r="A117" s="25" t="str">
        <x:f>IF(OR(B117="",C117="",E117=""),"",B117&amp;"|"&amp;C117&amp;"|"&amp;E117)</x:f>
        <x:v>Engineering|Engineering Helper|CORE-PROB-001</x:v>
      </x:c>
      <x:c r="B117" s="24" t="str">
        <x:v>Engineering</x:v>
      </x:c>
      <x:c r="C117" s="24" t="str">
        <x:v>Engineering Helper</x:v>
      </x:c>
      <x:c r="D117" s="24" t="str">
        <x:v>Helper/Trainee</x:v>
      </x:c>
      <x:c r="E117" s="24" t="str">
        <x:v>CORE-PROB-001</x:v>
      </x:c>
      <x:c r="F117" s="25" t="str">
        <x:f>IF(E117="","",IFERROR(VLOOKUP(E117,'02 Skill Catalogue'!$A$6:$K$95,4,FALSE),"Skill ID not found"))</x:f>
        <x:v>Abnormality escalation and root-cause thinking</x:v>
      </x:c>
      <x:c r="G117" s="25" t="str">
        <x:f>IF(E117="","",IFERROR(VLOOKUP(E117,'02 Skill Catalogue'!$A$6:$K$95,3,FALSE),""))</x:f>
        <x:v>Problem Solving</x:v>
      </x:c>
      <x:c r="H117" s="24" t="str">
        <x:v>Development</x:v>
      </x:c>
      <x:c r="I117" s="28" t="n">
        <x:v>0.125</x:v>
      </x:c>
      <x:c r="J117" s="24" t="n">
        <x:v>1</x:v>
      </x:c>
      <x:c r="K117" s="24" t="str">
        <x:v>No</x:v>
      </x:c>
      <x:c r="L117" s="24" t="n">
        <x:v>12</x:v>
      </x:c>
      <x:c r="M117" s="24" t="str">
        <x:v>Yes</x:v>
      </x:c>
      <x:c r="N117" s="24" t="str">
        <x:v>Engineering HOD</x:v>
      </x:c>
      <x:c r="O117" s="26" t="n">
        <x:v>46264</x:v>
      </x:c>
      <x:c r="P117" s="27" t="str">
        <x:v>Validate against current SBTG SOP/WI, machine, product and authority limits.</x:v>
      </x:c>
      <x:c r="Q117" s="29" t="n">
        <x:f>IF(OR(B117="",C117=""),"",SUMIFS($I$6:$I$285,$B$6:$B$285,B117,$C$6:$C$285,C117,$M$6:$M$285,"Yes"))</x:f>
        <x:v>1</x:v>
      </x:c>
      <x:c r="R117" s="25" t="str">
        <x:f>IF(A117="","",IF(ABS(Q117-1)&lt;0.0001,"Ready","Review Weight"))</x:f>
        <x:v>Ready</x:v>
      </x:c>
    </x:row>
    <x:row r="118">
      <x:c r="A118" s="25" t="str">
        <x:f>IF(OR(B118="",C118="",E118=""),"",B118&amp;"|"&amp;C118&amp;"|"&amp;E118)</x:f>
        <x:v>QAC/R&amp;D|QAC/R&amp;D HOD / Manager|CORE-SAF-001</x:v>
      </x:c>
      <x:c r="B118" s="24" t="str">
        <x:v>QAC/R&amp;D</x:v>
      </x:c>
      <x:c r="C118" s="24" t="str">
        <x:v>QAC/R&amp;D HOD / Manager</x:v>
      </x:c>
      <x:c r="D118" s="24" t="str">
        <x:v>Leader</x:v>
      </x:c>
      <x:c r="E118" s="24" t="str">
        <x:v>CORE-SAF-001</x:v>
      </x:c>
      <x:c r="F118" s="25" t="str">
        <x:f>IF(E118="","",IFERROR(VLOOKUP(E118,'02 Skill Catalogue'!$A$6:$K$95,4,FALSE),"Skill ID not found"))</x:f>
        <x:v>Safe work, PPE and hazard control</x:v>
      </x:c>
      <x:c r="G118" s="25" t="str">
        <x:f>IF(E118="","",IFERROR(VLOOKUP(E118,'02 Skill Catalogue'!$A$6:$K$95,3,FALSE),""))</x:f>
        <x:v>Safety</x:v>
      </x:c>
      <x:c r="H118" s="24" t="str">
        <x:v>Critical</x:v>
      </x:c>
      <x:c r="I118" s="28" t="n">
        <x:v>0.125</x:v>
      </x:c>
      <x:c r="J118" s="24" t="n">
        <x:v>4</x:v>
      </x:c>
      <x:c r="K118" s="24" t="str">
        <x:v>No</x:v>
      </x:c>
      <x:c r="L118" s="24" t="n">
        <x:v>12</x:v>
      </x:c>
      <x:c r="M118" s="24" t="str">
        <x:v>Yes</x:v>
      </x:c>
      <x:c r="N118" s="24" t="str">
        <x:v>QAC/R&amp;D HOD</x:v>
      </x:c>
      <x:c r="O118" s="26" t="n">
        <x:v>46264</x:v>
      </x:c>
      <x:c r="P118" s="27" t="str">
        <x:v>Validate against current SBTG SOP/WI, machine, product and authority limits.</x:v>
      </x:c>
      <x:c r="Q118" s="29" t="n">
        <x:f>IF(OR(B118="",C118=""),"",SUMIFS($I$6:$I$285,$B$6:$B$285,B118,$C$6:$C$285,C118,$M$6:$M$285,"Yes"))</x:f>
        <x:v>1</x:v>
      </x:c>
      <x:c r="R118" s="25" t="str">
        <x:f>IF(A118="","",IF(ABS(Q118-1)&lt;0.0001,"Ready","Review Weight"))</x:f>
        <x:v>Ready</x:v>
      </x:c>
    </x:row>
    <x:row r="119">
      <x:c r="A119" s="25" t="str">
        <x:f>IF(OR(B119="",C119="",E119=""),"",B119&amp;"|"&amp;C119&amp;"|"&amp;E119)</x:f>
        <x:v>QAC/R&amp;D|QAC/R&amp;D HOD / Manager|CORE-QUAL-001</x:v>
      </x:c>
      <x:c r="B119" s="24" t="str">
        <x:v>QAC/R&amp;D</x:v>
      </x:c>
      <x:c r="C119" s="24" t="str">
        <x:v>QAC/R&amp;D HOD / Manager</x:v>
      </x:c>
      <x:c r="D119" s="24" t="str">
        <x:v>Leader</x:v>
      </x:c>
      <x:c r="E119" s="24" t="str">
        <x:v>CORE-QUAL-001</x:v>
      </x:c>
      <x:c r="F119" s="25" t="str">
        <x:f>IF(E119="","",IFERROR(VLOOKUP(E119,'02 Skill Catalogue'!$A$6:$K$95,4,FALSE),"Skill ID not found"))</x:f>
        <x:v>SOP and work-instruction discipline</x:v>
      </x:c>
      <x:c r="G119" s="25" t="str">
        <x:f>IF(E119="","",IFERROR(VLOOKUP(E119,'02 Skill Catalogue'!$A$6:$K$95,3,FALSE),""))</x:f>
        <x:v>Quality</x:v>
      </x:c>
      <x:c r="H119" s="24" t="str">
        <x:v>Critical</x:v>
      </x:c>
      <x:c r="I119" s="28" t="n">
        <x:v>0.125</x:v>
      </x:c>
      <x:c r="J119" s="24" t="n">
        <x:v>5</x:v>
      </x:c>
      <x:c r="K119" s="24" t="str">
        <x:v>No</x:v>
      </x:c>
      <x:c r="L119" s="24" t="n">
        <x:v>12</x:v>
      </x:c>
      <x:c r="M119" s="24" t="str">
        <x:v>Yes</x:v>
      </x:c>
      <x:c r="N119" s="24" t="str">
        <x:v>QAC/R&amp;D HOD</x:v>
      </x:c>
      <x:c r="O119" s="26" t="n">
        <x:v>46264</x:v>
      </x:c>
      <x:c r="P119" s="27" t="str">
        <x:v>Validate against current SBTG SOP/WI, machine, product and authority limits.</x:v>
      </x:c>
      <x:c r="Q119" s="29" t="n">
        <x:f>IF(OR(B119="",C119=""),"",SUMIFS($I$6:$I$285,$B$6:$B$285,B119,$C$6:$C$285,C119,$M$6:$M$285,"Yes"))</x:f>
        <x:v>1</x:v>
      </x:c>
      <x:c r="R119" s="25" t="str">
        <x:f>IF(A119="","",IF(ABS(Q119-1)&lt;0.0001,"Ready","Review Weight"))</x:f>
        <x:v>Ready</x:v>
      </x:c>
    </x:row>
    <x:row r="120">
      <x:c r="A120" s="25" t="str">
        <x:f>IF(OR(B120="",C120="",E120=""),"",B120&amp;"|"&amp;C120&amp;"|"&amp;E120)</x:f>
        <x:v>QAC/R&amp;D|QAC/R&amp;D HOD / Manager|CORE-DATA-001</x:v>
      </x:c>
      <x:c r="B120" s="24" t="str">
        <x:v>QAC/R&amp;D</x:v>
      </x:c>
      <x:c r="C120" s="24" t="str">
        <x:v>QAC/R&amp;D HOD / Manager</x:v>
      </x:c>
      <x:c r="D120" s="24" t="str">
        <x:v>Leader</x:v>
      </x:c>
      <x:c r="E120" s="24" t="str">
        <x:v>CORE-DATA-001</x:v>
      </x:c>
      <x:c r="F120" s="25" t="str">
        <x:f>IF(E120="","",IFERROR(VLOOKUP(E120,'02 Skill Catalogue'!$A$6:$K$95,4,FALSE),"Skill ID not found"))</x:f>
        <x:v>Accurate operational data recording</x:v>
      </x:c>
      <x:c r="G120" s="25" t="str">
        <x:f>IF(E120="","",IFERROR(VLOOKUP(E120,'02 Skill Catalogue'!$A$6:$K$95,3,FALSE),""))</x:f>
        <x:v>Digital/Data/AI</x:v>
      </x:c>
      <x:c r="H120" s="24" t="str">
        <x:v>Critical</x:v>
      </x:c>
      <x:c r="I120" s="28" t="n">
        <x:v>0.125</x:v>
      </x:c>
      <x:c r="J120" s="24" t="n">
        <x:v>4</x:v>
      </x:c>
      <x:c r="K120" s="24" t="str">
        <x:v>No</x:v>
      </x:c>
      <x:c r="L120" s="24" t="n">
        <x:v>12</x:v>
      </x:c>
      <x:c r="M120" s="24" t="str">
        <x:v>Yes</x:v>
      </x:c>
      <x:c r="N120" s="24" t="str">
        <x:v>QAC/R&amp;D HOD</x:v>
      </x:c>
      <x:c r="O120" s="26" t="n">
        <x:v>46264</x:v>
      </x:c>
      <x:c r="P120" s="27" t="str">
        <x:v>Validate against current SBTG SOP/WI, machine, product and authority limits.</x:v>
      </x:c>
      <x:c r="Q120" s="29" t="n">
        <x:f>IF(OR(B120="",C120=""),"",SUMIFS($I$6:$I$285,$B$6:$B$285,B120,$C$6:$C$285,C120,$M$6:$M$285,"Yes"))</x:f>
        <x:v>1</x:v>
      </x:c>
      <x:c r="R120" s="25" t="str">
        <x:f>IF(A120="","",IF(ABS(Q120-1)&lt;0.0001,"Ready","Review Weight"))</x:f>
        <x:v>Ready</x:v>
      </x:c>
    </x:row>
    <x:row r="121">
      <x:c r="A121" s="25" t="str">
        <x:f>IF(OR(B121="",C121="",E121=""),"",B121&amp;"|"&amp;C121&amp;"|"&amp;E121)</x:f>
        <x:v>QAC/R&amp;D|QAC/R&amp;D HOD / Manager|QAC-RELEASE-005</x:v>
      </x:c>
      <x:c r="B121" s="24" t="str">
        <x:v>QAC/R&amp;D</x:v>
      </x:c>
      <x:c r="C121" s="24" t="str">
        <x:v>QAC/R&amp;D HOD / Manager</x:v>
      </x:c>
      <x:c r="D121" s="24" t="str">
        <x:v>Leader</x:v>
      </x:c>
      <x:c r="E121" s="24" t="str">
        <x:v>QAC-RELEASE-005</x:v>
      </x:c>
      <x:c r="F121" s="25" t="str">
        <x:f>IF(E121="","",IFERROR(VLOOKUP(E121,'02 Skill Catalogue'!$A$6:$K$95,4,FALSE),"Skill ID not found"))</x:f>
        <x:v>Product release, hold and concession control</x:v>
      </x:c>
      <x:c r="G121" s="25" t="str">
        <x:f>IF(E121="","",IFERROR(VLOOKUP(E121,'02 Skill Catalogue'!$A$6:$K$95,3,FALSE),""))</x:f>
        <x:v>Quality</x:v>
      </x:c>
      <x:c r="H121" s="24" t="str">
        <x:v>Critical</x:v>
      </x:c>
      <x:c r="I121" s="28" t="n">
        <x:v>0.125</x:v>
      </x:c>
      <x:c r="J121" s="24" t="n">
        <x:v>5</x:v>
      </x:c>
      <x:c r="K121" s="24" t="str">
        <x:v>No</x:v>
      </x:c>
      <x:c r="L121" s="24" t="n">
        <x:v>12</x:v>
      </x:c>
      <x:c r="M121" s="24" t="str">
        <x:v>Yes</x:v>
      </x:c>
      <x:c r="N121" s="24" t="str">
        <x:v>QAC/R&amp;D HOD</x:v>
      </x:c>
      <x:c r="O121" s="26" t="n">
        <x:v>46264</x:v>
      </x:c>
      <x:c r="P121" s="27" t="str">
        <x:v>Validate against current SBTG SOP/WI, machine, product and authority limits.</x:v>
      </x:c>
      <x:c r="Q121" s="29" t="n">
        <x:f>IF(OR(B121="",C121=""),"",SUMIFS($I$6:$I$285,$B$6:$B$285,B121,$C$6:$C$285,C121,$M$6:$M$285,"Yes"))</x:f>
        <x:v>1</x:v>
      </x:c>
      <x:c r="R121" s="25" t="str">
        <x:f>IF(A121="","",IF(ABS(Q121-1)&lt;0.0001,"Ready","Review Weight"))</x:f>
        <x:v>Ready</x:v>
      </x:c>
    </x:row>
    <x:row r="122">
      <x:c r="A122" s="25" t="str">
        <x:f>IF(OR(B122="",C122="",E122=""),"",B122&amp;"|"&amp;C122&amp;"|"&amp;E122)</x:f>
        <x:v>QAC/R&amp;D|QAC/R&amp;D HOD / Manager|QAC-RCA-006</x:v>
      </x:c>
      <x:c r="B122" s="24" t="str">
        <x:v>QAC/R&amp;D</x:v>
      </x:c>
      <x:c r="C122" s="24" t="str">
        <x:v>QAC/R&amp;D HOD / Manager</x:v>
      </x:c>
      <x:c r="D122" s="24" t="str">
        <x:v>Leader</x:v>
      </x:c>
      <x:c r="E122" s="24" t="str">
        <x:v>QAC-RCA-006</x:v>
      </x:c>
      <x:c r="F122" s="25" t="str">
        <x:f>IF(E122="","",IFERROR(VLOOKUP(E122,'02 Skill Catalogue'!$A$6:$K$95,4,FALSE),"Skill ID not found"))</x:f>
        <x:v>Technical root cause and CAPA</x:v>
      </x:c>
      <x:c r="G122" s="25" t="str">
        <x:f>IF(E122="","",IFERROR(VLOOKUP(E122,'02 Skill Catalogue'!$A$6:$K$95,3,FALSE),""))</x:f>
        <x:v>Problem Solving</x:v>
      </x:c>
      <x:c r="H122" s="24" t="str">
        <x:v>Critical</x:v>
      </x:c>
      <x:c r="I122" s="28" t="n">
        <x:v>0.125</x:v>
      </x:c>
      <x:c r="J122" s="24" t="n">
        <x:v>4</x:v>
      </x:c>
      <x:c r="K122" s="24" t="str">
        <x:v>No</x:v>
      </x:c>
      <x:c r="L122" s="24" t="n">
        <x:v>12</x:v>
      </x:c>
      <x:c r="M122" s="24" t="str">
        <x:v>Yes</x:v>
      </x:c>
      <x:c r="N122" s="24" t="str">
        <x:v>QAC/R&amp;D HOD</x:v>
      </x:c>
      <x:c r="O122" s="26" t="n">
        <x:v>46264</x:v>
      </x:c>
      <x:c r="P122" s="27" t="str">
        <x:v>Validate against current SBTG SOP/WI, machine, product and authority limits.</x:v>
      </x:c>
      <x:c r="Q122" s="29" t="n">
        <x:f>IF(OR(B122="",C122=""),"",SUMIFS($I$6:$I$285,$B$6:$B$285,B122,$C$6:$C$285,C122,$M$6:$M$285,"Yes"))</x:f>
        <x:v>1</x:v>
      </x:c>
      <x:c r="R122" s="25" t="str">
        <x:f>IF(A122="","",IF(ABS(Q122-1)&lt;0.0001,"Ready","Review Weight"))</x:f>
        <x:v>Ready</x:v>
      </x:c>
    </x:row>
    <x:row r="123">
      <x:c r="A123" s="25" t="str">
        <x:f>IF(OR(B123="",C123="",E123=""),"",B123&amp;"|"&amp;C123&amp;"|"&amp;E123)</x:f>
        <x:v>QAC/R&amp;D|QAC/R&amp;D HOD / Manager|RND-FORM-007</x:v>
      </x:c>
      <x:c r="B123" s="24" t="str">
        <x:v>QAC/R&amp;D</x:v>
      </x:c>
      <x:c r="C123" s="24" t="str">
        <x:v>QAC/R&amp;D HOD / Manager</x:v>
      </x:c>
      <x:c r="D123" s="24" t="str">
        <x:v>Leader</x:v>
      </x:c>
      <x:c r="E123" s="24" t="str">
        <x:v>RND-FORM-007</x:v>
      </x:c>
      <x:c r="F123" s="25" t="str">
        <x:f>IF(E123="","",IFERROR(VLOOKUP(E123,'02 Skill Catalogue'!$A$6:$K$95,4,FALSE),"Skill ID not found"))</x:f>
        <x:v>Adhesive, film and tape construction knowledge</x:v>
      </x:c>
      <x:c r="G123" s="25" t="str">
        <x:f>IF(E123="","",IFERROR(VLOOKUP(E123,'02 Skill Catalogue'!$A$6:$K$95,3,FALSE),""))</x:f>
        <x:v>Process/Technical</x:v>
      </x:c>
      <x:c r="H123" s="24" t="str">
        <x:v>Critical</x:v>
      </x:c>
      <x:c r="I123" s="28" t="n">
        <x:v>0.125</x:v>
      </x:c>
      <x:c r="J123" s="24" t="n">
        <x:v>4</x:v>
      </x:c>
      <x:c r="K123" s="24" t="str">
        <x:v>No</x:v>
      </x:c>
      <x:c r="L123" s="24" t="n">
        <x:v>12</x:v>
      </x:c>
      <x:c r="M123" s="24" t="str">
        <x:v>Yes</x:v>
      </x:c>
      <x:c r="N123" s="24" t="str">
        <x:v>QAC/R&amp;D HOD</x:v>
      </x:c>
      <x:c r="O123" s="26" t="n">
        <x:v>46264</x:v>
      </x:c>
      <x:c r="P123" s="27" t="str">
        <x:v>Validate against current SBTG SOP/WI, machine, product and authority limits.</x:v>
      </x:c>
      <x:c r="Q123" s="29" t="n">
        <x:f>IF(OR(B123="",C123=""),"",SUMIFS($I$6:$I$285,$B$6:$B$285,B123,$C$6:$C$285,C123,$M$6:$M$285,"Yes"))</x:f>
        <x:v>1</x:v>
      </x:c>
      <x:c r="R123" s="25" t="str">
        <x:f>IF(A123="","",IF(ABS(Q123-1)&lt;0.0001,"Ready","Review Weight"))</x:f>
        <x:v>Ready</x:v>
      </x:c>
    </x:row>
    <x:row r="124">
      <x:c r="A124" s="25" t="str">
        <x:f>IF(OR(B124="",C124="",E124=""),"",B124&amp;"|"&amp;C124&amp;"|"&amp;E124)</x:f>
        <x:v>QAC/R&amp;D|QAC/R&amp;D HOD / Manager|LEAD-SYS-001</x:v>
      </x:c>
      <x:c r="B124" s="24" t="str">
        <x:v>QAC/R&amp;D</x:v>
      </x:c>
      <x:c r="C124" s="24" t="str">
        <x:v>QAC/R&amp;D HOD / Manager</x:v>
      </x:c>
      <x:c r="D124" s="24" t="str">
        <x:v>Leader</x:v>
      </x:c>
      <x:c r="E124" s="24" t="str">
        <x:v>LEAD-SYS-001</x:v>
      </x:c>
      <x:c r="F124" s="25" t="str">
        <x:f>IF(E124="","",IFERROR(VLOOKUP(E124,'02 Skill Catalogue'!$A$6:$K$95,4,FALSE),"Skill ID not found"))</x:f>
        <x:v>Process standardisation and system building</x:v>
      </x:c>
      <x:c r="G124" s="25" t="str">
        <x:f>IF(E124="","",IFERROR(VLOOKUP(E124,'02 Skill Catalogue'!$A$6:$K$95,3,FALSE),""))</x:f>
        <x:v>Leadership</x:v>
      </x:c>
      <x:c r="H124" s="24" t="str">
        <x:v>Essential</x:v>
      </x:c>
      <x:c r="I124" s="28" t="n">
        <x:v>0.125</x:v>
      </x:c>
      <x:c r="J124" s="24" t="n">
        <x:v>4</x:v>
      </x:c>
      <x:c r="K124" s="24" t="str">
        <x:v>No</x:v>
      </x:c>
      <x:c r="L124" s="24" t="n">
        <x:v>12</x:v>
      </x:c>
      <x:c r="M124" s="24" t="str">
        <x:v>Yes</x:v>
      </x:c>
      <x:c r="N124" s="24" t="str">
        <x:v>QAC/R&amp;D HOD</x:v>
      </x:c>
      <x:c r="O124" s="26" t="n">
        <x:v>46264</x:v>
      </x:c>
      <x:c r="P124" s="27" t="str">
        <x:v>Validate against current SBTG SOP/WI, machine, product and authority limits.</x:v>
      </x:c>
      <x:c r="Q124" s="29" t="n">
        <x:f>IF(OR(B124="",C124=""),"",SUMIFS($I$6:$I$285,$B$6:$B$285,B124,$C$6:$C$285,C124,$M$6:$M$285,"Yes"))</x:f>
        <x:v>1</x:v>
      </x:c>
      <x:c r="R124" s="25" t="str">
        <x:f>IF(A124="","",IF(ABS(Q124-1)&lt;0.0001,"Ready","Review Weight"))</x:f>
        <x:v>Ready</x:v>
      </x:c>
    </x:row>
    <x:row r="125">
      <x:c r="A125" s="25" t="str">
        <x:f>IF(OR(B125="",C125="",E125=""),"",B125&amp;"|"&amp;C125&amp;"|"&amp;E125)</x:f>
        <x:v>QAC/R&amp;D|QAC/R&amp;D HOD / Manager|LEAD-VALUE-003</x:v>
      </x:c>
      <x:c r="B125" s="24" t="str">
        <x:v>QAC/R&amp;D</x:v>
      </x:c>
      <x:c r="C125" s="24" t="str">
        <x:v>QAC/R&amp;D HOD / Manager</x:v>
      </x:c>
      <x:c r="D125" s="24" t="str">
        <x:v>Leader</x:v>
      </x:c>
      <x:c r="E125" s="24" t="str">
        <x:v>LEAD-VALUE-003</x:v>
      </x:c>
      <x:c r="F125" s="25" t="str">
        <x:f>IF(E125="","",IFERROR(VLOOKUP(E125,'02 Skill Catalogue'!$A$6:$K$95,4,FALSE),"Skill ID not found"))</x:f>
        <x:v>KPI ownership and value creation</x:v>
      </x:c>
      <x:c r="G125" s="25" t="str">
        <x:f>IF(E125="","",IFERROR(VLOOKUP(E125,'02 Skill Catalogue'!$A$6:$K$95,3,FALSE),""))</x:f>
        <x:v>Leadership</x:v>
      </x:c>
      <x:c r="H125" s="24" t="str">
        <x:v>Essential</x:v>
      </x:c>
      <x:c r="I125" s="28" t="n">
        <x:v>0.125</x:v>
      </x:c>
      <x:c r="J125" s="24" t="n">
        <x:v>4</x:v>
      </x:c>
      <x:c r="K125" s="24" t="str">
        <x:v>No</x:v>
      </x:c>
      <x:c r="L125" s="24" t="n">
        <x:v>12</x:v>
      </x:c>
      <x:c r="M125" s="24" t="str">
        <x:v>Yes</x:v>
      </x:c>
      <x:c r="N125" s="24" t="str">
        <x:v>QAC/R&amp;D HOD</x:v>
      </x:c>
      <x:c r="O125" s="26" t="n">
        <x:v>46264</x:v>
      </x:c>
      <x:c r="P125" s="27" t="str">
        <x:v>Validate against current SBTG SOP/WI, machine, product and authority limits.</x:v>
      </x:c>
      <x:c r="Q125" s="29" t="n">
        <x:f>IF(OR(B125="",C125=""),"",SUMIFS($I$6:$I$285,$B$6:$B$285,B125,$C$6:$C$285,C125,$M$6:$M$285,"Yes"))</x:f>
        <x:v>1</x:v>
      </x:c>
      <x:c r="R125" s="25" t="str">
        <x:f>IF(A125="","",IF(ABS(Q125-1)&lt;0.0001,"Ready","Review Weight"))</x:f>
        <x:v>Ready</x:v>
      </x:c>
    </x:row>
    <x:row r="126">
      <x:c r="A126" s="25" t="str">
        <x:f>IF(OR(B126="",C126="",E126=""),"",B126&amp;"|"&amp;C126&amp;"|"&amp;E126)</x:f>
        <x:v>QAC/R&amp;D|QA/QC Leader|CORE-SAF-001</x:v>
      </x:c>
      <x:c r="B126" s="24" t="str">
        <x:v>QAC/R&amp;D</x:v>
      </x:c>
      <x:c r="C126" s="24" t="str">
        <x:v>QA/QC Leader</x:v>
      </x:c>
      <x:c r="D126" s="24" t="str">
        <x:v>Leader</x:v>
      </x:c>
      <x:c r="E126" s="24" t="str">
        <x:v>CORE-SAF-001</x:v>
      </x:c>
      <x:c r="F126" s="25" t="str">
        <x:f>IF(E126="","",IFERROR(VLOOKUP(E126,'02 Skill Catalogue'!$A$6:$K$95,4,FALSE),"Skill ID not found"))</x:f>
        <x:v>Safe work, PPE and hazard control</x:v>
      </x:c>
      <x:c r="G126" s="25" t="str">
        <x:f>IF(E126="","",IFERROR(VLOOKUP(E126,'02 Skill Catalogue'!$A$6:$K$95,3,FALSE),""))</x:f>
        <x:v>Safety</x:v>
      </x:c>
      <x:c r="H126" s="24" t="str">
        <x:v>Critical</x:v>
      </x:c>
      <x:c r="I126" s="28" t="n">
        <x:v>0.125</x:v>
      </x:c>
      <x:c r="J126" s="24" t="n">
        <x:v>3</x:v>
      </x:c>
      <x:c r="K126" s="24" t="str">
        <x:v>No</x:v>
      </x:c>
      <x:c r="L126" s="24" t="n">
        <x:v>12</x:v>
      </x:c>
      <x:c r="M126" s="24" t="str">
        <x:v>Yes</x:v>
      </x:c>
      <x:c r="N126" s="24" t="str">
        <x:v>QAC/R&amp;D HOD</x:v>
      </x:c>
      <x:c r="O126" s="26" t="n">
        <x:v>46264</x:v>
      </x:c>
      <x:c r="P126" s="27" t="str">
        <x:v>Validate against current SBTG SOP/WI, machine, product and authority limits.</x:v>
      </x:c>
      <x:c r="Q126" s="29" t="n">
        <x:f>IF(OR(B126="",C126=""),"",SUMIFS($I$6:$I$285,$B$6:$B$285,B126,$C$6:$C$285,C126,$M$6:$M$285,"Yes"))</x:f>
        <x:v>1</x:v>
      </x:c>
      <x:c r="R126" s="25" t="str">
        <x:f>IF(A126="","",IF(ABS(Q126-1)&lt;0.0001,"Ready","Review Weight"))</x:f>
        <x:v>Ready</x:v>
      </x:c>
    </x:row>
    <x:row r="127">
      <x:c r="A127" s="25" t="str">
        <x:f>IF(OR(B127="",C127="",E127=""),"",B127&amp;"|"&amp;C127&amp;"|"&amp;E127)</x:f>
        <x:v>QAC/R&amp;D|QA/QC Leader|CORE-QUAL-001</x:v>
      </x:c>
      <x:c r="B127" s="24" t="str">
        <x:v>QAC/R&amp;D</x:v>
      </x:c>
      <x:c r="C127" s="24" t="str">
        <x:v>QA/QC Leader</x:v>
      </x:c>
      <x:c r="D127" s="24" t="str">
        <x:v>Leader</x:v>
      </x:c>
      <x:c r="E127" s="24" t="str">
        <x:v>CORE-QUAL-001</x:v>
      </x:c>
      <x:c r="F127" s="25" t="str">
        <x:f>IF(E127="","",IFERROR(VLOOKUP(E127,'02 Skill Catalogue'!$A$6:$K$95,4,FALSE),"Skill ID not found"))</x:f>
        <x:v>SOP and work-instruction discipline</x:v>
      </x:c>
      <x:c r="G127" s="25" t="str">
        <x:f>IF(E127="","",IFERROR(VLOOKUP(E127,'02 Skill Catalogue'!$A$6:$K$95,3,FALSE),""))</x:f>
        <x:v>Quality</x:v>
      </x:c>
      <x:c r="H127" s="24" t="str">
        <x:v>Critical</x:v>
      </x:c>
      <x:c r="I127" s="28" t="n">
        <x:v>0.125</x:v>
      </x:c>
      <x:c r="J127" s="24" t="n">
        <x:v>4</x:v>
      </x:c>
      <x:c r="K127" s="24" t="str">
        <x:v>No</x:v>
      </x:c>
      <x:c r="L127" s="24" t="n">
        <x:v>12</x:v>
      </x:c>
      <x:c r="M127" s="24" t="str">
        <x:v>Yes</x:v>
      </x:c>
      <x:c r="N127" s="24" t="str">
        <x:v>QAC/R&amp;D HOD</x:v>
      </x:c>
      <x:c r="O127" s="26" t="n">
        <x:v>46264</x:v>
      </x:c>
      <x:c r="P127" s="27" t="str">
        <x:v>Validate against current SBTG SOP/WI, machine, product and authority limits.</x:v>
      </x:c>
      <x:c r="Q127" s="29" t="n">
        <x:f>IF(OR(B127="",C127=""),"",SUMIFS($I$6:$I$285,$B$6:$B$285,B127,$C$6:$C$285,C127,$M$6:$M$285,"Yes"))</x:f>
        <x:v>1</x:v>
      </x:c>
      <x:c r="R127" s="25" t="str">
        <x:f>IF(A127="","",IF(ABS(Q127-1)&lt;0.0001,"Ready","Review Weight"))</x:f>
        <x:v>Ready</x:v>
      </x:c>
    </x:row>
    <x:row r="128">
      <x:c r="A128" s="25" t="str">
        <x:f>IF(OR(B128="",C128="",E128=""),"",B128&amp;"|"&amp;C128&amp;"|"&amp;E128)</x:f>
        <x:v>QAC/R&amp;D|QA/QC Leader|CORE-DATA-001</x:v>
      </x:c>
      <x:c r="B128" s="24" t="str">
        <x:v>QAC/R&amp;D</x:v>
      </x:c>
      <x:c r="C128" s="24" t="str">
        <x:v>QA/QC Leader</x:v>
      </x:c>
      <x:c r="D128" s="24" t="str">
        <x:v>Leader</x:v>
      </x:c>
      <x:c r="E128" s="24" t="str">
        <x:v>CORE-DATA-001</x:v>
      </x:c>
      <x:c r="F128" s="25" t="str">
        <x:f>IF(E128="","",IFERROR(VLOOKUP(E128,'02 Skill Catalogue'!$A$6:$K$95,4,FALSE),"Skill ID not found"))</x:f>
        <x:v>Accurate operational data recording</x:v>
      </x:c>
      <x:c r="G128" s="25" t="str">
        <x:f>IF(E128="","",IFERROR(VLOOKUP(E128,'02 Skill Catalogue'!$A$6:$K$95,3,FALSE),""))</x:f>
        <x:v>Digital/Data/AI</x:v>
      </x:c>
      <x:c r="H128" s="24" t="str">
        <x:v>Critical</x:v>
      </x:c>
      <x:c r="I128" s="28" t="n">
        <x:v>0.125</x:v>
      </x:c>
      <x:c r="J128" s="24" t="n">
        <x:v>4</x:v>
      </x:c>
      <x:c r="K128" s="24" t="str">
        <x:v>No</x:v>
      </x:c>
      <x:c r="L128" s="24" t="n">
        <x:v>12</x:v>
      </x:c>
      <x:c r="M128" s="24" t="str">
        <x:v>Yes</x:v>
      </x:c>
      <x:c r="N128" s="24" t="str">
        <x:v>QAC/R&amp;D HOD</x:v>
      </x:c>
      <x:c r="O128" s="26" t="n">
        <x:v>46264</x:v>
      </x:c>
      <x:c r="P128" s="27" t="str">
        <x:v>Validate against current SBTG SOP/WI, machine, product and authority limits.</x:v>
      </x:c>
      <x:c r="Q128" s="29" t="n">
        <x:f>IF(OR(B128="",C128=""),"",SUMIFS($I$6:$I$285,$B$6:$B$285,B128,$C$6:$C$285,C128,$M$6:$M$285,"Yes"))</x:f>
        <x:v>1</x:v>
      </x:c>
      <x:c r="R128" s="25" t="str">
        <x:f>IF(A128="","",IF(ABS(Q128-1)&lt;0.0001,"Ready","Review Weight"))</x:f>
        <x:v>Ready</x:v>
      </x:c>
    </x:row>
    <x:row r="129">
      <x:c r="A129" s="25" t="str">
        <x:f>IF(OR(B129="",C129="",E129=""),"",B129&amp;"|"&amp;C129&amp;"|"&amp;E129)</x:f>
        <x:v>QAC/R&amp;D|QA/QC Leader|QAC-TEST-001</x:v>
      </x:c>
      <x:c r="B129" s="24" t="str">
        <x:v>QAC/R&amp;D</x:v>
      </x:c>
      <x:c r="C129" s="24" t="str">
        <x:v>QA/QC Leader</x:v>
      </x:c>
      <x:c r="D129" s="24" t="str">
        <x:v>Leader</x:v>
      </x:c>
      <x:c r="E129" s="24" t="str">
        <x:v>QAC-TEST-001</x:v>
      </x:c>
      <x:c r="F129" s="25" t="str">
        <x:f>IF(E129="","",IFERROR(VLOOKUP(E129,'02 Skill Catalogue'!$A$6:$K$95,4,FALSE),"Skill ID not found"))</x:f>
        <x:v>Sampling and tape laboratory testing</x:v>
      </x:c>
      <x:c r="G129" s="25" t="str">
        <x:f>IF(E129="","",IFERROR(VLOOKUP(E129,'02 Skill Catalogue'!$A$6:$K$95,3,FALSE),""))</x:f>
        <x:v>Quality</x:v>
      </x:c>
      <x:c r="H129" s="24" t="str">
        <x:v>Critical</x:v>
      </x:c>
      <x:c r="I129" s="28" t="n">
        <x:v>0.125</x:v>
      </x:c>
      <x:c r="J129" s="24" t="n">
        <x:v>4</x:v>
      </x:c>
      <x:c r="K129" s="24" t="str">
        <x:v>No</x:v>
      </x:c>
      <x:c r="L129" s="24" t="n">
        <x:v>12</x:v>
      </x:c>
      <x:c r="M129" s="24" t="str">
        <x:v>Yes</x:v>
      </x:c>
      <x:c r="N129" s="24" t="str">
        <x:v>QAC/R&amp;D HOD</x:v>
      </x:c>
      <x:c r="O129" s="26" t="n">
        <x:v>46264</x:v>
      </x:c>
      <x:c r="P129" s="27" t="str">
        <x:v>Validate against current SBTG SOP/WI, machine, product and authority limits.</x:v>
      </x:c>
      <x:c r="Q129" s="29" t="n">
        <x:f>IF(OR(B129="",C129=""),"",SUMIFS($I$6:$I$285,$B$6:$B$285,B129,$C$6:$C$285,C129,$M$6:$M$285,"Yes"))</x:f>
        <x:v>1</x:v>
      </x:c>
      <x:c r="R129" s="25" t="str">
        <x:f>IF(A129="","",IF(ABS(Q129-1)&lt;0.0001,"Ready","Review Weight"))</x:f>
        <x:v>Ready</x:v>
      </x:c>
    </x:row>
    <x:row r="130">
      <x:c r="A130" s="25" t="str">
        <x:f>IF(OR(B130="",C130="",E130=""),"",B130&amp;"|"&amp;C130&amp;"|"&amp;E130)</x:f>
        <x:v>QAC/R&amp;D|QA/QC Leader|QAC-DEF-003</x:v>
      </x:c>
      <x:c r="B130" s="24" t="str">
        <x:v>QAC/R&amp;D</x:v>
      </x:c>
      <x:c r="C130" s="24" t="str">
        <x:v>QA/QC Leader</x:v>
      </x:c>
      <x:c r="D130" s="24" t="str">
        <x:v>Leader</x:v>
      </x:c>
      <x:c r="E130" s="24" t="str">
        <x:v>QAC-DEF-003</x:v>
      </x:c>
      <x:c r="F130" s="25" t="str">
        <x:f>IF(E130="","",IFERROR(VLOOKUP(E130,'02 Skill Catalogue'!$A$6:$K$95,4,FALSE),"Skill ID not found"))</x:f>
        <x:v>Defect classification and acceptance decision</x:v>
      </x:c>
      <x:c r="G130" s="25" t="str">
        <x:f>IF(E130="","",IFERROR(VLOOKUP(E130,'02 Skill Catalogue'!$A$6:$K$95,3,FALSE),""))</x:f>
        <x:v>Quality</x:v>
      </x:c>
      <x:c r="H130" s="24" t="str">
        <x:v>Critical</x:v>
      </x:c>
      <x:c r="I130" s="28" t="n">
        <x:v>0.125</x:v>
      </x:c>
      <x:c r="J130" s="24" t="n">
        <x:v>4</x:v>
      </x:c>
      <x:c r="K130" s="24" t="str">
        <x:v>No</x:v>
      </x:c>
      <x:c r="L130" s="24" t="n">
        <x:v>12</x:v>
      </x:c>
      <x:c r="M130" s="24" t="str">
        <x:v>Yes</x:v>
      </x:c>
      <x:c r="N130" s="24" t="str">
        <x:v>QAC/R&amp;D HOD</x:v>
      </x:c>
      <x:c r="O130" s="26" t="n">
        <x:v>46264</x:v>
      </x:c>
      <x:c r="P130" s="27" t="str">
        <x:v>Validate against current SBTG SOP/WI, machine, product and authority limits.</x:v>
      </x:c>
      <x:c r="Q130" s="29" t="n">
        <x:f>IF(OR(B130="",C130=""),"",SUMIFS($I$6:$I$285,$B$6:$B$285,B130,$C$6:$C$285,C130,$M$6:$M$285,"Yes"))</x:f>
        <x:v>1</x:v>
      </x:c>
      <x:c r="R130" s="25" t="str">
        <x:f>IF(A130="","",IF(ABS(Q130-1)&lt;0.0001,"Ready","Review Weight"))</x:f>
        <x:v>Ready</x:v>
      </x:c>
    </x:row>
    <x:row r="131">
      <x:c r="A131" s="25" t="str">
        <x:f>IF(OR(B131="",C131="",E131=""),"",B131&amp;"|"&amp;C131&amp;"|"&amp;E131)</x:f>
        <x:v>QAC/R&amp;D|QA/QC Leader|QAC-RELEASE-005</x:v>
      </x:c>
      <x:c r="B131" s="24" t="str">
        <x:v>QAC/R&amp;D</x:v>
      </x:c>
      <x:c r="C131" s="24" t="str">
        <x:v>QA/QC Leader</x:v>
      </x:c>
      <x:c r="D131" s="24" t="str">
        <x:v>Leader</x:v>
      </x:c>
      <x:c r="E131" s="24" t="str">
        <x:v>QAC-RELEASE-005</x:v>
      </x:c>
      <x:c r="F131" s="25" t="str">
        <x:f>IF(E131="","",IFERROR(VLOOKUP(E131,'02 Skill Catalogue'!$A$6:$K$95,4,FALSE),"Skill ID not found"))</x:f>
        <x:v>Product release, hold and concession control</x:v>
      </x:c>
      <x:c r="G131" s="25" t="str">
        <x:f>IF(E131="","",IFERROR(VLOOKUP(E131,'02 Skill Catalogue'!$A$6:$K$95,3,FALSE),""))</x:f>
        <x:v>Quality</x:v>
      </x:c>
      <x:c r="H131" s="24" t="str">
        <x:v>Critical</x:v>
      </x:c>
      <x:c r="I131" s="28" t="n">
        <x:v>0.125</x:v>
      </x:c>
      <x:c r="J131" s="24" t="n">
        <x:v>4</x:v>
      </x:c>
      <x:c r="K131" s="24" t="str">
        <x:v>No</x:v>
      </x:c>
      <x:c r="L131" s="24" t="n">
        <x:v>12</x:v>
      </x:c>
      <x:c r="M131" s="24" t="str">
        <x:v>Yes</x:v>
      </x:c>
      <x:c r="N131" s="24" t="str">
        <x:v>QAC/R&amp;D HOD</x:v>
      </x:c>
      <x:c r="O131" s="26" t="n">
        <x:v>46264</x:v>
      </x:c>
      <x:c r="P131" s="27" t="str">
        <x:v>Validate against current SBTG SOP/WI, machine, product and authority limits.</x:v>
      </x:c>
      <x:c r="Q131" s="29" t="n">
        <x:f>IF(OR(B131="",C131=""),"",SUMIFS($I$6:$I$285,$B$6:$B$285,B131,$C$6:$C$285,C131,$M$6:$M$285,"Yes"))</x:f>
        <x:v>1</x:v>
      </x:c>
      <x:c r="R131" s="25" t="str">
        <x:f>IF(A131="","",IF(ABS(Q131-1)&lt;0.0001,"Ready","Review Weight"))</x:f>
        <x:v>Ready</x:v>
      </x:c>
    </x:row>
    <x:row r="132">
      <x:c r="A132" s="25" t="str">
        <x:f>IF(OR(B132="",C132="",E132=""),"",B132&amp;"|"&amp;C132&amp;"|"&amp;E132)</x:f>
        <x:v>QAC/R&amp;D|QA/QC Leader|QAC-RCA-006</x:v>
      </x:c>
      <x:c r="B132" s="24" t="str">
        <x:v>QAC/R&amp;D</x:v>
      </x:c>
      <x:c r="C132" s="24" t="str">
        <x:v>QA/QC Leader</x:v>
      </x:c>
      <x:c r="D132" s="24" t="str">
        <x:v>Leader</x:v>
      </x:c>
      <x:c r="E132" s="24" t="str">
        <x:v>QAC-RCA-006</x:v>
      </x:c>
      <x:c r="F132" s="25" t="str">
        <x:f>IF(E132="","",IFERROR(VLOOKUP(E132,'02 Skill Catalogue'!$A$6:$K$95,4,FALSE),"Skill ID not found"))</x:f>
        <x:v>Technical root cause and CAPA</x:v>
      </x:c>
      <x:c r="G132" s="25" t="str">
        <x:f>IF(E132="","",IFERROR(VLOOKUP(E132,'02 Skill Catalogue'!$A$6:$K$95,3,FALSE),""))</x:f>
        <x:v>Problem Solving</x:v>
      </x:c>
      <x:c r="H132" s="24" t="str">
        <x:v>Critical</x:v>
      </x:c>
      <x:c r="I132" s="28" t="n">
        <x:v>0.125</x:v>
      </x:c>
      <x:c r="J132" s="24" t="n">
        <x:v>3</x:v>
      </x:c>
      <x:c r="K132" s="24" t="str">
        <x:v>No</x:v>
      </x:c>
      <x:c r="L132" s="24" t="n">
        <x:v>12</x:v>
      </x:c>
      <x:c r="M132" s="24" t="str">
        <x:v>Yes</x:v>
      </x:c>
      <x:c r="N132" s="24" t="str">
        <x:v>QAC/R&amp;D HOD</x:v>
      </x:c>
      <x:c r="O132" s="26" t="n">
        <x:v>46264</x:v>
      </x:c>
      <x:c r="P132" s="27" t="str">
        <x:v>Validate against current SBTG SOP/WI, machine, product and authority limits.</x:v>
      </x:c>
      <x:c r="Q132" s="29" t="n">
        <x:f>IF(OR(B132="",C132=""),"",SUMIFS($I$6:$I$285,$B$6:$B$285,B132,$C$6:$C$285,C132,$M$6:$M$285,"Yes"))</x:f>
        <x:v>1</x:v>
      </x:c>
      <x:c r="R132" s="25" t="str">
        <x:f>IF(A132="","",IF(ABS(Q132-1)&lt;0.0001,"Ready","Review Weight"))</x:f>
        <x:v>Ready</x:v>
      </x:c>
    </x:row>
    <x:row r="133">
      <x:c r="A133" s="25" t="str">
        <x:f>IF(OR(B133="",C133="",E133=""),"",B133&amp;"|"&amp;C133&amp;"|"&amp;E133)</x:f>
        <x:v>QAC/R&amp;D|QA/QC Leader|LEAD-COACH-002</x:v>
      </x:c>
      <x:c r="B133" s="24" t="str">
        <x:v>QAC/R&amp;D</x:v>
      </x:c>
      <x:c r="C133" s="24" t="str">
        <x:v>QA/QC Leader</x:v>
      </x:c>
      <x:c r="D133" s="24" t="str">
        <x:v>Leader</x:v>
      </x:c>
      <x:c r="E133" s="24" t="str">
        <x:v>LEAD-COACH-002</x:v>
      </x:c>
      <x:c r="F133" s="25" t="str">
        <x:f>IF(E133="","",IFERROR(VLOOKUP(E133,'02 Skill Catalogue'!$A$6:$K$95,4,FALSE),"Skill ID not found"))</x:f>
        <x:v>Coaching, qualification and succession</x:v>
      </x:c>
      <x:c r="G133" s="25" t="str">
        <x:f>IF(E133="","",IFERROR(VLOOKUP(E133,'02 Skill Catalogue'!$A$6:$K$95,3,FALSE),""))</x:f>
        <x:v>Leadership</x:v>
      </x:c>
      <x:c r="H133" s="24" t="str">
        <x:v>Essential</x:v>
      </x:c>
      <x:c r="I133" s="28" t="n">
        <x:v>0.125</x:v>
      </x:c>
      <x:c r="J133" s="24" t="n">
        <x:v>3</x:v>
      </x:c>
      <x:c r="K133" s="24" t="str">
        <x:v>No</x:v>
      </x:c>
      <x:c r="L133" s="24" t="n">
        <x:v>12</x:v>
      </x:c>
      <x:c r="M133" s="24" t="str">
        <x:v>Yes</x:v>
      </x:c>
      <x:c r="N133" s="24" t="str">
        <x:v>QAC/R&amp;D HOD</x:v>
      </x:c>
      <x:c r="O133" s="26" t="n">
        <x:v>46264</x:v>
      </x:c>
      <x:c r="P133" s="27" t="str">
        <x:v>Validate against current SBTG SOP/WI, machine, product and authority limits.</x:v>
      </x:c>
      <x:c r="Q133" s="29" t="n">
        <x:f>IF(OR(B133="",C133=""),"",SUMIFS($I$6:$I$285,$B$6:$B$285,B133,$C$6:$C$285,C133,$M$6:$M$285,"Yes"))</x:f>
        <x:v>1</x:v>
      </x:c>
      <x:c r="R133" s="25" t="str">
        <x:f>IF(A133="","",IF(ABS(Q133-1)&lt;0.0001,"Ready","Review Weight"))</x:f>
        <x:v>Ready</x:v>
      </x:c>
    </x:row>
    <x:row r="134">
      <x:c r="A134" s="25" t="str">
        <x:f>IF(OR(B134="",C134="",E134=""),"",B134&amp;"|"&amp;C134&amp;"|"&amp;E134)</x:f>
        <x:v>QAC/R&amp;D|QAC Inspector|CORE-SAF-001</x:v>
      </x:c>
      <x:c r="B134" s="24" t="str">
        <x:v>QAC/R&amp;D</x:v>
      </x:c>
      <x:c r="C134" s="24" t="str">
        <x:v>QAC Inspector</x:v>
      </x:c>
      <x:c r="D134" s="24" t="str">
        <x:v>Inspector</x:v>
      </x:c>
      <x:c r="E134" s="24" t="str">
        <x:v>CORE-SAF-001</x:v>
      </x:c>
      <x:c r="F134" s="25" t="str">
        <x:f>IF(E134="","",IFERROR(VLOOKUP(E134,'02 Skill Catalogue'!$A$6:$K$95,4,FALSE),"Skill ID not found"))</x:f>
        <x:v>Safe work, PPE and hazard control</x:v>
      </x:c>
      <x:c r="G134" s="25" t="str">
        <x:f>IF(E134="","",IFERROR(VLOOKUP(E134,'02 Skill Catalogue'!$A$6:$K$95,3,FALSE),""))</x:f>
        <x:v>Safety</x:v>
      </x:c>
      <x:c r="H134" s="24" t="str">
        <x:v>Critical</x:v>
      </x:c>
      <x:c r="I134" s="28" t="n">
        <x:v>0.125</x:v>
      </x:c>
      <x:c r="J134" s="24" t="n">
        <x:v>2</x:v>
      </x:c>
      <x:c r="K134" s="24" t="str">
        <x:v>No</x:v>
      </x:c>
      <x:c r="L134" s="24" t="n">
        <x:v>12</x:v>
      </x:c>
      <x:c r="M134" s="24" t="str">
        <x:v>Yes</x:v>
      </x:c>
      <x:c r="N134" s="24" t="str">
        <x:v>QAC/R&amp;D HOD</x:v>
      </x:c>
      <x:c r="O134" s="26" t="n">
        <x:v>46264</x:v>
      </x:c>
      <x:c r="P134" s="27" t="str">
        <x:v>Validate against current SBTG SOP/WI, machine, product and authority limits.</x:v>
      </x:c>
      <x:c r="Q134" s="29" t="n">
        <x:f>IF(OR(B134="",C134=""),"",SUMIFS($I$6:$I$285,$B$6:$B$285,B134,$C$6:$C$285,C134,$M$6:$M$285,"Yes"))</x:f>
        <x:v>1</x:v>
      </x:c>
      <x:c r="R134" s="25" t="str">
        <x:f>IF(A134="","",IF(ABS(Q134-1)&lt;0.0001,"Ready","Review Weight"))</x:f>
        <x:v>Ready</x:v>
      </x:c>
    </x:row>
    <x:row r="135">
      <x:c r="A135" s="25" t="str">
        <x:f>IF(OR(B135="",C135="",E135=""),"",B135&amp;"|"&amp;C135&amp;"|"&amp;E135)</x:f>
        <x:v>QAC/R&amp;D|QAC Inspector|CORE-QUAL-001</x:v>
      </x:c>
      <x:c r="B135" s="24" t="str">
        <x:v>QAC/R&amp;D</x:v>
      </x:c>
      <x:c r="C135" s="24" t="str">
        <x:v>QAC Inspector</x:v>
      </x:c>
      <x:c r="D135" s="24" t="str">
        <x:v>Inspector</x:v>
      </x:c>
      <x:c r="E135" s="24" t="str">
        <x:v>CORE-QUAL-001</x:v>
      </x:c>
      <x:c r="F135" s="25" t="str">
        <x:f>IF(E135="","",IFERROR(VLOOKUP(E135,'02 Skill Catalogue'!$A$6:$K$95,4,FALSE),"Skill ID not found"))</x:f>
        <x:v>SOP and work-instruction discipline</x:v>
      </x:c>
      <x:c r="G135" s="25" t="str">
        <x:f>IF(E135="","",IFERROR(VLOOKUP(E135,'02 Skill Catalogue'!$A$6:$K$95,3,FALSE),""))</x:f>
        <x:v>Quality</x:v>
      </x:c>
      <x:c r="H135" s="24" t="str">
        <x:v>Critical</x:v>
      </x:c>
      <x:c r="I135" s="28" t="n">
        <x:v>0.125</x:v>
      </x:c>
      <x:c r="J135" s="24" t="n">
        <x:v>3</x:v>
      </x:c>
      <x:c r="K135" s="24" t="str">
        <x:v>No</x:v>
      </x:c>
      <x:c r="L135" s="24" t="n">
        <x:v>12</x:v>
      </x:c>
      <x:c r="M135" s="24" t="str">
        <x:v>Yes</x:v>
      </x:c>
      <x:c r="N135" s="24" t="str">
        <x:v>QAC/R&amp;D HOD</x:v>
      </x:c>
      <x:c r="O135" s="26" t="n">
        <x:v>46264</x:v>
      </x:c>
      <x:c r="P135" s="27" t="str">
        <x:v>Validate against current SBTG SOP/WI, machine, product and authority limits.</x:v>
      </x:c>
      <x:c r="Q135" s="29" t="n">
        <x:f>IF(OR(B135="",C135=""),"",SUMIFS($I$6:$I$285,$B$6:$B$285,B135,$C$6:$C$285,C135,$M$6:$M$285,"Yes"))</x:f>
        <x:v>1</x:v>
      </x:c>
      <x:c r="R135" s="25" t="str">
        <x:f>IF(A135="","",IF(ABS(Q135-1)&lt;0.0001,"Ready","Review Weight"))</x:f>
        <x:v>Ready</x:v>
      </x:c>
    </x:row>
    <x:row r="136">
      <x:c r="A136" s="25" t="str">
        <x:f>IF(OR(B136="",C136="",E136=""),"",B136&amp;"|"&amp;C136&amp;"|"&amp;E136)</x:f>
        <x:v>QAC/R&amp;D|QAC Inspector|CORE-DATA-001</x:v>
      </x:c>
      <x:c r="B136" s="24" t="str">
        <x:v>QAC/R&amp;D</x:v>
      </x:c>
      <x:c r="C136" s="24" t="str">
        <x:v>QAC Inspector</x:v>
      </x:c>
      <x:c r="D136" s="24" t="str">
        <x:v>Inspector</x:v>
      </x:c>
      <x:c r="E136" s="24" t="str">
        <x:v>CORE-DATA-001</x:v>
      </x:c>
      <x:c r="F136" s="25" t="str">
        <x:f>IF(E136="","",IFERROR(VLOOKUP(E136,'02 Skill Catalogue'!$A$6:$K$95,4,FALSE),"Skill ID not found"))</x:f>
        <x:v>Accurate operational data recording</x:v>
      </x:c>
      <x:c r="G136" s="25" t="str">
        <x:f>IF(E136="","",IFERROR(VLOOKUP(E136,'02 Skill Catalogue'!$A$6:$K$95,3,FALSE),""))</x:f>
        <x:v>Digital/Data/AI</x:v>
      </x:c>
      <x:c r="H136" s="24" t="str">
        <x:v>Critical</x:v>
      </x:c>
      <x:c r="I136" s="28" t="n">
        <x:v>0.125</x:v>
      </x:c>
      <x:c r="J136" s="24" t="n">
        <x:v>3</x:v>
      </x:c>
      <x:c r="K136" s="24" t="str">
        <x:v>No</x:v>
      </x:c>
      <x:c r="L136" s="24" t="n">
        <x:v>12</x:v>
      </x:c>
      <x:c r="M136" s="24" t="str">
        <x:v>Yes</x:v>
      </x:c>
      <x:c r="N136" s="24" t="str">
        <x:v>QAC/R&amp;D HOD</x:v>
      </x:c>
      <x:c r="O136" s="26" t="n">
        <x:v>46264</x:v>
      </x:c>
      <x:c r="P136" s="27" t="str">
        <x:v>Validate against current SBTG SOP/WI, machine, product and authority limits.</x:v>
      </x:c>
      <x:c r="Q136" s="29" t="n">
        <x:f>IF(OR(B136="",C136=""),"",SUMIFS($I$6:$I$285,$B$6:$B$285,B136,$C$6:$C$285,C136,$M$6:$M$285,"Yes"))</x:f>
        <x:v>1</x:v>
      </x:c>
      <x:c r="R136" s="25" t="str">
        <x:f>IF(A136="","",IF(ABS(Q136-1)&lt;0.0001,"Ready","Review Weight"))</x:f>
        <x:v>Ready</x:v>
      </x:c>
    </x:row>
    <x:row r="137">
      <x:c r="A137" s="25" t="str">
        <x:f>IF(OR(B137="",C137="",E137=""),"",B137&amp;"|"&amp;C137&amp;"|"&amp;E137)</x:f>
        <x:v>QAC/R&amp;D|QAC Inspector|QAC-TEST-001</x:v>
      </x:c>
      <x:c r="B137" s="24" t="str">
        <x:v>QAC/R&amp;D</x:v>
      </x:c>
      <x:c r="C137" s="24" t="str">
        <x:v>QAC Inspector</x:v>
      </x:c>
      <x:c r="D137" s="24" t="str">
        <x:v>Inspector</x:v>
      </x:c>
      <x:c r="E137" s="24" t="str">
        <x:v>QAC-TEST-001</x:v>
      </x:c>
      <x:c r="F137" s="25" t="str">
        <x:f>IF(E137="","",IFERROR(VLOOKUP(E137,'02 Skill Catalogue'!$A$6:$K$95,4,FALSE),"Skill ID not found"))</x:f>
        <x:v>Sampling and tape laboratory testing</x:v>
      </x:c>
      <x:c r="G137" s="25" t="str">
        <x:f>IF(E137="","",IFERROR(VLOOKUP(E137,'02 Skill Catalogue'!$A$6:$K$95,3,FALSE),""))</x:f>
        <x:v>Quality</x:v>
      </x:c>
      <x:c r="H137" s="24" t="str">
        <x:v>Critical</x:v>
      </x:c>
      <x:c r="I137" s="28" t="n">
        <x:v>0.125</x:v>
      </x:c>
      <x:c r="J137" s="24" t="n">
        <x:v>3</x:v>
      </x:c>
      <x:c r="K137" s="24" t="str">
        <x:v>No</x:v>
      </x:c>
      <x:c r="L137" s="24" t="n">
        <x:v>12</x:v>
      </x:c>
      <x:c r="M137" s="24" t="str">
        <x:v>Yes</x:v>
      </x:c>
      <x:c r="N137" s="24" t="str">
        <x:v>QAC/R&amp;D HOD</x:v>
      </x:c>
      <x:c r="O137" s="26" t="n">
        <x:v>46264</x:v>
      </x:c>
      <x:c r="P137" s="27" t="str">
        <x:v>Validate against current SBTG SOP/WI, machine, product and authority limits.</x:v>
      </x:c>
      <x:c r="Q137" s="29" t="n">
        <x:f>IF(OR(B137="",C137=""),"",SUMIFS($I$6:$I$285,$B$6:$B$285,B137,$C$6:$C$285,C137,$M$6:$M$285,"Yes"))</x:f>
        <x:v>1</x:v>
      </x:c>
      <x:c r="R137" s="25" t="str">
        <x:f>IF(A137="","",IF(ABS(Q137-1)&lt;0.0001,"Ready","Review Weight"))</x:f>
        <x:v>Ready</x:v>
      </x:c>
    </x:row>
    <x:row r="138">
      <x:c r="A138" s="25" t="str">
        <x:f>IF(OR(B138="",C138="",E138=""),"",B138&amp;"|"&amp;C138&amp;"|"&amp;E138)</x:f>
        <x:v>QAC/R&amp;D|QAC Inspector|QAC-MET-002</x:v>
      </x:c>
      <x:c r="B138" s="24" t="str">
        <x:v>QAC/R&amp;D</x:v>
      </x:c>
      <x:c r="C138" s="24" t="str">
        <x:v>QAC Inspector</x:v>
      </x:c>
      <x:c r="D138" s="24" t="str">
        <x:v>Inspector</x:v>
      </x:c>
      <x:c r="E138" s="24" t="str">
        <x:v>QAC-MET-002</x:v>
      </x:c>
      <x:c r="F138" s="25" t="str">
        <x:f>IF(E138="","",IFERROR(VLOOKUP(E138,'02 Skill Catalogue'!$A$6:$K$95,4,FALSE),"Skill ID not found"))</x:f>
        <x:v>Metrology and measurement-system understanding</x:v>
      </x:c>
      <x:c r="G138" s="25" t="str">
        <x:f>IF(E138="","",IFERROR(VLOOKUP(E138,'02 Skill Catalogue'!$A$6:$K$95,3,FALSE),""))</x:f>
        <x:v>Quality</x:v>
      </x:c>
      <x:c r="H138" s="24" t="str">
        <x:v>Critical</x:v>
      </x:c>
      <x:c r="I138" s="28" t="n">
        <x:v>0.125</x:v>
      </x:c>
      <x:c r="J138" s="24" t="n">
        <x:v>3</x:v>
      </x:c>
      <x:c r="K138" s="24" t="str">
        <x:v>No</x:v>
      </x:c>
      <x:c r="L138" s="24" t="n">
        <x:v>12</x:v>
      </x:c>
      <x:c r="M138" s="24" t="str">
        <x:v>Yes</x:v>
      </x:c>
      <x:c r="N138" s="24" t="str">
        <x:v>QAC/R&amp;D HOD</x:v>
      </x:c>
      <x:c r="O138" s="26" t="n">
        <x:v>46264</x:v>
      </x:c>
      <x:c r="P138" s="27" t="str">
        <x:v>Validate against current SBTG SOP/WI, machine, product and authority limits.</x:v>
      </x:c>
      <x:c r="Q138" s="29" t="n">
        <x:f>IF(OR(B138="",C138=""),"",SUMIFS($I$6:$I$285,$B$6:$B$285,B138,$C$6:$C$285,C138,$M$6:$M$285,"Yes"))</x:f>
        <x:v>1</x:v>
      </x:c>
      <x:c r="R138" s="25" t="str">
        <x:f>IF(A138="","",IF(ABS(Q138-1)&lt;0.0001,"Ready","Review Weight"))</x:f>
        <x:v>Ready</x:v>
      </x:c>
    </x:row>
    <x:row r="139">
      <x:c r="A139" s="25" t="str">
        <x:f>IF(OR(B139="",C139="",E139=""),"",B139&amp;"|"&amp;C139&amp;"|"&amp;E139)</x:f>
        <x:v>QAC/R&amp;D|QAC Inspector|QAC-DEF-003</x:v>
      </x:c>
      <x:c r="B139" s="24" t="str">
        <x:v>QAC/R&amp;D</x:v>
      </x:c>
      <x:c r="C139" s="24" t="str">
        <x:v>QAC Inspector</x:v>
      </x:c>
      <x:c r="D139" s="24" t="str">
        <x:v>Inspector</x:v>
      </x:c>
      <x:c r="E139" s="24" t="str">
        <x:v>QAC-DEF-003</x:v>
      </x:c>
      <x:c r="F139" s="25" t="str">
        <x:f>IF(E139="","",IFERROR(VLOOKUP(E139,'02 Skill Catalogue'!$A$6:$K$95,4,FALSE),"Skill ID not found"))</x:f>
        <x:v>Defect classification and acceptance decision</x:v>
      </x:c>
      <x:c r="G139" s="25" t="str">
        <x:f>IF(E139="","",IFERROR(VLOOKUP(E139,'02 Skill Catalogue'!$A$6:$K$95,3,FALSE),""))</x:f>
        <x:v>Quality</x:v>
      </x:c>
      <x:c r="H139" s="24" t="str">
        <x:v>Critical</x:v>
      </x:c>
      <x:c r="I139" s="28" t="n">
        <x:v>0.125</x:v>
      </x:c>
      <x:c r="J139" s="24" t="n">
        <x:v>3</x:v>
      </x:c>
      <x:c r="K139" s="24" t="str">
        <x:v>No</x:v>
      </x:c>
      <x:c r="L139" s="24" t="n">
        <x:v>12</x:v>
      </x:c>
      <x:c r="M139" s="24" t="str">
        <x:v>Yes</x:v>
      </x:c>
      <x:c r="N139" s="24" t="str">
        <x:v>QAC/R&amp;D HOD</x:v>
      </x:c>
      <x:c r="O139" s="26" t="n">
        <x:v>46264</x:v>
      </x:c>
      <x:c r="P139" s="27" t="str">
        <x:v>Validate against current SBTG SOP/WI, machine, product and authority limits.</x:v>
      </x:c>
      <x:c r="Q139" s="29" t="n">
        <x:f>IF(OR(B139="",C139=""),"",SUMIFS($I$6:$I$285,$B$6:$B$285,B139,$C$6:$C$285,C139,$M$6:$M$285,"Yes"))</x:f>
        <x:v>1</x:v>
      </x:c>
      <x:c r="R139" s="25" t="str">
        <x:f>IF(A139="","",IF(ABS(Q139-1)&lt;0.0001,"Ready","Review Weight"))</x:f>
        <x:v>Ready</x:v>
      </x:c>
    </x:row>
    <x:row r="140">
      <x:c r="A140" s="25" t="str">
        <x:f>IF(OR(B140="",C140="",E140=""),"",B140&amp;"|"&amp;C140&amp;"|"&amp;E140)</x:f>
        <x:v>QAC/R&amp;D|QAC Inspector|QAC-RELEASE-005</x:v>
      </x:c>
      <x:c r="B140" s="24" t="str">
        <x:v>QAC/R&amp;D</x:v>
      </x:c>
      <x:c r="C140" s="24" t="str">
        <x:v>QAC Inspector</x:v>
      </x:c>
      <x:c r="D140" s="24" t="str">
        <x:v>Inspector</x:v>
      </x:c>
      <x:c r="E140" s="24" t="str">
        <x:v>QAC-RELEASE-005</x:v>
      </x:c>
      <x:c r="F140" s="25" t="str">
        <x:f>IF(E140="","",IFERROR(VLOOKUP(E140,'02 Skill Catalogue'!$A$6:$K$95,4,FALSE),"Skill ID not found"))</x:f>
        <x:v>Product release, hold and concession control</x:v>
      </x:c>
      <x:c r="G140" s="25" t="str">
        <x:f>IF(E140="","",IFERROR(VLOOKUP(E140,'02 Skill Catalogue'!$A$6:$K$95,3,FALSE),""))</x:f>
        <x:v>Quality</x:v>
      </x:c>
      <x:c r="H140" s="24" t="str">
        <x:v>Critical</x:v>
      </x:c>
      <x:c r="I140" s="28" t="n">
        <x:v>0.125</x:v>
      </x:c>
      <x:c r="J140" s="24" t="n">
        <x:v>2</x:v>
      </x:c>
      <x:c r="K140" s="24" t="str">
        <x:v>No</x:v>
      </x:c>
      <x:c r="L140" s="24" t="n">
        <x:v>12</x:v>
      </x:c>
      <x:c r="M140" s="24" t="str">
        <x:v>Yes</x:v>
      </x:c>
      <x:c r="N140" s="24" t="str">
        <x:v>QAC/R&amp;D HOD</x:v>
      </x:c>
      <x:c r="O140" s="26" t="n">
        <x:v>46264</x:v>
      </x:c>
      <x:c r="P140" s="27" t="str">
        <x:v>Validate against current SBTG SOP/WI, machine, product and authority limits.</x:v>
      </x:c>
      <x:c r="Q140" s="29" t="n">
        <x:f>IF(OR(B140="",C140=""),"",SUMIFS($I$6:$I$285,$B$6:$B$285,B140,$C$6:$C$285,C140,$M$6:$M$285,"Yes"))</x:f>
        <x:v>1</x:v>
      </x:c>
      <x:c r="R140" s="25" t="str">
        <x:f>IF(A140="","",IF(ABS(Q140-1)&lt;0.0001,"Ready","Review Weight"))</x:f>
        <x:v>Ready</x:v>
      </x:c>
    </x:row>
    <x:row r="141">
      <x:c r="A141" s="25" t="str">
        <x:f>IF(OR(B141="",C141="",E141=""),"",B141&amp;"|"&amp;C141&amp;"|"&amp;E141)</x:f>
        <x:v>QAC/R&amp;D|QAC Inspector|QAC-DOC-010</x:v>
      </x:c>
      <x:c r="B141" s="24" t="str">
        <x:v>QAC/R&amp;D</x:v>
      </x:c>
      <x:c r="C141" s="24" t="str">
        <x:v>QAC Inspector</x:v>
      </x:c>
      <x:c r="D141" s="24" t="str">
        <x:v>Inspector</x:v>
      </x:c>
      <x:c r="E141" s="24" t="str">
        <x:v>QAC-DOC-010</x:v>
      </x:c>
      <x:c r="F141" s="25" t="str">
        <x:f>IF(E141="","",IFERROR(VLOOKUP(E141,'02 Skill Catalogue'!$A$6:$K$95,4,FALSE),"Skill ID not found"))</x:f>
        <x:v>Specification, COA and controlled-document management</x:v>
      </x:c>
      <x:c r="G141" s="25" t="str">
        <x:f>IF(E141="","",IFERROR(VLOOKUP(E141,'02 Skill Catalogue'!$A$6:$K$95,3,FALSE),""))</x:f>
        <x:v>Quality</x:v>
      </x:c>
      <x:c r="H141" s="24" t="str">
        <x:v>Critical</x:v>
      </x:c>
      <x:c r="I141" s="28" t="n">
        <x:v>0.125</x:v>
      </x:c>
      <x:c r="J141" s="24" t="n">
        <x:v>2</x:v>
      </x:c>
      <x:c r="K141" s="24" t="str">
        <x:v>No</x:v>
      </x:c>
      <x:c r="L141" s="24" t="n">
        <x:v>12</x:v>
      </x:c>
      <x:c r="M141" s="24" t="str">
        <x:v>Yes</x:v>
      </x:c>
      <x:c r="N141" s="24" t="str">
        <x:v>QAC/R&amp;D HOD</x:v>
      </x:c>
      <x:c r="O141" s="26" t="n">
        <x:v>46264</x:v>
      </x:c>
      <x:c r="P141" s="27" t="str">
        <x:v>Validate against current SBTG SOP/WI, machine, product and authority limits.</x:v>
      </x:c>
      <x:c r="Q141" s="29" t="n">
        <x:f>IF(OR(B141="",C141=""),"",SUMIFS($I$6:$I$285,$B$6:$B$285,B141,$C$6:$C$285,C141,$M$6:$M$285,"Yes"))</x:f>
        <x:v>1</x:v>
      </x:c>
      <x:c r="R141" s="25" t="str">
        <x:f>IF(A141="","",IF(ABS(Q141-1)&lt;0.0001,"Ready","Review Weight"))</x:f>
        <x:v>Ready</x:v>
      </x:c>
    </x:row>
    <x:row r="142">
      <x:c r="A142" s="25" t="str">
        <x:f>IF(OR(B142="",C142="",E142=""),"",B142&amp;"|"&amp;C142&amp;"|"&amp;E142)</x:f>
        <x:v>QAC/R&amp;D|Laboratory Technician|CORE-SAF-001</x:v>
      </x:c>
      <x:c r="B142" s="24" t="str">
        <x:v>QAC/R&amp;D</x:v>
      </x:c>
      <x:c r="C142" s="24" t="str">
        <x:v>Laboratory Technician</x:v>
      </x:c>
      <x:c r="D142" s="24" t="str">
        <x:v>Operator/Technician</x:v>
      </x:c>
      <x:c r="E142" s="24" t="str">
        <x:v>CORE-SAF-001</x:v>
      </x:c>
      <x:c r="F142" s="25" t="str">
        <x:f>IF(E142="","",IFERROR(VLOOKUP(E142,'02 Skill Catalogue'!$A$6:$K$95,4,FALSE),"Skill ID not found"))</x:f>
        <x:v>Safe work, PPE and hazard control</x:v>
      </x:c>
      <x:c r="G142" s="25" t="str">
        <x:f>IF(E142="","",IFERROR(VLOOKUP(E142,'02 Skill Catalogue'!$A$6:$K$95,3,FALSE),""))</x:f>
        <x:v>Safety</x:v>
      </x:c>
      <x:c r="H142" s="24" t="str">
        <x:v>Critical</x:v>
      </x:c>
      <x:c r="I142" s="28" t="n">
        <x:v>0.125</x:v>
      </x:c>
      <x:c r="J142" s="24" t="n">
        <x:v>3</x:v>
      </x:c>
      <x:c r="K142" s="24" t="str">
        <x:v>No</x:v>
      </x:c>
      <x:c r="L142" s="24" t="n">
        <x:v>12</x:v>
      </x:c>
      <x:c r="M142" s="24" t="str">
        <x:v>Yes</x:v>
      </x:c>
      <x:c r="N142" s="24" t="str">
        <x:v>QAC/R&amp;D HOD</x:v>
      </x:c>
      <x:c r="O142" s="26" t="n">
        <x:v>46264</x:v>
      </x:c>
      <x:c r="P142" s="27" t="str">
        <x:v>Validate against current SBTG SOP/WI, machine, product and authority limits.</x:v>
      </x:c>
      <x:c r="Q142" s="29" t="n">
        <x:f>IF(OR(B142="",C142=""),"",SUMIFS($I$6:$I$285,$B$6:$B$285,B142,$C$6:$C$285,C142,$M$6:$M$285,"Yes"))</x:f>
        <x:v>1</x:v>
      </x:c>
      <x:c r="R142" s="25" t="str">
        <x:f>IF(A142="","",IF(ABS(Q142-1)&lt;0.0001,"Ready","Review Weight"))</x:f>
        <x:v>Ready</x:v>
      </x:c>
    </x:row>
    <x:row r="143">
      <x:c r="A143" s="25" t="str">
        <x:f>IF(OR(B143="",C143="",E143=""),"",B143&amp;"|"&amp;C143&amp;"|"&amp;E143)</x:f>
        <x:v>QAC/R&amp;D|Laboratory Technician|CORE-QUAL-001</x:v>
      </x:c>
      <x:c r="B143" s="24" t="str">
        <x:v>QAC/R&amp;D</x:v>
      </x:c>
      <x:c r="C143" s="24" t="str">
        <x:v>Laboratory Technician</x:v>
      </x:c>
      <x:c r="D143" s="24" t="str">
        <x:v>Operator/Technician</x:v>
      </x:c>
      <x:c r="E143" s="24" t="str">
        <x:v>CORE-QUAL-001</x:v>
      </x:c>
      <x:c r="F143" s="25" t="str">
        <x:f>IF(E143="","",IFERROR(VLOOKUP(E143,'02 Skill Catalogue'!$A$6:$K$95,4,FALSE),"Skill ID not found"))</x:f>
        <x:v>SOP and work-instruction discipline</x:v>
      </x:c>
      <x:c r="G143" s="25" t="str">
        <x:f>IF(E143="","",IFERROR(VLOOKUP(E143,'02 Skill Catalogue'!$A$6:$K$95,3,FALSE),""))</x:f>
        <x:v>Quality</x:v>
      </x:c>
      <x:c r="H143" s="24" t="str">
        <x:v>Critical</x:v>
      </x:c>
      <x:c r="I143" s="28" t="n">
        <x:v>0.125</x:v>
      </x:c>
      <x:c r="J143" s="24" t="n">
        <x:v>3</x:v>
      </x:c>
      <x:c r="K143" s="24" t="str">
        <x:v>No</x:v>
      </x:c>
      <x:c r="L143" s="24" t="n">
        <x:v>12</x:v>
      </x:c>
      <x:c r="M143" s="24" t="str">
        <x:v>Yes</x:v>
      </x:c>
      <x:c r="N143" s="24" t="str">
        <x:v>QAC/R&amp;D HOD</x:v>
      </x:c>
      <x:c r="O143" s="26" t="n">
        <x:v>46264</x:v>
      </x:c>
      <x:c r="P143" s="27" t="str">
        <x:v>Validate against current SBTG SOP/WI, machine, product and authority limits.</x:v>
      </x:c>
      <x:c r="Q143" s="29" t="n">
        <x:f>IF(OR(B143="",C143=""),"",SUMIFS($I$6:$I$285,$B$6:$B$285,B143,$C$6:$C$285,C143,$M$6:$M$285,"Yes"))</x:f>
        <x:v>1</x:v>
      </x:c>
      <x:c r="R143" s="25" t="str">
        <x:f>IF(A143="","",IF(ABS(Q143-1)&lt;0.0001,"Ready","Review Weight"))</x:f>
        <x:v>Ready</x:v>
      </x:c>
    </x:row>
    <x:row r="144">
      <x:c r="A144" s="25" t="str">
        <x:f>IF(OR(B144="",C144="",E144=""),"",B144&amp;"|"&amp;C144&amp;"|"&amp;E144)</x:f>
        <x:v>QAC/R&amp;D|Laboratory Technician|CORE-DATA-001</x:v>
      </x:c>
      <x:c r="B144" s="24" t="str">
        <x:v>QAC/R&amp;D</x:v>
      </x:c>
      <x:c r="C144" s="24" t="str">
        <x:v>Laboratory Technician</x:v>
      </x:c>
      <x:c r="D144" s="24" t="str">
        <x:v>Operator/Technician</x:v>
      </x:c>
      <x:c r="E144" s="24" t="str">
        <x:v>CORE-DATA-001</x:v>
      </x:c>
      <x:c r="F144" s="25" t="str">
        <x:f>IF(E144="","",IFERROR(VLOOKUP(E144,'02 Skill Catalogue'!$A$6:$K$95,4,FALSE),"Skill ID not found"))</x:f>
        <x:v>Accurate operational data recording</x:v>
      </x:c>
      <x:c r="G144" s="25" t="str">
        <x:f>IF(E144="","",IFERROR(VLOOKUP(E144,'02 Skill Catalogue'!$A$6:$K$95,3,FALSE),""))</x:f>
        <x:v>Digital/Data/AI</x:v>
      </x:c>
      <x:c r="H144" s="24" t="str">
        <x:v>Critical</x:v>
      </x:c>
      <x:c r="I144" s="28" t="n">
        <x:v>0.125</x:v>
      </x:c>
      <x:c r="J144" s="24" t="n">
        <x:v>3</x:v>
      </x:c>
      <x:c r="K144" s="24" t="str">
        <x:v>No</x:v>
      </x:c>
      <x:c r="L144" s="24" t="n">
        <x:v>12</x:v>
      </x:c>
      <x:c r="M144" s="24" t="str">
        <x:v>Yes</x:v>
      </x:c>
      <x:c r="N144" s="24" t="str">
        <x:v>QAC/R&amp;D HOD</x:v>
      </x:c>
      <x:c r="O144" s="26" t="n">
        <x:v>46264</x:v>
      </x:c>
      <x:c r="P144" s="27" t="str">
        <x:v>Validate against current SBTG SOP/WI, machine, product and authority limits.</x:v>
      </x:c>
      <x:c r="Q144" s="29" t="n">
        <x:f>IF(OR(B144="",C144=""),"",SUMIFS($I$6:$I$285,$B$6:$B$285,B144,$C$6:$C$285,C144,$M$6:$M$285,"Yes"))</x:f>
        <x:v>1</x:v>
      </x:c>
      <x:c r="R144" s="25" t="str">
        <x:f>IF(A144="","",IF(ABS(Q144-1)&lt;0.0001,"Ready","Review Weight"))</x:f>
        <x:v>Ready</x:v>
      </x:c>
    </x:row>
    <x:row r="145">
      <x:c r="A145" s="25" t="str">
        <x:f>IF(OR(B145="",C145="",E145=""),"",B145&amp;"|"&amp;C145&amp;"|"&amp;E145)</x:f>
        <x:v>QAC/R&amp;D|Laboratory Technician|QAC-TEST-001</x:v>
      </x:c>
      <x:c r="B145" s="24" t="str">
        <x:v>QAC/R&amp;D</x:v>
      </x:c>
      <x:c r="C145" s="24" t="str">
        <x:v>Laboratory Technician</x:v>
      </x:c>
      <x:c r="D145" s="24" t="str">
        <x:v>Operator/Technician</x:v>
      </x:c>
      <x:c r="E145" s="24" t="str">
        <x:v>QAC-TEST-001</x:v>
      </x:c>
      <x:c r="F145" s="25" t="str">
        <x:f>IF(E145="","",IFERROR(VLOOKUP(E145,'02 Skill Catalogue'!$A$6:$K$95,4,FALSE),"Skill ID not found"))</x:f>
        <x:v>Sampling and tape laboratory testing</x:v>
      </x:c>
      <x:c r="G145" s="25" t="str">
        <x:f>IF(E145="","",IFERROR(VLOOKUP(E145,'02 Skill Catalogue'!$A$6:$K$95,3,FALSE),""))</x:f>
        <x:v>Quality</x:v>
      </x:c>
      <x:c r="H145" s="24" t="str">
        <x:v>Critical</x:v>
      </x:c>
      <x:c r="I145" s="28" t="n">
        <x:v>0.125</x:v>
      </x:c>
      <x:c r="J145" s="24" t="n">
        <x:v>3</x:v>
      </x:c>
      <x:c r="K145" s="24" t="str">
        <x:v>No</x:v>
      </x:c>
      <x:c r="L145" s="24" t="n">
        <x:v>12</x:v>
      </x:c>
      <x:c r="M145" s="24" t="str">
        <x:v>Yes</x:v>
      </x:c>
      <x:c r="N145" s="24" t="str">
        <x:v>QAC/R&amp;D HOD</x:v>
      </x:c>
      <x:c r="O145" s="26" t="n">
        <x:v>46264</x:v>
      </x:c>
      <x:c r="P145" s="27" t="str">
        <x:v>Validate against current SBTG SOP/WI, machine, product and authority limits.</x:v>
      </x:c>
      <x:c r="Q145" s="29" t="n">
        <x:f>IF(OR(B145="",C145=""),"",SUMIFS($I$6:$I$285,$B$6:$B$285,B145,$C$6:$C$285,C145,$M$6:$M$285,"Yes"))</x:f>
        <x:v>1</x:v>
      </x:c>
      <x:c r="R145" s="25" t="str">
        <x:f>IF(A145="","",IF(ABS(Q145-1)&lt;0.0001,"Ready","Review Weight"))</x:f>
        <x:v>Ready</x:v>
      </x:c>
    </x:row>
    <x:row r="146">
      <x:c r="A146" s="25" t="str">
        <x:f>IF(OR(B146="",C146="",E146=""),"",B146&amp;"|"&amp;C146&amp;"|"&amp;E146)</x:f>
        <x:v>QAC/R&amp;D|Laboratory Technician|QAC-MET-002</x:v>
      </x:c>
      <x:c r="B146" s="24" t="str">
        <x:v>QAC/R&amp;D</x:v>
      </x:c>
      <x:c r="C146" s="24" t="str">
        <x:v>Laboratory Technician</x:v>
      </x:c>
      <x:c r="D146" s="24" t="str">
        <x:v>Operator/Technician</x:v>
      </x:c>
      <x:c r="E146" s="24" t="str">
        <x:v>QAC-MET-002</x:v>
      </x:c>
      <x:c r="F146" s="25" t="str">
        <x:f>IF(E146="","",IFERROR(VLOOKUP(E146,'02 Skill Catalogue'!$A$6:$K$95,4,FALSE),"Skill ID not found"))</x:f>
        <x:v>Metrology and measurement-system understanding</x:v>
      </x:c>
      <x:c r="G146" s="25" t="str">
        <x:f>IF(E146="","",IFERROR(VLOOKUP(E146,'02 Skill Catalogue'!$A$6:$K$95,3,FALSE),""))</x:f>
        <x:v>Quality</x:v>
      </x:c>
      <x:c r="H146" s="24" t="str">
        <x:v>Critical</x:v>
      </x:c>
      <x:c r="I146" s="28" t="n">
        <x:v>0.125</x:v>
      </x:c>
      <x:c r="J146" s="24" t="n">
        <x:v>3</x:v>
      </x:c>
      <x:c r="K146" s="24" t="str">
        <x:v>No</x:v>
      </x:c>
      <x:c r="L146" s="24" t="n">
        <x:v>12</x:v>
      </x:c>
      <x:c r="M146" s="24" t="str">
        <x:v>Yes</x:v>
      </x:c>
      <x:c r="N146" s="24" t="str">
        <x:v>QAC/R&amp;D HOD</x:v>
      </x:c>
      <x:c r="O146" s="26" t="n">
        <x:v>46264</x:v>
      </x:c>
      <x:c r="P146" s="27" t="str">
        <x:v>Validate against current SBTG SOP/WI, machine, product and authority limits.</x:v>
      </x:c>
      <x:c r="Q146" s="29" t="n">
        <x:f>IF(OR(B146="",C146=""),"",SUMIFS($I$6:$I$285,$B$6:$B$285,B146,$C$6:$C$285,C146,$M$6:$M$285,"Yes"))</x:f>
        <x:v>1</x:v>
      </x:c>
      <x:c r="R146" s="25" t="str">
        <x:f>IF(A146="","",IF(ABS(Q146-1)&lt;0.0001,"Ready","Review Weight"))</x:f>
        <x:v>Ready</x:v>
      </x:c>
    </x:row>
    <x:row r="147">
      <x:c r="A147" s="25" t="str">
        <x:f>IF(OR(B147="",C147="",E147=""),"",B147&amp;"|"&amp;C147&amp;"|"&amp;E147)</x:f>
        <x:v>QAC/R&amp;D|Laboratory Technician|QAC-SPC-004</x:v>
      </x:c>
      <x:c r="B147" s="24" t="str">
        <x:v>QAC/R&amp;D</x:v>
      </x:c>
      <x:c r="C147" s="24" t="str">
        <x:v>Laboratory Technician</x:v>
      </x:c>
      <x:c r="D147" s="24" t="str">
        <x:v>Operator/Technician</x:v>
      </x:c>
      <x:c r="E147" s="24" t="str">
        <x:v>QAC-SPC-004</x:v>
      </x:c>
      <x:c r="F147" s="25" t="str">
        <x:f>IF(E147="","",IFERROR(VLOOKUP(E147,'02 Skill Catalogue'!$A$6:$K$95,4,FALSE),"Skill ID not found"))</x:f>
        <x:v>SPC and process-capability interpretation</x:v>
      </x:c>
      <x:c r="G147" s="25" t="str">
        <x:f>IF(E147="","",IFERROR(VLOOKUP(E147,'02 Skill Catalogue'!$A$6:$K$95,3,FALSE),""))</x:f>
        <x:v>Digital/Data/AI</x:v>
      </x:c>
      <x:c r="H147" s="24" t="str">
        <x:v>Essential</x:v>
      </x:c>
      <x:c r="I147" s="28" t="n">
        <x:v>0.125</x:v>
      </x:c>
      <x:c r="J147" s="24" t="n">
        <x:v>2</x:v>
      </x:c>
      <x:c r="K147" s="24" t="str">
        <x:v>No</x:v>
      </x:c>
      <x:c r="L147" s="24" t="n">
        <x:v>12</x:v>
      </x:c>
      <x:c r="M147" s="24" t="str">
        <x:v>Yes</x:v>
      </x:c>
      <x:c r="N147" s="24" t="str">
        <x:v>QAC/R&amp;D HOD</x:v>
      </x:c>
      <x:c r="O147" s="26" t="n">
        <x:v>46264</x:v>
      </x:c>
      <x:c r="P147" s="27" t="str">
        <x:v>Validate against current SBTG SOP/WI, machine, product and authority limits.</x:v>
      </x:c>
      <x:c r="Q147" s="29" t="n">
        <x:f>IF(OR(B147="",C147=""),"",SUMIFS($I$6:$I$285,$B$6:$B$285,B147,$C$6:$C$285,C147,$M$6:$M$285,"Yes"))</x:f>
        <x:v>1</x:v>
      </x:c>
      <x:c r="R147" s="25" t="str">
        <x:f>IF(A147="","",IF(ABS(Q147-1)&lt;0.0001,"Ready","Review Weight"))</x:f>
        <x:v>Ready</x:v>
      </x:c>
    </x:row>
    <x:row r="148">
      <x:c r="A148" s="25" t="str">
        <x:f>IF(OR(B148="",C148="",E148=""),"",B148&amp;"|"&amp;C148&amp;"|"&amp;E148)</x:f>
        <x:v>QAC/R&amp;D|Laboratory Technician|QAC-DOC-010</x:v>
      </x:c>
      <x:c r="B148" s="24" t="str">
        <x:v>QAC/R&amp;D</x:v>
      </x:c>
      <x:c r="C148" s="24" t="str">
        <x:v>Laboratory Technician</x:v>
      </x:c>
      <x:c r="D148" s="24" t="str">
        <x:v>Operator/Technician</x:v>
      </x:c>
      <x:c r="E148" s="24" t="str">
        <x:v>QAC-DOC-010</x:v>
      </x:c>
      <x:c r="F148" s="25" t="str">
        <x:f>IF(E148="","",IFERROR(VLOOKUP(E148,'02 Skill Catalogue'!$A$6:$K$95,4,FALSE),"Skill ID not found"))</x:f>
        <x:v>Specification, COA and controlled-document management</x:v>
      </x:c>
      <x:c r="G148" s="25" t="str">
        <x:f>IF(E148="","",IFERROR(VLOOKUP(E148,'02 Skill Catalogue'!$A$6:$K$95,3,FALSE),""))</x:f>
        <x:v>Quality</x:v>
      </x:c>
      <x:c r="H148" s="24" t="str">
        <x:v>Critical</x:v>
      </x:c>
      <x:c r="I148" s="28" t="n">
        <x:v>0.125</x:v>
      </x:c>
      <x:c r="J148" s="24" t="n">
        <x:v>2</x:v>
      </x:c>
      <x:c r="K148" s="24" t="str">
        <x:v>No</x:v>
      </x:c>
      <x:c r="L148" s="24" t="n">
        <x:v>12</x:v>
      </x:c>
      <x:c r="M148" s="24" t="str">
        <x:v>Yes</x:v>
      </x:c>
      <x:c r="N148" s="24" t="str">
        <x:v>QAC/R&amp;D HOD</x:v>
      </x:c>
      <x:c r="O148" s="26" t="n">
        <x:v>46264</x:v>
      </x:c>
      <x:c r="P148" s="27" t="str">
        <x:v>Validate against current SBTG SOP/WI, machine, product and authority limits.</x:v>
      </x:c>
      <x:c r="Q148" s="29" t="n">
        <x:f>IF(OR(B148="",C148=""),"",SUMIFS($I$6:$I$285,$B$6:$B$285,B148,$C$6:$C$285,C148,$M$6:$M$285,"Yes"))</x:f>
        <x:v>1</x:v>
      </x:c>
      <x:c r="R148" s="25" t="str">
        <x:f>IF(A148="","",IF(ABS(Q148-1)&lt;0.0001,"Ready","Review Weight"))</x:f>
        <x:v>Ready</x:v>
      </x:c>
    </x:row>
    <x:row r="149">
      <x:c r="A149" s="25" t="str">
        <x:f>IF(OR(B149="",C149="",E149=""),"",B149&amp;"|"&amp;C149&amp;"|"&amp;E149)</x:f>
        <x:v>QAC/R&amp;D|Laboratory Technician|CORE-PROB-001</x:v>
      </x:c>
      <x:c r="B149" s="24" t="str">
        <x:v>QAC/R&amp;D</x:v>
      </x:c>
      <x:c r="C149" s="24" t="str">
        <x:v>Laboratory Technician</x:v>
      </x:c>
      <x:c r="D149" s="24" t="str">
        <x:v>Operator/Technician</x:v>
      </x:c>
      <x:c r="E149" s="24" t="str">
        <x:v>CORE-PROB-001</x:v>
      </x:c>
      <x:c r="F149" s="25" t="str">
        <x:f>IF(E149="","",IFERROR(VLOOKUP(E149,'02 Skill Catalogue'!$A$6:$K$95,4,FALSE),"Skill ID not found"))</x:f>
        <x:v>Abnormality escalation and root-cause thinking</x:v>
      </x:c>
      <x:c r="G149" s="25" t="str">
        <x:f>IF(E149="","",IFERROR(VLOOKUP(E149,'02 Skill Catalogue'!$A$6:$K$95,3,FALSE),""))</x:f>
        <x:v>Problem Solving</x:v>
      </x:c>
      <x:c r="H149" s="24" t="str">
        <x:v>Essential</x:v>
      </x:c>
      <x:c r="I149" s="28" t="n">
        <x:v>0.125</x:v>
      </x:c>
      <x:c r="J149" s="24" t="n">
        <x:v>2</x:v>
      </x:c>
      <x:c r="K149" s="24" t="str">
        <x:v>No</x:v>
      </x:c>
      <x:c r="L149" s="24" t="n">
        <x:v>12</x:v>
      </x:c>
      <x:c r="M149" s="24" t="str">
        <x:v>Yes</x:v>
      </x:c>
      <x:c r="N149" s="24" t="str">
        <x:v>QAC/R&amp;D HOD</x:v>
      </x:c>
      <x:c r="O149" s="26" t="n">
        <x:v>46264</x:v>
      </x:c>
      <x:c r="P149" s="27" t="str">
        <x:v>Validate against current SBTG SOP/WI, machine, product and authority limits.</x:v>
      </x:c>
      <x:c r="Q149" s="29" t="n">
        <x:f>IF(OR(B149="",C149=""),"",SUMIFS($I$6:$I$285,$B$6:$B$285,B149,$C$6:$C$285,C149,$M$6:$M$285,"Yes"))</x:f>
        <x:v>1</x:v>
      </x:c>
      <x:c r="R149" s="25" t="str">
        <x:f>IF(A149="","",IF(ABS(Q149-1)&lt;0.0001,"Ready","Review Weight"))</x:f>
        <x:v>Ready</x:v>
      </x:c>
    </x:row>
    <x:row r="150">
      <x:c r="A150" s="25" t="str">
        <x:f>IF(OR(B150="",C150="",E150=""),"",B150&amp;"|"&amp;C150&amp;"|"&amp;E150)</x:f>
        <x:v>QAC/R&amp;D|R&amp;D / Process Scientist|CORE-SAF-001</x:v>
      </x:c>
      <x:c r="B150" s="24" t="str">
        <x:v>QAC/R&amp;D</x:v>
      </x:c>
      <x:c r="C150" s="24" t="str">
        <x:v>R&amp;D / Process Scientist</x:v>
      </x:c>
      <x:c r="D150" s="24" t="str">
        <x:v>Technologist/Executive</x:v>
      </x:c>
      <x:c r="E150" s="24" t="str">
        <x:v>CORE-SAF-001</x:v>
      </x:c>
      <x:c r="F150" s="25" t="str">
        <x:f>IF(E150="","",IFERROR(VLOOKUP(E150,'02 Skill Catalogue'!$A$6:$K$95,4,FALSE),"Skill ID not found"))</x:f>
        <x:v>Safe work, PPE and hazard control</x:v>
      </x:c>
      <x:c r="G150" s="25" t="str">
        <x:f>IF(E150="","",IFERROR(VLOOKUP(E150,'02 Skill Catalogue'!$A$6:$K$95,3,FALSE),""))</x:f>
        <x:v>Safety</x:v>
      </x:c>
      <x:c r="H150" s="24" t="str">
        <x:v>Critical</x:v>
      </x:c>
      <x:c r="I150" s="28" t="n">
        <x:v>0.125</x:v>
      </x:c>
      <x:c r="J150" s="24" t="n">
        <x:v>3</x:v>
      </x:c>
      <x:c r="K150" s="24" t="str">
        <x:v>No</x:v>
      </x:c>
      <x:c r="L150" s="24" t="n">
        <x:v>12</x:v>
      </x:c>
      <x:c r="M150" s="24" t="str">
        <x:v>Yes</x:v>
      </x:c>
      <x:c r="N150" s="24" t="str">
        <x:v>QAC/R&amp;D HOD</x:v>
      </x:c>
      <x:c r="O150" s="26" t="n">
        <x:v>46264</x:v>
      </x:c>
      <x:c r="P150" s="27" t="str">
        <x:v>Validate against current SBTG SOP/WI, machine, product and authority limits.</x:v>
      </x:c>
      <x:c r="Q150" s="29" t="n">
        <x:f>IF(OR(B150="",C150=""),"",SUMIFS($I$6:$I$285,$B$6:$B$285,B150,$C$6:$C$285,C150,$M$6:$M$285,"Yes"))</x:f>
        <x:v>1</x:v>
      </x:c>
      <x:c r="R150" s="25" t="str">
        <x:f>IF(A150="","",IF(ABS(Q150-1)&lt;0.0001,"Ready","Review Weight"))</x:f>
        <x:v>Ready</x:v>
      </x:c>
    </x:row>
    <x:row r="151">
      <x:c r="A151" s="25" t="str">
        <x:f>IF(OR(B151="",C151="",E151=""),"",B151&amp;"|"&amp;C151&amp;"|"&amp;E151)</x:f>
        <x:v>QAC/R&amp;D|R&amp;D / Process Scientist|CORE-QUAL-001</x:v>
      </x:c>
      <x:c r="B151" s="24" t="str">
        <x:v>QAC/R&amp;D</x:v>
      </x:c>
      <x:c r="C151" s="24" t="str">
        <x:v>R&amp;D / Process Scientist</x:v>
      </x:c>
      <x:c r="D151" s="24" t="str">
        <x:v>Technologist/Executive</x:v>
      </x:c>
      <x:c r="E151" s="24" t="str">
        <x:v>CORE-QUAL-001</x:v>
      </x:c>
      <x:c r="F151" s="25" t="str">
        <x:f>IF(E151="","",IFERROR(VLOOKUP(E151,'02 Skill Catalogue'!$A$6:$K$95,4,FALSE),"Skill ID not found"))</x:f>
        <x:v>SOP and work-instruction discipline</x:v>
      </x:c>
      <x:c r="G151" s="25" t="str">
        <x:f>IF(E151="","",IFERROR(VLOOKUP(E151,'02 Skill Catalogue'!$A$6:$K$95,3,FALSE),""))</x:f>
        <x:v>Quality</x:v>
      </x:c>
      <x:c r="H151" s="24" t="str">
        <x:v>Critical</x:v>
      </x:c>
      <x:c r="I151" s="28" t="n">
        <x:v>0.125</x:v>
      </x:c>
      <x:c r="J151" s="24" t="n">
        <x:v>4</x:v>
      </x:c>
      <x:c r="K151" s="24" t="str">
        <x:v>No</x:v>
      </x:c>
      <x:c r="L151" s="24" t="n">
        <x:v>12</x:v>
      </x:c>
      <x:c r="M151" s="24" t="str">
        <x:v>Yes</x:v>
      </x:c>
      <x:c r="N151" s="24" t="str">
        <x:v>QAC/R&amp;D HOD</x:v>
      </x:c>
      <x:c r="O151" s="26" t="n">
        <x:v>46264</x:v>
      </x:c>
      <x:c r="P151" s="27" t="str">
        <x:v>Validate against current SBTG SOP/WI, machine, product and authority limits.</x:v>
      </x:c>
      <x:c r="Q151" s="29" t="n">
        <x:f>IF(OR(B151="",C151=""),"",SUMIFS($I$6:$I$285,$B$6:$B$285,B151,$C$6:$C$285,C151,$M$6:$M$285,"Yes"))</x:f>
        <x:v>1</x:v>
      </x:c>
      <x:c r="R151" s="25" t="str">
        <x:f>IF(A151="","",IF(ABS(Q151-1)&lt;0.0001,"Ready","Review Weight"))</x:f>
        <x:v>Ready</x:v>
      </x:c>
    </x:row>
    <x:row r="152">
      <x:c r="A152" s="25" t="str">
        <x:f>IF(OR(B152="",C152="",E152=""),"",B152&amp;"|"&amp;C152&amp;"|"&amp;E152)</x:f>
        <x:v>QAC/R&amp;D|R&amp;D / Process Scientist|CORE-DATA-001</x:v>
      </x:c>
      <x:c r="B152" s="24" t="str">
        <x:v>QAC/R&amp;D</x:v>
      </x:c>
      <x:c r="C152" s="24" t="str">
        <x:v>R&amp;D / Process Scientist</x:v>
      </x:c>
      <x:c r="D152" s="24" t="str">
        <x:v>Technologist/Executive</x:v>
      </x:c>
      <x:c r="E152" s="24" t="str">
        <x:v>CORE-DATA-001</x:v>
      </x:c>
      <x:c r="F152" s="25" t="str">
        <x:f>IF(E152="","",IFERROR(VLOOKUP(E152,'02 Skill Catalogue'!$A$6:$K$95,4,FALSE),"Skill ID not found"))</x:f>
        <x:v>Accurate operational data recording</x:v>
      </x:c>
      <x:c r="G152" s="25" t="str">
        <x:f>IF(E152="","",IFERROR(VLOOKUP(E152,'02 Skill Catalogue'!$A$6:$K$95,3,FALSE),""))</x:f>
        <x:v>Digital/Data/AI</x:v>
      </x:c>
      <x:c r="H152" s="24" t="str">
        <x:v>Critical</x:v>
      </x:c>
      <x:c r="I152" s="28" t="n">
        <x:v>0.125</x:v>
      </x:c>
      <x:c r="J152" s="24" t="n">
        <x:v>4</x:v>
      </x:c>
      <x:c r="K152" s="24" t="str">
        <x:v>No</x:v>
      </x:c>
      <x:c r="L152" s="24" t="n">
        <x:v>12</x:v>
      </x:c>
      <x:c r="M152" s="24" t="str">
        <x:v>Yes</x:v>
      </x:c>
      <x:c r="N152" s="24" t="str">
        <x:v>QAC/R&amp;D HOD</x:v>
      </x:c>
      <x:c r="O152" s="26" t="n">
        <x:v>46264</x:v>
      </x:c>
      <x:c r="P152" s="27" t="str">
        <x:v>Validate against current SBTG SOP/WI, machine, product and authority limits.</x:v>
      </x:c>
      <x:c r="Q152" s="29" t="n">
        <x:f>IF(OR(B152="",C152=""),"",SUMIFS($I$6:$I$285,$B$6:$B$285,B152,$C$6:$C$285,C152,$M$6:$M$285,"Yes"))</x:f>
        <x:v>1</x:v>
      </x:c>
      <x:c r="R152" s="25" t="str">
        <x:f>IF(A152="","",IF(ABS(Q152-1)&lt;0.0001,"Ready","Review Weight"))</x:f>
        <x:v>Ready</x:v>
      </x:c>
    </x:row>
    <x:row r="153">
      <x:c r="A153" s="25" t="str">
        <x:f>IF(OR(B153="",C153="",E153=""),"",B153&amp;"|"&amp;C153&amp;"|"&amp;E153)</x:f>
        <x:v>QAC/R&amp;D|R&amp;D / Process Scientist|RND-FORM-007</x:v>
      </x:c>
      <x:c r="B153" s="24" t="str">
        <x:v>QAC/R&amp;D</x:v>
      </x:c>
      <x:c r="C153" s="24" t="str">
        <x:v>R&amp;D / Process Scientist</x:v>
      </x:c>
      <x:c r="D153" s="24" t="str">
        <x:v>Technologist/Executive</x:v>
      </x:c>
      <x:c r="E153" s="24" t="str">
        <x:v>RND-FORM-007</x:v>
      </x:c>
      <x:c r="F153" s="25" t="str">
        <x:f>IF(E153="","",IFERROR(VLOOKUP(E153,'02 Skill Catalogue'!$A$6:$K$95,4,FALSE),"Skill ID not found"))</x:f>
        <x:v>Adhesive, film and tape construction knowledge</x:v>
      </x:c>
      <x:c r="G153" s="25" t="str">
        <x:f>IF(E153="","",IFERROR(VLOOKUP(E153,'02 Skill Catalogue'!$A$6:$K$95,3,FALSE),""))</x:f>
        <x:v>Process/Technical</x:v>
      </x:c>
      <x:c r="H153" s="24" t="str">
        <x:v>Critical</x:v>
      </x:c>
      <x:c r="I153" s="28" t="n">
        <x:v>0.125</x:v>
      </x:c>
      <x:c r="J153" s="24" t="n">
        <x:v>4</x:v>
      </x:c>
      <x:c r="K153" s="24" t="str">
        <x:v>No</x:v>
      </x:c>
      <x:c r="L153" s="24" t="n">
        <x:v>12</x:v>
      </x:c>
      <x:c r="M153" s="24" t="str">
        <x:v>Yes</x:v>
      </x:c>
      <x:c r="N153" s="24" t="str">
        <x:v>QAC/R&amp;D HOD</x:v>
      </x:c>
      <x:c r="O153" s="26" t="n">
        <x:v>46264</x:v>
      </x:c>
      <x:c r="P153" s="27" t="str">
        <x:v>Validate against current SBTG SOP/WI, machine, product and authority limits.</x:v>
      </x:c>
      <x:c r="Q153" s="29" t="n">
        <x:f>IF(OR(B153="",C153=""),"",SUMIFS($I$6:$I$285,$B$6:$B$285,B153,$C$6:$C$285,C153,$M$6:$M$285,"Yes"))</x:f>
        <x:v>1</x:v>
      </x:c>
      <x:c r="R153" s="25" t="str">
        <x:f>IF(A153="","",IF(ABS(Q153-1)&lt;0.0001,"Ready","Review Weight"))</x:f>
        <x:v>Ready</x:v>
      </x:c>
    </x:row>
    <x:row r="154">
      <x:c r="A154" s="25" t="str">
        <x:f>IF(OR(B154="",C154="",E154=""),"",B154&amp;"|"&amp;C154&amp;"|"&amp;E154)</x:f>
        <x:v>QAC/R&amp;D|R&amp;D / Process Scientist|RND-DOE-008</x:v>
      </x:c>
      <x:c r="B154" s="24" t="str">
        <x:v>QAC/R&amp;D</x:v>
      </x:c>
      <x:c r="C154" s="24" t="str">
        <x:v>R&amp;D / Process Scientist</x:v>
      </x:c>
      <x:c r="D154" s="24" t="str">
        <x:v>Technologist/Executive</x:v>
      </x:c>
      <x:c r="E154" s="24" t="str">
        <x:v>RND-DOE-008</x:v>
      </x:c>
      <x:c r="F154" s="25" t="str">
        <x:f>IF(E154="","",IFERROR(VLOOKUP(E154,'02 Skill Catalogue'!$A$6:$K$95,4,FALSE),"Skill ID not found"))</x:f>
        <x:v>DOE, trials and scale-up</x:v>
      </x:c>
      <x:c r="G154" s="25" t="str">
        <x:f>IF(E154="","",IFERROR(VLOOKUP(E154,'02 Skill Catalogue'!$A$6:$K$95,3,FALSE),""))</x:f>
        <x:v>Problem Solving</x:v>
      </x:c>
      <x:c r="H154" s="24" t="str">
        <x:v>Essential</x:v>
      </x:c>
      <x:c r="I154" s="28" t="n">
        <x:v>0.125</x:v>
      </x:c>
      <x:c r="J154" s="24" t="n">
        <x:v>4</x:v>
      </x:c>
      <x:c r="K154" s="24" t="str">
        <x:v>No</x:v>
      </x:c>
      <x:c r="L154" s="24" t="n">
        <x:v>12</x:v>
      </x:c>
      <x:c r="M154" s="24" t="str">
        <x:v>Yes</x:v>
      </x:c>
      <x:c r="N154" s="24" t="str">
        <x:v>QAC/R&amp;D HOD</x:v>
      </x:c>
      <x:c r="O154" s="26" t="n">
        <x:v>46264</x:v>
      </x:c>
      <x:c r="P154" s="27" t="str">
        <x:v>Validate against current SBTG SOP/WI, machine, product and authority limits.</x:v>
      </x:c>
      <x:c r="Q154" s="29" t="n">
        <x:f>IF(OR(B154="",C154=""),"",SUMIFS($I$6:$I$285,$B$6:$B$285,B154,$C$6:$C$285,C154,$M$6:$M$285,"Yes"))</x:f>
        <x:v>1</x:v>
      </x:c>
      <x:c r="R154" s="25" t="str">
        <x:f>IF(A154="","",IF(ABS(Q154-1)&lt;0.0001,"Ready","Review Weight"))</x:f>
        <x:v>Ready</x:v>
      </x:c>
    </x:row>
    <x:row r="155">
      <x:c r="A155" s="25" t="str">
        <x:f>IF(OR(B155="",C155="",E155=""),"",B155&amp;"|"&amp;C155&amp;"|"&amp;E155)</x:f>
        <x:v>QAC/R&amp;D|R&amp;D / Process Scientist|QAC-SPC-004</x:v>
      </x:c>
      <x:c r="B155" s="24" t="str">
        <x:v>QAC/R&amp;D</x:v>
      </x:c>
      <x:c r="C155" s="24" t="str">
        <x:v>R&amp;D / Process Scientist</x:v>
      </x:c>
      <x:c r="D155" s="24" t="str">
        <x:v>Technologist/Executive</x:v>
      </x:c>
      <x:c r="E155" s="24" t="str">
        <x:v>QAC-SPC-004</x:v>
      </x:c>
      <x:c r="F155" s="25" t="str">
        <x:f>IF(E155="","",IFERROR(VLOOKUP(E155,'02 Skill Catalogue'!$A$6:$K$95,4,FALSE),"Skill ID not found"))</x:f>
        <x:v>SPC and process-capability interpretation</x:v>
      </x:c>
      <x:c r="G155" s="25" t="str">
        <x:f>IF(E155="","",IFERROR(VLOOKUP(E155,'02 Skill Catalogue'!$A$6:$K$95,3,FALSE),""))</x:f>
        <x:v>Digital/Data/AI</x:v>
      </x:c>
      <x:c r="H155" s="24" t="str">
        <x:v>Essential</x:v>
      </x:c>
      <x:c r="I155" s="28" t="n">
        <x:v>0.125</x:v>
      </x:c>
      <x:c r="J155" s="24" t="n">
        <x:v>3</x:v>
      </x:c>
      <x:c r="K155" s="24" t="str">
        <x:v>No</x:v>
      </x:c>
      <x:c r="L155" s="24" t="n">
        <x:v>12</x:v>
      </x:c>
      <x:c r="M155" s="24" t="str">
        <x:v>Yes</x:v>
      </x:c>
      <x:c r="N155" s="24" t="str">
        <x:v>QAC/R&amp;D HOD</x:v>
      </x:c>
      <x:c r="O155" s="26" t="n">
        <x:v>46264</x:v>
      </x:c>
      <x:c r="P155" s="27" t="str">
        <x:v>Validate against current SBTG SOP/WI, machine, product and authority limits.</x:v>
      </x:c>
      <x:c r="Q155" s="29" t="n">
        <x:f>IF(OR(B155="",C155=""),"",SUMIFS($I$6:$I$285,$B$6:$B$285,B155,$C$6:$C$285,C155,$M$6:$M$285,"Yes"))</x:f>
        <x:v>1</x:v>
      </x:c>
      <x:c r="R155" s="25" t="str">
        <x:f>IF(A155="","",IF(ABS(Q155-1)&lt;0.0001,"Ready","Review Weight"))</x:f>
        <x:v>Ready</x:v>
      </x:c>
    </x:row>
    <x:row r="156">
      <x:c r="A156" s="25" t="str">
        <x:f>IF(OR(B156="",C156="",E156=""),"",B156&amp;"|"&amp;C156&amp;"|"&amp;E156)</x:f>
        <x:v>QAC/R&amp;D|R&amp;D / Process Scientist|QAC-RCA-006</x:v>
      </x:c>
      <x:c r="B156" s="24" t="str">
        <x:v>QAC/R&amp;D</x:v>
      </x:c>
      <x:c r="C156" s="24" t="str">
        <x:v>R&amp;D / Process Scientist</x:v>
      </x:c>
      <x:c r="D156" s="24" t="str">
        <x:v>Technologist/Executive</x:v>
      </x:c>
      <x:c r="E156" s="24" t="str">
        <x:v>QAC-RCA-006</x:v>
      </x:c>
      <x:c r="F156" s="25" t="str">
        <x:f>IF(E156="","",IFERROR(VLOOKUP(E156,'02 Skill Catalogue'!$A$6:$K$95,4,FALSE),"Skill ID not found"))</x:f>
        <x:v>Technical root cause and CAPA</x:v>
      </x:c>
      <x:c r="G156" s="25" t="str">
        <x:f>IF(E156="","",IFERROR(VLOOKUP(E156,'02 Skill Catalogue'!$A$6:$K$95,3,FALSE),""))</x:f>
        <x:v>Problem Solving</x:v>
      </x:c>
      <x:c r="H156" s="24" t="str">
        <x:v>Critical</x:v>
      </x:c>
      <x:c r="I156" s="28" t="n">
        <x:v>0.125</x:v>
      </x:c>
      <x:c r="J156" s="24" t="n">
        <x:v>4</x:v>
      </x:c>
      <x:c r="K156" s="24" t="str">
        <x:v>No</x:v>
      </x:c>
      <x:c r="L156" s="24" t="n">
        <x:v>12</x:v>
      </x:c>
      <x:c r="M156" s="24" t="str">
        <x:v>Yes</x:v>
      </x:c>
      <x:c r="N156" s="24" t="str">
        <x:v>QAC/R&amp;D HOD</x:v>
      </x:c>
      <x:c r="O156" s="26" t="n">
        <x:v>46264</x:v>
      </x:c>
      <x:c r="P156" s="27" t="str">
        <x:v>Validate against current SBTG SOP/WI, machine, product and authority limits.</x:v>
      </x:c>
      <x:c r="Q156" s="29" t="n">
        <x:f>IF(OR(B156="",C156=""),"",SUMIFS($I$6:$I$285,$B$6:$B$285,B156,$C$6:$C$285,C156,$M$6:$M$285,"Yes"))</x:f>
        <x:v>1</x:v>
      </x:c>
      <x:c r="R156" s="25" t="str">
        <x:f>IF(A156="","",IF(ABS(Q156-1)&lt;0.0001,"Ready","Review Weight"))</x:f>
        <x:v>Ready</x:v>
      </x:c>
    </x:row>
    <x:row r="157">
      <x:c r="A157" s="25" t="str">
        <x:f>IF(OR(B157="",C157="",E157=""),"",B157&amp;"|"&amp;C157&amp;"|"&amp;E157)</x:f>
        <x:v>QAC/R&amp;D|R&amp;D / Process Scientist|QAC-CLAIM-009</x:v>
      </x:c>
      <x:c r="B157" s="24" t="str">
        <x:v>QAC/R&amp;D</x:v>
      </x:c>
      <x:c r="C157" s="24" t="str">
        <x:v>R&amp;D / Process Scientist</x:v>
      </x:c>
      <x:c r="D157" s="24" t="str">
        <x:v>Technologist/Executive</x:v>
      </x:c>
      <x:c r="E157" s="24" t="str">
        <x:v>QAC-CLAIM-009</x:v>
      </x:c>
      <x:c r="F157" s="25" t="str">
        <x:f>IF(E157="","",IFERROR(VLOOKUP(E157,'02 Skill Catalogue'!$A$6:$K$95,4,FALSE),"Skill ID not found"))</x:f>
        <x:v>Customer application and claim investigation</x:v>
      </x:c>
      <x:c r="G157" s="25" t="str">
        <x:f>IF(E157="","",IFERROR(VLOOKUP(E157,'02 Skill Catalogue'!$A$6:$K$95,3,FALSE),""))</x:f>
        <x:v>Customer/Application</x:v>
      </x:c>
      <x:c r="H157" s="24" t="str">
        <x:v>Critical</x:v>
      </x:c>
      <x:c r="I157" s="28" t="n">
        <x:v>0.125</x:v>
      </x:c>
      <x:c r="J157" s="24" t="n">
        <x:v>3</x:v>
      </x:c>
      <x:c r="K157" s="24" t="str">
        <x:v>No</x:v>
      </x:c>
      <x:c r="L157" s="24" t="n">
        <x:v>12</x:v>
      </x:c>
      <x:c r="M157" s="24" t="str">
        <x:v>Yes</x:v>
      </x:c>
      <x:c r="N157" s="24" t="str">
        <x:v>QAC/R&amp;D HOD</x:v>
      </x:c>
      <x:c r="O157" s="26" t="n">
        <x:v>46264</x:v>
      </x:c>
      <x:c r="P157" s="27" t="str">
        <x:v>Validate against current SBTG SOP/WI, machine, product and authority limits.</x:v>
      </x:c>
      <x:c r="Q157" s="29" t="n">
        <x:f>IF(OR(B157="",C157=""),"",SUMIFS($I$6:$I$285,$B$6:$B$285,B157,$C$6:$C$285,C157,$M$6:$M$285,"Yes"))</x:f>
        <x:v>1</x:v>
      </x:c>
      <x:c r="R157" s="25" t="str">
        <x:f>IF(A157="","",IF(ABS(Q157-1)&lt;0.0001,"Ready","Review Weight"))</x:f>
        <x:v>Ready</x:v>
      </x:c>
    </x:row>
    <x:row r="158">
      <x:c r="A158" s="25" t="str">
        <x:f>IF(OR(B158="",C158="",E158=""),"",B158&amp;"|"&amp;C158&amp;"|"&amp;E158)</x:f>
        <x:v>QAC/R&amp;D|QAC Helper / Sample Assistant|CORE-SAF-001</x:v>
      </x:c>
      <x:c r="B158" s="24" t="str">
        <x:v>QAC/R&amp;D</x:v>
      </x:c>
      <x:c r="C158" s="24" t="str">
        <x:v>QAC Helper / Sample Assistant</x:v>
      </x:c>
      <x:c r="D158" s="24" t="str">
        <x:v>Helper/Trainee</x:v>
      </x:c>
      <x:c r="E158" s="24" t="str">
        <x:v>CORE-SAF-001</x:v>
      </x:c>
      <x:c r="F158" s="25" t="str">
        <x:f>IF(E158="","",IFERROR(VLOOKUP(E158,'02 Skill Catalogue'!$A$6:$K$95,4,FALSE),"Skill ID not found"))</x:f>
        <x:v>Safe work, PPE and hazard control</x:v>
      </x:c>
      <x:c r="G158" s="25" t="str">
        <x:f>IF(E158="","",IFERROR(VLOOKUP(E158,'02 Skill Catalogue'!$A$6:$K$95,3,FALSE),""))</x:f>
        <x:v>Safety</x:v>
      </x:c>
      <x:c r="H158" s="24" t="str">
        <x:v>Critical</x:v>
      </x:c>
      <x:c r="I158" s="28" t="n">
        <x:v>0.125</x:v>
      </x:c>
      <x:c r="J158" s="24" t="n">
        <x:v>2</x:v>
      </x:c>
      <x:c r="K158" s="24" t="str">
        <x:v>No</x:v>
      </x:c>
      <x:c r="L158" s="24" t="n">
        <x:v>12</x:v>
      </x:c>
      <x:c r="M158" s="24" t="str">
        <x:v>Yes</x:v>
      </x:c>
      <x:c r="N158" s="24" t="str">
        <x:v>QAC/R&amp;D HOD</x:v>
      </x:c>
      <x:c r="O158" s="26" t="n">
        <x:v>46264</x:v>
      </x:c>
      <x:c r="P158" s="27" t="str">
        <x:v>Validate against current SBTG SOP/WI, machine, product and authority limits.</x:v>
      </x:c>
      <x:c r="Q158" s="29" t="n">
        <x:f>IF(OR(B158="",C158=""),"",SUMIFS($I$6:$I$285,$B$6:$B$285,B158,$C$6:$C$285,C158,$M$6:$M$285,"Yes"))</x:f>
        <x:v>1</x:v>
      </x:c>
      <x:c r="R158" s="25" t="str">
        <x:f>IF(A158="","",IF(ABS(Q158-1)&lt;0.0001,"Ready","Review Weight"))</x:f>
        <x:v>Ready</x:v>
      </x:c>
    </x:row>
    <x:row r="159">
      <x:c r="A159" s="25" t="str">
        <x:f>IF(OR(B159="",C159="",E159=""),"",B159&amp;"|"&amp;C159&amp;"|"&amp;E159)</x:f>
        <x:v>QAC/R&amp;D|QAC Helper / Sample Assistant|CORE-QUAL-001</x:v>
      </x:c>
      <x:c r="B159" s="24" t="str">
        <x:v>QAC/R&amp;D</x:v>
      </x:c>
      <x:c r="C159" s="24" t="str">
        <x:v>QAC Helper / Sample Assistant</x:v>
      </x:c>
      <x:c r="D159" s="24" t="str">
        <x:v>Helper/Trainee</x:v>
      </x:c>
      <x:c r="E159" s="24" t="str">
        <x:v>CORE-QUAL-001</x:v>
      </x:c>
      <x:c r="F159" s="25" t="str">
        <x:f>IF(E159="","",IFERROR(VLOOKUP(E159,'02 Skill Catalogue'!$A$6:$K$95,4,FALSE),"Skill ID not found"))</x:f>
        <x:v>SOP and work-instruction discipline</x:v>
      </x:c>
      <x:c r="G159" s="25" t="str">
        <x:f>IF(E159="","",IFERROR(VLOOKUP(E159,'02 Skill Catalogue'!$A$6:$K$95,3,FALSE),""))</x:f>
        <x:v>Quality</x:v>
      </x:c>
      <x:c r="H159" s="24" t="str">
        <x:v>Critical</x:v>
      </x:c>
      <x:c r="I159" s="28" t="n">
        <x:v>0.125</x:v>
      </x:c>
      <x:c r="J159" s="24" t="n">
        <x:v>2</x:v>
      </x:c>
      <x:c r="K159" s="24" t="str">
        <x:v>No</x:v>
      </x:c>
      <x:c r="L159" s="24" t="n">
        <x:v>12</x:v>
      </x:c>
      <x:c r="M159" s="24" t="str">
        <x:v>Yes</x:v>
      </x:c>
      <x:c r="N159" s="24" t="str">
        <x:v>QAC/R&amp;D HOD</x:v>
      </x:c>
      <x:c r="O159" s="26" t="n">
        <x:v>46264</x:v>
      </x:c>
      <x:c r="P159" s="27" t="str">
        <x:v>Validate against current SBTG SOP/WI, machine, product and authority limits.</x:v>
      </x:c>
      <x:c r="Q159" s="29" t="n">
        <x:f>IF(OR(B159="",C159=""),"",SUMIFS($I$6:$I$285,$B$6:$B$285,B159,$C$6:$C$285,C159,$M$6:$M$285,"Yes"))</x:f>
        <x:v>1</x:v>
      </x:c>
      <x:c r="R159" s="25" t="str">
        <x:f>IF(A159="","",IF(ABS(Q159-1)&lt;0.0001,"Ready","Review Weight"))</x:f>
        <x:v>Ready</x:v>
      </x:c>
    </x:row>
    <x:row r="160">
      <x:c r="A160" s="25" t="str">
        <x:f>IF(OR(B160="",C160="",E160=""),"",B160&amp;"|"&amp;C160&amp;"|"&amp;E160)</x:f>
        <x:v>QAC/R&amp;D|QAC Helper / Sample Assistant|CORE-DATA-001</x:v>
      </x:c>
      <x:c r="B160" s="24" t="str">
        <x:v>QAC/R&amp;D</x:v>
      </x:c>
      <x:c r="C160" s="24" t="str">
        <x:v>QAC Helper / Sample Assistant</x:v>
      </x:c>
      <x:c r="D160" s="24" t="str">
        <x:v>Helper/Trainee</x:v>
      </x:c>
      <x:c r="E160" s="24" t="str">
        <x:v>CORE-DATA-001</x:v>
      </x:c>
      <x:c r="F160" s="25" t="str">
        <x:f>IF(E160="","",IFERROR(VLOOKUP(E160,'02 Skill Catalogue'!$A$6:$K$95,4,FALSE),"Skill ID not found"))</x:f>
        <x:v>Accurate operational data recording</x:v>
      </x:c>
      <x:c r="G160" s="25" t="str">
        <x:f>IF(E160="","",IFERROR(VLOOKUP(E160,'02 Skill Catalogue'!$A$6:$K$95,3,FALSE),""))</x:f>
        <x:v>Digital/Data/AI</x:v>
      </x:c>
      <x:c r="H160" s="24" t="str">
        <x:v>Critical</x:v>
      </x:c>
      <x:c r="I160" s="28" t="n">
        <x:v>0.125</x:v>
      </x:c>
      <x:c r="J160" s="24" t="n">
        <x:v>1</x:v>
      </x:c>
      <x:c r="K160" s="24" t="str">
        <x:v>No</x:v>
      </x:c>
      <x:c r="L160" s="24" t="n">
        <x:v>12</x:v>
      </x:c>
      <x:c r="M160" s="24" t="str">
        <x:v>Yes</x:v>
      </x:c>
      <x:c r="N160" s="24" t="str">
        <x:v>QAC/R&amp;D HOD</x:v>
      </x:c>
      <x:c r="O160" s="26" t="n">
        <x:v>46264</x:v>
      </x:c>
      <x:c r="P160" s="27" t="str">
        <x:v>Validate against current SBTG SOP/WI, machine, product and authority limits.</x:v>
      </x:c>
      <x:c r="Q160" s="29" t="n">
        <x:f>IF(OR(B160="",C160=""),"",SUMIFS($I$6:$I$285,$B$6:$B$285,B160,$C$6:$C$285,C160,$M$6:$M$285,"Yes"))</x:f>
        <x:v>1</x:v>
      </x:c>
      <x:c r="R160" s="25" t="str">
        <x:f>IF(A160="","",IF(ABS(Q160-1)&lt;0.0001,"Ready","Review Weight"))</x:f>
        <x:v>Ready</x:v>
      </x:c>
    </x:row>
    <x:row r="161">
      <x:c r="A161" s="25" t="str">
        <x:f>IF(OR(B161="",C161="",E161=""),"",B161&amp;"|"&amp;C161&amp;"|"&amp;E161)</x:f>
        <x:v>QAC/R&amp;D|QAC Helper / Sample Assistant|CORE-5S-001</x:v>
      </x:c>
      <x:c r="B161" s="24" t="str">
        <x:v>QAC/R&amp;D</x:v>
      </x:c>
      <x:c r="C161" s="24" t="str">
        <x:v>QAC Helper / Sample Assistant</x:v>
      </x:c>
      <x:c r="D161" s="24" t="str">
        <x:v>Helper/Trainee</x:v>
      </x:c>
      <x:c r="E161" s="24" t="str">
        <x:v>CORE-5S-001</x:v>
      </x:c>
      <x:c r="F161" s="25" t="str">
        <x:f>IF(E161="","",IFERROR(VLOOKUP(E161,'02 Skill Catalogue'!$A$6:$K$95,4,FALSE),"Skill ID not found"))</x:f>
        <x:v>5S and workplace ownership</x:v>
      </x:c>
      <x:c r="G161" s="25" t="str">
        <x:f>IF(E161="","",IFERROR(VLOOKUP(E161,'02 Skill Catalogue'!$A$6:$K$95,3,FALSE),""))</x:f>
        <x:v>Work Discipline</x:v>
      </x:c>
      <x:c r="H161" s="24" t="str">
        <x:v>Essential</x:v>
      </x:c>
      <x:c r="I161" s="28" t="n">
        <x:v>0.125</x:v>
      </x:c>
      <x:c r="J161" s="24" t="n">
        <x:v>2</x:v>
      </x:c>
      <x:c r="K161" s="24" t="str">
        <x:v>No</x:v>
      </x:c>
      <x:c r="L161" s="24" t="n">
        <x:v>12</x:v>
      </x:c>
      <x:c r="M161" s="24" t="str">
        <x:v>Yes</x:v>
      </x:c>
      <x:c r="N161" s="24" t="str">
        <x:v>QAC/R&amp;D HOD</x:v>
      </x:c>
      <x:c r="O161" s="26" t="n">
        <x:v>46264</x:v>
      </x:c>
      <x:c r="P161" s="27" t="str">
        <x:v>Validate against current SBTG SOP/WI, machine, product and authority limits.</x:v>
      </x:c>
      <x:c r="Q161" s="29" t="n">
        <x:f>IF(OR(B161="",C161=""),"",SUMIFS($I$6:$I$285,$B$6:$B$285,B161,$C$6:$C$285,C161,$M$6:$M$285,"Yes"))</x:f>
        <x:v>1</x:v>
      </x:c>
      <x:c r="R161" s="25" t="str">
        <x:f>IF(A161="","",IF(ABS(Q161-1)&lt;0.0001,"Ready","Review Weight"))</x:f>
        <x:v>Ready</x:v>
      </x:c>
    </x:row>
    <x:row r="162">
      <x:c r="A162" s="25" t="str">
        <x:f>IF(OR(B162="",C162="",E162=""),"",B162&amp;"|"&amp;C162&amp;"|"&amp;E162)</x:f>
        <x:v>QAC/R&amp;D|QAC Helper / Sample Assistant|QAC-TEST-001</x:v>
      </x:c>
      <x:c r="B162" s="24" t="str">
        <x:v>QAC/R&amp;D</x:v>
      </x:c>
      <x:c r="C162" s="24" t="str">
        <x:v>QAC Helper / Sample Assistant</x:v>
      </x:c>
      <x:c r="D162" s="24" t="str">
        <x:v>Helper/Trainee</x:v>
      </x:c>
      <x:c r="E162" s="24" t="str">
        <x:v>QAC-TEST-001</x:v>
      </x:c>
      <x:c r="F162" s="25" t="str">
        <x:f>IF(E162="","",IFERROR(VLOOKUP(E162,'02 Skill Catalogue'!$A$6:$K$95,4,FALSE),"Skill ID not found"))</x:f>
        <x:v>Sampling and tape laboratory testing</x:v>
      </x:c>
      <x:c r="G162" s="25" t="str">
        <x:f>IF(E162="","",IFERROR(VLOOKUP(E162,'02 Skill Catalogue'!$A$6:$K$95,3,FALSE),""))</x:f>
        <x:v>Quality</x:v>
      </x:c>
      <x:c r="H162" s="24" t="str">
        <x:v>Critical</x:v>
      </x:c>
      <x:c r="I162" s="28" t="n">
        <x:v>0.125</x:v>
      </x:c>
      <x:c r="J162" s="24" t="n">
        <x:v>1</x:v>
      </x:c>
      <x:c r="K162" s="24" t="str">
        <x:v>No</x:v>
      </x:c>
      <x:c r="L162" s="24" t="n">
        <x:v>12</x:v>
      </x:c>
      <x:c r="M162" s="24" t="str">
        <x:v>Yes</x:v>
      </x:c>
      <x:c r="N162" s="24" t="str">
        <x:v>QAC/R&amp;D HOD</x:v>
      </x:c>
      <x:c r="O162" s="26" t="n">
        <x:v>46264</x:v>
      </x:c>
      <x:c r="P162" s="27" t="str">
        <x:v>Validate against current SBTG SOP/WI, machine, product and authority limits.</x:v>
      </x:c>
      <x:c r="Q162" s="29" t="n">
        <x:f>IF(OR(B162="",C162=""),"",SUMIFS($I$6:$I$285,$B$6:$B$285,B162,$C$6:$C$285,C162,$M$6:$M$285,"Yes"))</x:f>
        <x:v>1</x:v>
      </x:c>
      <x:c r="R162" s="25" t="str">
        <x:f>IF(A162="","",IF(ABS(Q162-1)&lt;0.0001,"Ready","Review Weight"))</x:f>
        <x:v>Ready</x:v>
      </x:c>
    </x:row>
    <x:row r="163">
      <x:c r="A163" s="25" t="str">
        <x:f>IF(OR(B163="",C163="",E163=""),"",B163&amp;"|"&amp;C163&amp;"|"&amp;E163)</x:f>
        <x:v>QAC/R&amp;D|QAC Helper / Sample Assistant|QAC-MET-002</x:v>
      </x:c>
      <x:c r="B163" s="24" t="str">
        <x:v>QAC/R&amp;D</x:v>
      </x:c>
      <x:c r="C163" s="24" t="str">
        <x:v>QAC Helper / Sample Assistant</x:v>
      </x:c>
      <x:c r="D163" s="24" t="str">
        <x:v>Helper/Trainee</x:v>
      </x:c>
      <x:c r="E163" s="24" t="str">
        <x:v>QAC-MET-002</x:v>
      </x:c>
      <x:c r="F163" s="25" t="str">
        <x:f>IF(E163="","",IFERROR(VLOOKUP(E163,'02 Skill Catalogue'!$A$6:$K$95,4,FALSE),"Skill ID not found"))</x:f>
        <x:v>Metrology and measurement-system understanding</x:v>
      </x:c>
      <x:c r="G163" s="25" t="str">
        <x:f>IF(E163="","",IFERROR(VLOOKUP(E163,'02 Skill Catalogue'!$A$6:$K$95,3,FALSE),""))</x:f>
        <x:v>Quality</x:v>
      </x:c>
      <x:c r="H163" s="24" t="str">
        <x:v>Critical</x:v>
      </x:c>
      <x:c r="I163" s="28" t="n">
        <x:v>0.125</x:v>
      </x:c>
      <x:c r="J163" s="24" t="n">
        <x:v>1</x:v>
      </x:c>
      <x:c r="K163" s="24" t="str">
        <x:v>No</x:v>
      </x:c>
      <x:c r="L163" s="24" t="n">
        <x:v>12</x:v>
      </x:c>
      <x:c r="M163" s="24" t="str">
        <x:v>Yes</x:v>
      </x:c>
      <x:c r="N163" s="24" t="str">
        <x:v>QAC/R&amp;D HOD</x:v>
      </x:c>
      <x:c r="O163" s="26" t="n">
        <x:v>46264</x:v>
      </x:c>
      <x:c r="P163" s="27" t="str">
        <x:v>Validate against current SBTG SOP/WI, machine, product and authority limits.</x:v>
      </x:c>
      <x:c r="Q163" s="29" t="n">
        <x:f>IF(OR(B163="",C163=""),"",SUMIFS($I$6:$I$285,$B$6:$B$285,B163,$C$6:$C$285,C163,$M$6:$M$285,"Yes"))</x:f>
        <x:v>1</x:v>
      </x:c>
      <x:c r="R163" s="25" t="str">
        <x:f>IF(A163="","",IF(ABS(Q163-1)&lt;0.0001,"Ready","Review Weight"))</x:f>
        <x:v>Ready</x:v>
      </x:c>
    </x:row>
    <x:row r="164">
      <x:c r="A164" s="25" t="str">
        <x:f>IF(OR(B164="",C164="",E164=""),"",B164&amp;"|"&amp;C164&amp;"|"&amp;E164)</x:f>
        <x:v>QAC/R&amp;D|QAC Helper / Sample Assistant|QAC-DOC-010</x:v>
      </x:c>
      <x:c r="B164" s="24" t="str">
        <x:v>QAC/R&amp;D</x:v>
      </x:c>
      <x:c r="C164" s="24" t="str">
        <x:v>QAC Helper / Sample Assistant</x:v>
      </x:c>
      <x:c r="D164" s="24" t="str">
        <x:v>Helper/Trainee</x:v>
      </x:c>
      <x:c r="E164" s="24" t="str">
        <x:v>QAC-DOC-010</x:v>
      </x:c>
      <x:c r="F164" s="25" t="str">
        <x:f>IF(E164="","",IFERROR(VLOOKUP(E164,'02 Skill Catalogue'!$A$6:$K$95,4,FALSE),"Skill ID not found"))</x:f>
        <x:v>Specification, COA and controlled-document management</x:v>
      </x:c>
      <x:c r="G164" s="25" t="str">
        <x:f>IF(E164="","",IFERROR(VLOOKUP(E164,'02 Skill Catalogue'!$A$6:$K$95,3,FALSE),""))</x:f>
        <x:v>Quality</x:v>
      </x:c>
      <x:c r="H164" s="24" t="str">
        <x:v>Critical</x:v>
      </x:c>
      <x:c r="I164" s="28" t="n">
        <x:v>0.125</x:v>
      </x:c>
      <x:c r="J164" s="24" t="n">
        <x:v>1</x:v>
      </x:c>
      <x:c r="K164" s="24" t="str">
        <x:v>No</x:v>
      </x:c>
      <x:c r="L164" s="24" t="n">
        <x:v>12</x:v>
      </x:c>
      <x:c r="M164" s="24" t="str">
        <x:v>Yes</x:v>
      </x:c>
      <x:c r="N164" s="24" t="str">
        <x:v>QAC/R&amp;D HOD</x:v>
      </x:c>
      <x:c r="O164" s="26" t="n">
        <x:v>46264</x:v>
      </x:c>
      <x:c r="P164" s="27" t="str">
        <x:v>Validate against current SBTG SOP/WI, machine, product and authority limits.</x:v>
      </x:c>
      <x:c r="Q164" s="29" t="n">
        <x:f>IF(OR(B164="",C164=""),"",SUMIFS($I$6:$I$285,$B$6:$B$285,B164,$C$6:$C$285,C164,$M$6:$M$285,"Yes"))</x:f>
        <x:v>1</x:v>
      </x:c>
      <x:c r="R164" s="25" t="str">
        <x:f>IF(A164="","",IF(ABS(Q164-1)&lt;0.0001,"Ready","Review Weight"))</x:f>
        <x:v>Ready</x:v>
      </x:c>
    </x:row>
    <x:row r="165">
      <x:c r="A165" s="25" t="str">
        <x:f>IF(OR(B165="",C165="",E165=""),"",B165&amp;"|"&amp;C165&amp;"|"&amp;E165)</x:f>
        <x:v>QAC/R&amp;D|QAC Helper / Sample Assistant|CORE-PROB-001</x:v>
      </x:c>
      <x:c r="B165" s="24" t="str">
        <x:v>QAC/R&amp;D</x:v>
      </x:c>
      <x:c r="C165" s="24" t="str">
        <x:v>QAC Helper / Sample Assistant</x:v>
      </x:c>
      <x:c r="D165" s="24" t="str">
        <x:v>Helper/Trainee</x:v>
      </x:c>
      <x:c r="E165" s="24" t="str">
        <x:v>CORE-PROB-001</x:v>
      </x:c>
      <x:c r="F165" s="25" t="str">
        <x:f>IF(E165="","",IFERROR(VLOOKUP(E165,'02 Skill Catalogue'!$A$6:$K$95,4,FALSE),"Skill ID not found"))</x:f>
        <x:v>Abnormality escalation and root-cause thinking</x:v>
      </x:c>
      <x:c r="G165" s="25" t="str">
        <x:f>IF(E165="","",IFERROR(VLOOKUP(E165,'02 Skill Catalogue'!$A$6:$K$95,3,FALSE),""))</x:f>
        <x:v>Problem Solving</x:v>
      </x:c>
      <x:c r="H165" s="24" t="str">
        <x:v>Development</x:v>
      </x:c>
      <x:c r="I165" s="28" t="n">
        <x:v>0.125</x:v>
      </x:c>
      <x:c r="J165" s="24" t="n">
        <x:v>1</x:v>
      </x:c>
      <x:c r="K165" s="24" t="str">
        <x:v>No</x:v>
      </x:c>
      <x:c r="L165" s="24" t="n">
        <x:v>12</x:v>
      </x:c>
      <x:c r="M165" s="24" t="str">
        <x:v>Yes</x:v>
      </x:c>
      <x:c r="N165" s="24" t="str">
        <x:v>QAC/R&amp;D HOD</x:v>
      </x:c>
      <x:c r="O165" s="26" t="n">
        <x:v>46264</x:v>
      </x:c>
      <x:c r="P165" s="27" t="str">
        <x:v>Validate against current SBTG SOP/WI, machine, product and authority limits.</x:v>
      </x:c>
      <x:c r="Q165" s="29" t="n">
        <x:f>IF(OR(B165="",C165=""),"",SUMIFS($I$6:$I$285,$B$6:$B$285,B165,$C$6:$C$285,C165,$M$6:$M$285,"Yes"))</x:f>
        <x:v>1</x:v>
      </x:c>
      <x:c r="R165" s="25" t="str">
        <x:f>IF(A165="","",IF(ABS(Q165-1)&lt;0.0001,"Ready","Review Weight"))</x:f>
        <x:v>Ready</x:v>
      </x:c>
    </x:row>
    <x:row r="166">
      <x:c r="A166" s="25" t="str">
        <x:f>IF(OR(B166="",C166="",E166=""),"",B166&amp;"|"&amp;C166&amp;"|"&amp;E166)</x:f>
        <x:v>Planning|Planning HOD / Manager|CORE-DATA-001</x:v>
      </x:c>
      <x:c r="B166" s="24" t="str">
        <x:v>Planning</x:v>
      </x:c>
      <x:c r="C166" s="24" t="str">
        <x:v>Planning HOD / Manager</x:v>
      </x:c>
      <x:c r="D166" s="24" t="str">
        <x:v>Leader</x:v>
      </x:c>
      <x:c r="E166" s="24" t="str">
        <x:v>CORE-DATA-001</x:v>
      </x:c>
      <x:c r="F166" s="25" t="str">
        <x:f>IF(E166="","",IFERROR(VLOOKUP(E166,'02 Skill Catalogue'!$A$6:$K$95,4,FALSE),"Skill ID not found"))</x:f>
        <x:v>Accurate operational data recording</x:v>
      </x:c>
      <x:c r="G166" s="25" t="str">
        <x:f>IF(E166="","",IFERROR(VLOOKUP(E166,'02 Skill Catalogue'!$A$6:$K$95,3,FALSE),""))</x:f>
        <x:v>Digital/Data/AI</x:v>
      </x:c>
      <x:c r="H166" s="24" t="str">
        <x:v>Critical</x:v>
      </x:c>
      <x:c r="I166" s="28" t="n">
        <x:v>0.125</x:v>
      </x:c>
      <x:c r="J166" s="24" t="n">
        <x:v>4</x:v>
      </x:c>
      <x:c r="K166" s="24" t="str">
        <x:v>No</x:v>
      </x:c>
      <x:c r="L166" s="24" t="n">
        <x:v>12</x:v>
      </x:c>
      <x:c r="M166" s="24" t="str">
        <x:v>Yes</x:v>
      </x:c>
      <x:c r="N166" s="24" t="str">
        <x:v>Planning HOD</x:v>
      </x:c>
      <x:c r="O166" s="26" t="n">
        <x:v>46264</x:v>
      </x:c>
      <x:c r="P166" s="27" t="str">
        <x:v>Validate against current SBTG SOP/WI, machine, product and authority limits.</x:v>
      </x:c>
      <x:c r="Q166" s="29" t="n">
        <x:f>IF(OR(B166="",C166=""),"",SUMIFS($I$6:$I$285,$B$6:$B$285,B166,$C$6:$C$285,C166,$M$6:$M$285,"Yes"))</x:f>
        <x:v>1</x:v>
      </x:c>
      <x:c r="R166" s="25" t="str">
        <x:f>IF(A166="","",IF(ABS(Q166-1)&lt;0.0001,"Ready","Review Weight"))</x:f>
        <x:v>Ready</x:v>
      </x:c>
    </x:row>
    <x:row r="167">
      <x:c r="A167" s="25" t="str">
        <x:f>IF(OR(B167="",C167="",E167=""),"",B167&amp;"|"&amp;C167&amp;"|"&amp;E167)</x:f>
        <x:v>Planning|Planning HOD / Manager|CORE-PROB-001</x:v>
      </x:c>
      <x:c r="B167" s="24" t="str">
        <x:v>Planning</x:v>
      </x:c>
      <x:c r="C167" s="24" t="str">
        <x:v>Planning HOD / Manager</x:v>
      </x:c>
      <x:c r="D167" s="24" t="str">
        <x:v>Leader</x:v>
      </x:c>
      <x:c r="E167" s="24" t="str">
        <x:v>CORE-PROB-001</x:v>
      </x:c>
      <x:c r="F167" s="25" t="str">
        <x:f>IF(E167="","",IFERROR(VLOOKUP(E167,'02 Skill Catalogue'!$A$6:$K$95,4,FALSE),"Skill ID not found"))</x:f>
        <x:v>Abnormality escalation and root-cause thinking</x:v>
      </x:c>
      <x:c r="G167" s="25" t="str">
        <x:f>IF(E167="","",IFERROR(VLOOKUP(E167,'02 Skill Catalogue'!$A$6:$K$95,3,FALSE),""))</x:f>
        <x:v>Problem Solving</x:v>
      </x:c>
      <x:c r="H167" s="24" t="str">
        <x:v>Essential</x:v>
      </x:c>
      <x:c r="I167" s="28" t="n">
        <x:v>0.125</x:v>
      </x:c>
      <x:c r="J167" s="24" t="n">
        <x:v>4</x:v>
      </x:c>
      <x:c r="K167" s="24" t="str">
        <x:v>No</x:v>
      </x:c>
      <x:c r="L167" s="24" t="n">
        <x:v>12</x:v>
      </x:c>
      <x:c r="M167" s="24" t="str">
        <x:v>Yes</x:v>
      </x:c>
      <x:c r="N167" s="24" t="str">
        <x:v>Planning HOD</x:v>
      </x:c>
      <x:c r="O167" s="26" t="n">
        <x:v>46264</x:v>
      </x:c>
      <x:c r="P167" s="27" t="str">
        <x:v>Validate against current SBTG SOP/WI, machine, product and authority limits.</x:v>
      </x:c>
      <x:c r="Q167" s="29" t="n">
        <x:f>IF(OR(B167="",C167=""),"",SUMIFS($I$6:$I$285,$B$6:$B$285,B167,$C$6:$C$285,C167,$M$6:$M$285,"Yes"))</x:f>
        <x:v>1</x:v>
      </x:c>
      <x:c r="R167" s="25" t="str">
        <x:f>IF(A167="","",IF(ABS(Q167-1)&lt;0.0001,"Ready","Review Weight"))</x:f>
        <x:v>Ready</x:v>
      </x:c>
    </x:row>
    <x:row r="168">
      <x:c r="A168" s="25" t="str">
        <x:f>IF(OR(B168="",C168="",E168=""),"",B168&amp;"|"&amp;C168&amp;"|"&amp;E168)</x:f>
        <x:v>Planning|Planning HOD / Manager|PLAN-MRP-001</x:v>
      </x:c>
      <x:c r="B168" s="24" t="str">
        <x:v>Planning</x:v>
      </x:c>
      <x:c r="C168" s="24" t="str">
        <x:v>Planning HOD / Manager</x:v>
      </x:c>
      <x:c r="D168" s="24" t="str">
        <x:v>Leader</x:v>
      </x:c>
      <x:c r="E168" s="24" t="str">
        <x:v>PLAN-MRP-001</x:v>
      </x:c>
      <x:c r="F168" s="25" t="str">
        <x:f>IF(E168="","",IFERROR(VLOOKUP(E168,'02 Skill Catalogue'!$A$6:$K$95,4,FALSE),"Skill ID not found"))</x:f>
        <x:v>AX/MRP planning discipline</x:v>
      </x:c>
      <x:c r="G168" s="25" t="str">
        <x:f>IF(E168="","",IFERROR(VLOOKUP(E168,'02 Skill Catalogue'!$A$6:$K$95,3,FALSE),""))</x:f>
        <x:v>Digital/Data/AI</x:v>
      </x:c>
      <x:c r="H168" s="24" t="str">
        <x:v>Critical</x:v>
      </x:c>
      <x:c r="I168" s="28" t="n">
        <x:v>0.125</x:v>
      </x:c>
      <x:c r="J168" s="24" t="n">
        <x:v>4</x:v>
      </x:c>
      <x:c r="K168" s="24" t="str">
        <x:v>No</x:v>
      </x:c>
      <x:c r="L168" s="24" t="n">
        <x:v>12</x:v>
      </x:c>
      <x:c r="M168" s="24" t="str">
        <x:v>Yes</x:v>
      </x:c>
      <x:c r="N168" s="24" t="str">
        <x:v>Planning HOD</x:v>
      </x:c>
      <x:c r="O168" s="26" t="n">
        <x:v>46264</x:v>
      </x:c>
      <x:c r="P168" s="27" t="str">
        <x:v>Validate against current SBTG SOP/WI, machine, product and authority limits.</x:v>
      </x:c>
      <x:c r="Q168" s="29" t="n">
        <x:f>IF(OR(B168="",C168=""),"",SUMIFS($I$6:$I$285,$B$6:$B$285,B168,$C$6:$C$285,C168,$M$6:$M$285,"Yes"))</x:f>
        <x:v>1</x:v>
      </x:c>
      <x:c r="R168" s="25" t="str">
        <x:f>IF(A168="","",IF(ABS(Q168-1)&lt;0.0001,"Ready","Review Weight"))</x:f>
        <x:v>Ready</x:v>
      </x:c>
    </x:row>
    <x:row r="169">
      <x:c r="A169" s="25" t="str">
        <x:f>IF(OR(B169="",C169="",E169=""),"",B169&amp;"|"&amp;C169&amp;"|"&amp;E169)</x:f>
        <x:v>Planning|Planning HOD / Manager|PLAN-CAP-002</x:v>
      </x:c>
      <x:c r="B169" s="24" t="str">
        <x:v>Planning</x:v>
      </x:c>
      <x:c r="C169" s="24" t="str">
        <x:v>Planning HOD / Manager</x:v>
      </x:c>
      <x:c r="D169" s="24" t="str">
        <x:v>Leader</x:v>
      </x:c>
      <x:c r="E169" s="24" t="str">
        <x:v>PLAN-CAP-002</x:v>
      </x:c>
      <x:c r="F169" s="25" t="str">
        <x:f>IF(E169="","",IFERROR(VLOOKUP(E169,'02 Skill Catalogue'!$A$6:$K$95,4,FALSE),"Skill ID not found"))</x:f>
        <x:v>Capacity and constraint planning</x:v>
      </x:c>
      <x:c r="G169" s="25" t="str">
        <x:f>IF(E169="","",IFERROR(VLOOKUP(E169,'02 Skill Catalogue'!$A$6:$K$95,3,FALSE),""))</x:f>
        <x:v>Process/Technical</x:v>
      </x:c>
      <x:c r="H169" s="24" t="str">
        <x:v>Critical</x:v>
      </x:c>
      <x:c r="I169" s="28" t="n">
        <x:v>0.125</x:v>
      </x:c>
      <x:c r="J169" s="24" t="n">
        <x:v>4</x:v>
      </x:c>
      <x:c r="K169" s="24" t="str">
        <x:v>No</x:v>
      </x:c>
      <x:c r="L169" s="24" t="n">
        <x:v>12</x:v>
      </x:c>
      <x:c r="M169" s="24" t="str">
        <x:v>Yes</x:v>
      </x:c>
      <x:c r="N169" s="24" t="str">
        <x:v>Planning HOD</x:v>
      </x:c>
      <x:c r="O169" s="26" t="n">
        <x:v>46264</x:v>
      </x:c>
      <x:c r="P169" s="27" t="str">
        <x:v>Validate against current SBTG SOP/WI, machine, product and authority limits.</x:v>
      </x:c>
      <x:c r="Q169" s="29" t="n">
        <x:f>IF(OR(B169="",C169=""),"",SUMIFS($I$6:$I$285,$B$6:$B$285,B169,$C$6:$C$285,C169,$M$6:$M$285,"Yes"))</x:f>
        <x:v>1</x:v>
      </x:c>
      <x:c r="R169" s="25" t="str">
        <x:f>IF(A169="","",IF(ABS(Q169-1)&lt;0.0001,"Ready","Review Weight"))</x:f>
        <x:v>Ready</x:v>
      </x:c>
    </x:row>
    <x:row r="170">
      <x:c r="A170" s="25" t="str">
        <x:f>IF(OR(B170="",C170="",E170=""),"",B170&amp;"|"&amp;C170&amp;"|"&amp;E170)</x:f>
        <x:v>Planning|Planning HOD / Manager|PLAN-SEQ-003</x:v>
      </x:c>
      <x:c r="B170" s="24" t="str">
        <x:v>Planning</x:v>
      </x:c>
      <x:c r="C170" s="24" t="str">
        <x:v>Planning HOD / Manager</x:v>
      </x:c>
      <x:c r="D170" s="24" t="str">
        <x:v>Leader</x:v>
      </x:c>
      <x:c r="E170" s="24" t="str">
        <x:v>PLAN-SEQ-003</x:v>
      </x:c>
      <x:c r="F170" s="25" t="str">
        <x:f>IF(E170="","",IFERROR(VLOOKUP(E170,'02 Skill Catalogue'!$A$6:$K$95,4,FALSE),"Skill ID not found"))</x:f>
        <x:v>Production sequencing and schedule stability</x:v>
      </x:c>
      <x:c r="G170" s="25" t="str">
        <x:f>IF(E170="","",IFERROR(VLOOKUP(E170,'02 Skill Catalogue'!$A$6:$K$95,3,FALSE),""))</x:f>
        <x:v>Process/Technical</x:v>
      </x:c>
      <x:c r="H170" s="24" t="str">
        <x:v>Critical</x:v>
      </x:c>
      <x:c r="I170" s="28" t="n">
        <x:v>0.125</x:v>
      </x:c>
      <x:c r="J170" s="24" t="n">
        <x:v>4</x:v>
      </x:c>
      <x:c r="K170" s="24" t="str">
        <x:v>No</x:v>
      </x:c>
      <x:c r="L170" s="24" t="n">
        <x:v>12</x:v>
      </x:c>
      <x:c r="M170" s="24" t="str">
        <x:v>Yes</x:v>
      </x:c>
      <x:c r="N170" s="24" t="str">
        <x:v>Planning HOD</x:v>
      </x:c>
      <x:c r="O170" s="26" t="n">
        <x:v>46264</x:v>
      </x:c>
      <x:c r="P170" s="27" t="str">
        <x:v>Validate against current SBTG SOP/WI, machine, product and authority limits.</x:v>
      </x:c>
      <x:c r="Q170" s="29" t="n">
        <x:f>IF(OR(B170="",C170=""),"",SUMIFS($I$6:$I$285,$B$6:$B$285,B170,$C$6:$C$285,C170,$M$6:$M$285,"Yes"))</x:f>
        <x:v>1</x:v>
      </x:c>
      <x:c r="R170" s="25" t="str">
        <x:f>IF(A170="","",IF(ABS(Q170-1)&lt;0.0001,"Ready","Review Weight"))</x:f>
        <x:v>Ready</x:v>
      </x:c>
    </x:row>
    <x:row r="171">
      <x:c r="A171" s="25" t="str">
        <x:f>IF(OR(B171="",C171="",E171=""),"",B171&amp;"|"&amp;C171&amp;"|"&amp;E171)</x:f>
        <x:v>Planning|Planning HOD / Manager|PLAN-IBP-007</x:v>
      </x:c>
      <x:c r="B171" s="24" t="str">
        <x:v>Planning</x:v>
      </x:c>
      <x:c r="C171" s="24" t="str">
        <x:v>Planning HOD / Manager</x:v>
      </x:c>
      <x:c r="D171" s="24" t="str">
        <x:v>Leader</x:v>
      </x:c>
      <x:c r="E171" s="24" t="str">
        <x:v>PLAN-IBP-007</x:v>
      </x:c>
      <x:c r="F171" s="25" t="str">
        <x:f>IF(E171="","",IFERROR(VLOOKUP(E171,'02 Skill Catalogue'!$A$6:$K$95,4,FALSE),"Skill ID not found"))</x:f>
        <x:v>IBP scenario and trade-off analysis</x:v>
      </x:c>
      <x:c r="G171" s="25" t="str">
        <x:f>IF(E171="","",IFERROR(VLOOKUP(E171,'02 Skill Catalogue'!$A$6:$K$95,3,FALSE),""))</x:f>
        <x:v>Digital/Data/AI</x:v>
      </x:c>
      <x:c r="H171" s="24" t="str">
        <x:v>Essential</x:v>
      </x:c>
      <x:c r="I171" s="28" t="n">
        <x:v>0.125</x:v>
      </x:c>
      <x:c r="J171" s="24" t="n">
        <x:v>4</x:v>
      </x:c>
      <x:c r="K171" s="24" t="str">
        <x:v>No</x:v>
      </x:c>
      <x:c r="L171" s="24" t="n">
        <x:v>12</x:v>
      </x:c>
      <x:c r="M171" s="24" t="str">
        <x:v>Yes</x:v>
      </x:c>
      <x:c r="N171" s="24" t="str">
        <x:v>Planning HOD</x:v>
      </x:c>
      <x:c r="O171" s="26" t="n">
        <x:v>46264</x:v>
      </x:c>
      <x:c r="P171" s="27" t="str">
        <x:v>Validate against current SBTG SOP/WI, machine, product and authority limits.</x:v>
      </x:c>
      <x:c r="Q171" s="29" t="n">
        <x:f>IF(OR(B171="",C171=""),"",SUMIFS($I$6:$I$285,$B$6:$B$285,B171,$C$6:$C$285,C171,$M$6:$M$285,"Yes"))</x:f>
        <x:v>1</x:v>
      </x:c>
      <x:c r="R171" s="25" t="str">
        <x:f>IF(A171="","",IF(ABS(Q171-1)&lt;0.0001,"Ready","Review Weight"))</x:f>
        <x:v>Ready</x:v>
      </x:c>
    </x:row>
    <x:row r="172">
      <x:c r="A172" s="25" t="str">
        <x:f>IF(OR(B172="",C172="",E172=""),"",B172&amp;"|"&amp;C172&amp;"|"&amp;E172)</x:f>
        <x:v>Planning|Planning HOD / Manager|LEAD-SYS-001</x:v>
      </x:c>
      <x:c r="B172" s="24" t="str">
        <x:v>Planning</x:v>
      </x:c>
      <x:c r="C172" s="24" t="str">
        <x:v>Planning HOD / Manager</x:v>
      </x:c>
      <x:c r="D172" s="24" t="str">
        <x:v>Leader</x:v>
      </x:c>
      <x:c r="E172" s="24" t="str">
        <x:v>LEAD-SYS-001</x:v>
      </x:c>
      <x:c r="F172" s="25" t="str">
        <x:f>IF(E172="","",IFERROR(VLOOKUP(E172,'02 Skill Catalogue'!$A$6:$K$95,4,FALSE),"Skill ID not found"))</x:f>
        <x:v>Process standardisation and system building</x:v>
      </x:c>
      <x:c r="G172" s="25" t="str">
        <x:f>IF(E172="","",IFERROR(VLOOKUP(E172,'02 Skill Catalogue'!$A$6:$K$95,3,FALSE),""))</x:f>
        <x:v>Leadership</x:v>
      </x:c>
      <x:c r="H172" s="24" t="str">
        <x:v>Essential</x:v>
      </x:c>
      <x:c r="I172" s="28" t="n">
        <x:v>0.125</x:v>
      </x:c>
      <x:c r="J172" s="24" t="n">
        <x:v>4</x:v>
      </x:c>
      <x:c r="K172" s="24" t="str">
        <x:v>No</x:v>
      </x:c>
      <x:c r="L172" s="24" t="n">
        <x:v>12</x:v>
      </x:c>
      <x:c r="M172" s="24" t="str">
        <x:v>Yes</x:v>
      </x:c>
      <x:c r="N172" s="24" t="str">
        <x:v>Planning HOD</x:v>
      </x:c>
      <x:c r="O172" s="26" t="n">
        <x:v>46264</x:v>
      </x:c>
      <x:c r="P172" s="27" t="str">
        <x:v>Validate against current SBTG SOP/WI, machine, product and authority limits.</x:v>
      </x:c>
      <x:c r="Q172" s="29" t="n">
        <x:f>IF(OR(B172="",C172=""),"",SUMIFS($I$6:$I$285,$B$6:$B$285,B172,$C$6:$C$285,C172,$M$6:$M$285,"Yes"))</x:f>
        <x:v>1</x:v>
      </x:c>
      <x:c r="R172" s="25" t="str">
        <x:f>IF(A172="","",IF(ABS(Q172-1)&lt;0.0001,"Ready","Review Weight"))</x:f>
        <x:v>Ready</x:v>
      </x:c>
    </x:row>
    <x:row r="173">
      <x:c r="A173" s="25" t="str">
        <x:f>IF(OR(B173="",C173="",E173=""),"",B173&amp;"|"&amp;C173&amp;"|"&amp;E173)</x:f>
        <x:v>Planning|Planning HOD / Manager|LEAD-VALUE-003</x:v>
      </x:c>
      <x:c r="B173" s="24" t="str">
        <x:v>Planning</x:v>
      </x:c>
      <x:c r="C173" s="24" t="str">
        <x:v>Planning HOD / Manager</x:v>
      </x:c>
      <x:c r="D173" s="24" t="str">
        <x:v>Leader</x:v>
      </x:c>
      <x:c r="E173" s="24" t="str">
        <x:v>LEAD-VALUE-003</x:v>
      </x:c>
      <x:c r="F173" s="25" t="str">
        <x:f>IF(E173="","",IFERROR(VLOOKUP(E173,'02 Skill Catalogue'!$A$6:$K$95,4,FALSE),"Skill ID not found"))</x:f>
        <x:v>KPI ownership and value creation</x:v>
      </x:c>
      <x:c r="G173" s="25" t="str">
        <x:f>IF(E173="","",IFERROR(VLOOKUP(E173,'02 Skill Catalogue'!$A$6:$K$95,3,FALSE),""))</x:f>
        <x:v>Leadership</x:v>
      </x:c>
      <x:c r="H173" s="24" t="str">
        <x:v>Essential</x:v>
      </x:c>
      <x:c r="I173" s="28" t="n">
        <x:v>0.125</x:v>
      </x:c>
      <x:c r="J173" s="24" t="n">
        <x:v>4</x:v>
      </x:c>
      <x:c r="K173" s="24" t="str">
        <x:v>No</x:v>
      </x:c>
      <x:c r="L173" s="24" t="n">
        <x:v>12</x:v>
      </x:c>
      <x:c r="M173" s="24" t="str">
        <x:v>Yes</x:v>
      </x:c>
      <x:c r="N173" s="24" t="str">
        <x:v>Planning HOD</x:v>
      </x:c>
      <x:c r="O173" s="26" t="n">
        <x:v>46264</x:v>
      </x:c>
      <x:c r="P173" s="27" t="str">
        <x:v>Validate against current SBTG SOP/WI, machine, product and authority limits.</x:v>
      </x:c>
      <x:c r="Q173" s="29" t="n">
        <x:f>IF(OR(B173="",C173=""),"",SUMIFS($I$6:$I$285,$B$6:$B$285,B173,$C$6:$C$285,C173,$M$6:$M$285,"Yes"))</x:f>
        <x:v>1</x:v>
      </x:c>
      <x:c r="R173" s="25" t="str">
        <x:f>IF(A173="","",IF(ABS(Q173-1)&lt;0.0001,"Ready","Review Weight"))</x:f>
        <x:v>Ready</x:v>
      </x:c>
    </x:row>
    <x:row r="174">
      <x:c r="A174" s="25" t="str">
        <x:f>IF(OR(B174="",C174="",E174=""),"",B174&amp;"|"&amp;C174&amp;"|"&amp;E174)</x:f>
        <x:v>Planning|Production Planner|CORE-DATA-001</x:v>
      </x:c>
      <x:c r="B174" s="24" t="str">
        <x:v>Planning</x:v>
      </x:c>
      <x:c r="C174" s="24" t="str">
        <x:v>Production Planner</x:v>
      </x:c>
      <x:c r="D174" s="24" t="str">
        <x:v>Technologist/Executive</x:v>
      </x:c>
      <x:c r="E174" s="24" t="str">
        <x:v>CORE-DATA-001</x:v>
      </x:c>
      <x:c r="F174" s="25" t="str">
        <x:f>IF(E174="","",IFERROR(VLOOKUP(E174,'02 Skill Catalogue'!$A$6:$K$95,4,FALSE),"Skill ID not found"))</x:f>
        <x:v>Accurate operational data recording</x:v>
      </x:c>
      <x:c r="G174" s="25" t="str">
        <x:f>IF(E174="","",IFERROR(VLOOKUP(E174,'02 Skill Catalogue'!$A$6:$K$95,3,FALSE),""))</x:f>
        <x:v>Digital/Data/AI</x:v>
      </x:c>
      <x:c r="H174" s="24" t="str">
        <x:v>Critical</x:v>
      </x:c>
      <x:c r="I174" s="28" t="n">
        <x:v>0.125</x:v>
      </x:c>
      <x:c r="J174" s="24" t="n">
        <x:v>4</x:v>
      </x:c>
      <x:c r="K174" s="24" t="str">
        <x:v>No</x:v>
      </x:c>
      <x:c r="L174" s="24" t="n">
        <x:v>12</x:v>
      </x:c>
      <x:c r="M174" s="24" t="str">
        <x:v>Yes</x:v>
      </x:c>
      <x:c r="N174" s="24" t="str">
        <x:v>Planning HOD</x:v>
      </x:c>
      <x:c r="O174" s="26" t="n">
        <x:v>46264</x:v>
      </x:c>
      <x:c r="P174" s="27" t="str">
        <x:v>Validate against current SBTG SOP/WI, machine, product and authority limits.</x:v>
      </x:c>
      <x:c r="Q174" s="29" t="n">
        <x:f>IF(OR(B174="",C174=""),"",SUMIFS($I$6:$I$285,$B$6:$B$285,B174,$C$6:$C$285,C174,$M$6:$M$285,"Yes"))</x:f>
        <x:v>1</x:v>
      </x:c>
      <x:c r="R174" s="25" t="str">
        <x:f>IF(A174="","",IF(ABS(Q174-1)&lt;0.0001,"Ready","Review Weight"))</x:f>
        <x:v>Ready</x:v>
      </x:c>
    </x:row>
    <x:row r="175">
      <x:c r="A175" s="25" t="str">
        <x:f>IF(OR(B175="",C175="",E175=""),"",B175&amp;"|"&amp;C175&amp;"|"&amp;E175)</x:f>
        <x:v>Planning|Production Planner|CORE-PROB-001</x:v>
      </x:c>
      <x:c r="B175" s="24" t="str">
        <x:v>Planning</x:v>
      </x:c>
      <x:c r="C175" s="24" t="str">
        <x:v>Production Planner</x:v>
      </x:c>
      <x:c r="D175" s="24" t="str">
        <x:v>Technologist/Executive</x:v>
      </x:c>
      <x:c r="E175" s="24" t="str">
        <x:v>CORE-PROB-001</x:v>
      </x:c>
      <x:c r="F175" s="25" t="str">
        <x:f>IF(E175="","",IFERROR(VLOOKUP(E175,'02 Skill Catalogue'!$A$6:$K$95,4,FALSE),"Skill ID not found"))</x:f>
        <x:v>Abnormality escalation and root-cause thinking</x:v>
      </x:c>
      <x:c r="G175" s="25" t="str">
        <x:f>IF(E175="","",IFERROR(VLOOKUP(E175,'02 Skill Catalogue'!$A$6:$K$95,3,FALSE),""))</x:f>
        <x:v>Problem Solving</x:v>
      </x:c>
      <x:c r="H175" s="24" t="str">
        <x:v>Essential</x:v>
      </x:c>
      <x:c r="I175" s="28" t="n">
        <x:v>0.125</x:v>
      </x:c>
      <x:c r="J175" s="24" t="n">
        <x:v>3</x:v>
      </x:c>
      <x:c r="K175" s="24" t="str">
        <x:v>No</x:v>
      </x:c>
      <x:c r="L175" s="24" t="n">
        <x:v>12</x:v>
      </x:c>
      <x:c r="M175" s="24" t="str">
        <x:v>Yes</x:v>
      </x:c>
      <x:c r="N175" s="24" t="str">
        <x:v>Planning HOD</x:v>
      </x:c>
      <x:c r="O175" s="26" t="n">
        <x:v>46264</x:v>
      </x:c>
      <x:c r="P175" s="27" t="str">
        <x:v>Validate against current SBTG SOP/WI, machine, product and authority limits.</x:v>
      </x:c>
      <x:c r="Q175" s="29" t="n">
        <x:f>IF(OR(B175="",C175=""),"",SUMIFS($I$6:$I$285,$B$6:$B$285,B175,$C$6:$C$285,C175,$M$6:$M$285,"Yes"))</x:f>
        <x:v>1</x:v>
      </x:c>
      <x:c r="R175" s="25" t="str">
        <x:f>IF(A175="","",IF(ABS(Q175-1)&lt;0.0001,"Ready","Review Weight"))</x:f>
        <x:v>Ready</x:v>
      </x:c>
    </x:row>
    <x:row r="176">
      <x:c r="A176" s="25" t="str">
        <x:f>IF(OR(B176="",C176="",E176=""),"",B176&amp;"|"&amp;C176&amp;"|"&amp;E176)</x:f>
        <x:v>Planning|Production Planner|PLAN-MRP-001</x:v>
      </x:c>
      <x:c r="B176" s="24" t="str">
        <x:v>Planning</x:v>
      </x:c>
      <x:c r="C176" s="24" t="str">
        <x:v>Production Planner</x:v>
      </x:c>
      <x:c r="D176" s="24" t="str">
        <x:v>Technologist/Executive</x:v>
      </x:c>
      <x:c r="E176" s="24" t="str">
        <x:v>PLAN-MRP-001</x:v>
      </x:c>
      <x:c r="F176" s="25" t="str">
        <x:f>IF(E176="","",IFERROR(VLOOKUP(E176,'02 Skill Catalogue'!$A$6:$K$95,4,FALSE),"Skill ID not found"))</x:f>
        <x:v>AX/MRP planning discipline</x:v>
      </x:c>
      <x:c r="G176" s="25" t="str">
        <x:f>IF(E176="","",IFERROR(VLOOKUP(E176,'02 Skill Catalogue'!$A$6:$K$95,3,FALSE),""))</x:f>
        <x:v>Digital/Data/AI</x:v>
      </x:c>
      <x:c r="H176" s="24" t="str">
        <x:v>Critical</x:v>
      </x:c>
      <x:c r="I176" s="28" t="n">
        <x:v>0.125</x:v>
      </x:c>
      <x:c r="J176" s="24" t="n">
        <x:v>3</x:v>
      </x:c>
      <x:c r="K176" s="24" t="str">
        <x:v>No</x:v>
      </x:c>
      <x:c r="L176" s="24" t="n">
        <x:v>12</x:v>
      </x:c>
      <x:c r="M176" s="24" t="str">
        <x:v>Yes</x:v>
      </x:c>
      <x:c r="N176" s="24" t="str">
        <x:v>Planning HOD</x:v>
      </x:c>
      <x:c r="O176" s="26" t="n">
        <x:v>46264</x:v>
      </x:c>
      <x:c r="P176" s="27" t="str">
        <x:v>Validate against current SBTG SOP/WI, machine, product and authority limits.</x:v>
      </x:c>
      <x:c r="Q176" s="29" t="n">
        <x:f>IF(OR(B176="",C176=""),"",SUMIFS($I$6:$I$285,$B$6:$B$285,B176,$C$6:$C$285,C176,$M$6:$M$285,"Yes"))</x:f>
        <x:v>1</x:v>
      </x:c>
      <x:c r="R176" s="25" t="str">
        <x:f>IF(A176="","",IF(ABS(Q176-1)&lt;0.0001,"Ready","Review Weight"))</x:f>
        <x:v>Ready</x:v>
      </x:c>
    </x:row>
    <x:row r="177">
      <x:c r="A177" s="25" t="str">
        <x:f>IF(OR(B177="",C177="",E177=""),"",B177&amp;"|"&amp;C177&amp;"|"&amp;E177)</x:f>
        <x:v>Planning|Production Planner|PLAN-CAP-002</x:v>
      </x:c>
      <x:c r="B177" s="24" t="str">
        <x:v>Planning</x:v>
      </x:c>
      <x:c r="C177" s="24" t="str">
        <x:v>Production Planner</x:v>
      </x:c>
      <x:c r="D177" s="24" t="str">
        <x:v>Technologist/Executive</x:v>
      </x:c>
      <x:c r="E177" s="24" t="str">
        <x:v>PLAN-CAP-002</x:v>
      </x:c>
      <x:c r="F177" s="25" t="str">
        <x:f>IF(E177="","",IFERROR(VLOOKUP(E177,'02 Skill Catalogue'!$A$6:$K$95,4,FALSE),"Skill ID not found"))</x:f>
        <x:v>Capacity and constraint planning</x:v>
      </x:c>
      <x:c r="G177" s="25" t="str">
        <x:f>IF(E177="","",IFERROR(VLOOKUP(E177,'02 Skill Catalogue'!$A$6:$K$95,3,FALSE),""))</x:f>
        <x:v>Process/Technical</x:v>
      </x:c>
      <x:c r="H177" s="24" t="str">
        <x:v>Critical</x:v>
      </x:c>
      <x:c r="I177" s="28" t="n">
        <x:v>0.125</x:v>
      </x:c>
      <x:c r="J177" s="24" t="n">
        <x:v>3</x:v>
      </x:c>
      <x:c r="K177" s="24" t="str">
        <x:v>No</x:v>
      </x:c>
      <x:c r="L177" s="24" t="n">
        <x:v>12</x:v>
      </x:c>
      <x:c r="M177" s="24" t="str">
        <x:v>Yes</x:v>
      </x:c>
      <x:c r="N177" s="24" t="str">
        <x:v>Planning HOD</x:v>
      </x:c>
      <x:c r="O177" s="26" t="n">
        <x:v>46264</x:v>
      </x:c>
      <x:c r="P177" s="27" t="str">
        <x:v>Validate against current SBTG SOP/WI, machine, product and authority limits.</x:v>
      </x:c>
      <x:c r="Q177" s="29" t="n">
        <x:f>IF(OR(B177="",C177=""),"",SUMIFS($I$6:$I$285,$B$6:$B$285,B177,$C$6:$C$285,C177,$M$6:$M$285,"Yes"))</x:f>
        <x:v>1</x:v>
      </x:c>
      <x:c r="R177" s="25" t="str">
        <x:f>IF(A177="","",IF(ABS(Q177-1)&lt;0.0001,"Ready","Review Weight"))</x:f>
        <x:v>Ready</x:v>
      </x:c>
    </x:row>
    <x:row r="178">
      <x:c r="A178" s="25" t="str">
        <x:f>IF(OR(B178="",C178="",E178=""),"",B178&amp;"|"&amp;C178&amp;"|"&amp;E178)</x:f>
        <x:v>Planning|Production Planner|PLAN-SEQ-003</x:v>
      </x:c>
      <x:c r="B178" s="24" t="str">
        <x:v>Planning</x:v>
      </x:c>
      <x:c r="C178" s="24" t="str">
        <x:v>Production Planner</x:v>
      </x:c>
      <x:c r="D178" s="24" t="str">
        <x:v>Technologist/Executive</x:v>
      </x:c>
      <x:c r="E178" s="24" t="str">
        <x:v>PLAN-SEQ-003</x:v>
      </x:c>
      <x:c r="F178" s="25" t="str">
        <x:f>IF(E178="","",IFERROR(VLOOKUP(E178,'02 Skill Catalogue'!$A$6:$K$95,4,FALSE),"Skill ID not found"))</x:f>
        <x:v>Production sequencing and schedule stability</x:v>
      </x:c>
      <x:c r="G178" s="25" t="str">
        <x:f>IF(E178="","",IFERROR(VLOOKUP(E178,'02 Skill Catalogue'!$A$6:$K$95,3,FALSE),""))</x:f>
        <x:v>Process/Technical</x:v>
      </x:c>
      <x:c r="H178" s="24" t="str">
        <x:v>Critical</x:v>
      </x:c>
      <x:c r="I178" s="28" t="n">
        <x:v>0.125</x:v>
      </x:c>
      <x:c r="J178" s="24" t="n">
        <x:v>4</x:v>
      </x:c>
      <x:c r="K178" s="24" t="str">
        <x:v>No</x:v>
      </x:c>
      <x:c r="L178" s="24" t="n">
        <x:v>12</x:v>
      </x:c>
      <x:c r="M178" s="24" t="str">
        <x:v>Yes</x:v>
      </x:c>
      <x:c r="N178" s="24" t="str">
        <x:v>Planning HOD</x:v>
      </x:c>
      <x:c r="O178" s="26" t="n">
        <x:v>46264</x:v>
      </x:c>
      <x:c r="P178" s="27" t="str">
        <x:v>Validate against current SBTG SOP/WI, machine, product and authority limits.</x:v>
      </x:c>
      <x:c r="Q178" s="29" t="n">
        <x:f>IF(OR(B178="",C178=""),"",SUMIFS($I$6:$I$285,$B$6:$B$285,B178,$C$6:$C$285,C178,$M$6:$M$285,"Yes"))</x:f>
        <x:v>1</x:v>
      </x:c>
      <x:c r="R178" s="25" t="str">
        <x:f>IF(A178="","",IF(ABS(Q178-1)&lt;0.0001,"Ready","Review Weight"))</x:f>
        <x:v>Ready</x:v>
      </x:c>
    </x:row>
    <x:row r="179">
      <x:c r="A179" s="25" t="str">
        <x:f>IF(OR(B179="",C179="",E179=""),"",B179&amp;"|"&amp;C179&amp;"|"&amp;E179)</x:f>
        <x:v>Planning|Production Planner|PLAN-MAT-004</x:v>
      </x:c>
      <x:c r="B179" s="24" t="str">
        <x:v>Planning</x:v>
      </x:c>
      <x:c r="C179" s="24" t="str">
        <x:v>Production Planner</x:v>
      </x:c>
      <x:c r="D179" s="24" t="str">
        <x:v>Technologist/Executive</x:v>
      </x:c>
      <x:c r="E179" s="24" t="str">
        <x:v>PLAN-MAT-004</x:v>
      </x:c>
      <x:c r="F179" s="25" t="str">
        <x:f>IF(E179="","",IFERROR(VLOOKUP(E179,'02 Skill Catalogue'!$A$6:$K$95,4,FALSE),"Skill ID not found"))</x:f>
        <x:v>Material availability and shortage control</x:v>
      </x:c>
      <x:c r="G179" s="25" t="str">
        <x:f>IF(E179="","",IFERROR(VLOOKUP(E179,'02 Skill Catalogue'!$A$6:$K$95,3,FALSE),""))</x:f>
        <x:v>Process/Technical</x:v>
      </x:c>
      <x:c r="H179" s="24" t="str">
        <x:v>Critical</x:v>
      </x:c>
      <x:c r="I179" s="28" t="n">
        <x:v>0.125</x:v>
      </x:c>
      <x:c r="J179" s="24" t="n">
        <x:v>3</x:v>
      </x:c>
      <x:c r="K179" s="24" t="str">
        <x:v>No</x:v>
      </x:c>
      <x:c r="L179" s="24" t="n">
        <x:v>12</x:v>
      </x:c>
      <x:c r="M179" s="24" t="str">
        <x:v>Yes</x:v>
      </x:c>
      <x:c r="N179" s="24" t="str">
        <x:v>Planning HOD</x:v>
      </x:c>
      <x:c r="O179" s="26" t="n">
        <x:v>46264</x:v>
      </x:c>
      <x:c r="P179" s="27" t="str">
        <x:v>Validate against current SBTG SOP/WI, machine, product and authority limits.</x:v>
      </x:c>
      <x:c r="Q179" s="29" t="n">
        <x:f>IF(OR(B179="",C179=""),"",SUMIFS($I$6:$I$285,$B$6:$B$285,B179,$C$6:$C$285,C179,$M$6:$M$285,"Yes"))</x:f>
        <x:v>1</x:v>
      </x:c>
      <x:c r="R179" s="25" t="str">
        <x:f>IF(A179="","",IF(ABS(Q179-1)&lt;0.0001,"Ready","Review Weight"))</x:f>
        <x:v>Ready</x:v>
      </x:c>
    </x:row>
    <x:row r="180">
      <x:c r="A180" s="25" t="str">
        <x:f>IF(OR(B180="",C180="",E180=""),"",B180&amp;"|"&amp;C180&amp;"|"&amp;E180)</x:f>
        <x:v>Planning|Production Planner|PLAN-OTIF-006</x:v>
      </x:c>
      <x:c r="B180" s="24" t="str">
        <x:v>Planning</x:v>
      </x:c>
      <x:c r="C180" s="24" t="str">
        <x:v>Production Planner</x:v>
      </x:c>
      <x:c r="D180" s="24" t="str">
        <x:v>Technologist/Executive</x:v>
      </x:c>
      <x:c r="E180" s="24" t="str">
        <x:v>PLAN-OTIF-006</x:v>
      </x:c>
      <x:c r="F180" s="25" t="str">
        <x:f>IF(E180="","",IFERROR(VLOOKUP(E180,'02 Skill Catalogue'!$A$6:$K$95,4,FALSE),"Skill ID not found"))</x:f>
        <x:v>OTIF and delivery-risk management</x:v>
      </x:c>
      <x:c r="G180" s="25" t="str">
        <x:f>IF(E180="","",IFERROR(VLOOKUP(E180,'02 Skill Catalogue'!$A$6:$K$95,3,FALSE),""))</x:f>
        <x:v>Customer/Application</x:v>
      </x:c>
      <x:c r="H180" s="24" t="str">
        <x:v>Critical</x:v>
      </x:c>
      <x:c r="I180" s="28" t="n">
        <x:v>0.125</x:v>
      </x:c>
      <x:c r="J180" s="24" t="n">
        <x:v>3</x:v>
      </x:c>
      <x:c r="K180" s="24" t="str">
        <x:v>No</x:v>
      </x:c>
      <x:c r="L180" s="24" t="n">
        <x:v>12</x:v>
      </x:c>
      <x:c r="M180" s="24" t="str">
        <x:v>Yes</x:v>
      </x:c>
      <x:c r="N180" s="24" t="str">
        <x:v>Planning HOD</x:v>
      </x:c>
      <x:c r="O180" s="26" t="n">
        <x:v>46264</x:v>
      </x:c>
      <x:c r="P180" s="27" t="str">
        <x:v>Validate against current SBTG SOP/WI, machine, product and authority limits.</x:v>
      </x:c>
      <x:c r="Q180" s="29" t="n">
        <x:f>IF(OR(B180="",C180=""),"",SUMIFS($I$6:$I$285,$B$6:$B$285,B180,$C$6:$C$285,C180,$M$6:$M$285,"Yes"))</x:f>
        <x:v>1</x:v>
      </x:c>
      <x:c r="R180" s="25" t="str">
        <x:f>IF(A180="","",IF(ABS(Q180-1)&lt;0.0001,"Ready","Review Weight"))</x:f>
        <x:v>Ready</x:v>
      </x:c>
    </x:row>
    <x:row r="181">
      <x:c r="A181" s="25" t="str">
        <x:f>IF(OR(B181="",C181="",E181=""),"",B181&amp;"|"&amp;C181&amp;"|"&amp;E181)</x:f>
        <x:v>Planning|Production Planner|PLAN-MDATA-008</x:v>
      </x:c>
      <x:c r="B181" s="24" t="str">
        <x:v>Planning</x:v>
      </x:c>
      <x:c r="C181" s="24" t="str">
        <x:v>Production Planner</x:v>
      </x:c>
      <x:c r="D181" s="24" t="str">
        <x:v>Technologist/Executive</x:v>
      </x:c>
      <x:c r="E181" s="24" t="str">
        <x:v>PLAN-MDATA-008</x:v>
      </x:c>
      <x:c r="F181" s="25" t="str">
        <x:f>IF(E181="","",IFERROR(VLOOKUP(E181,'02 Skill Catalogue'!$A$6:$K$95,4,FALSE),"Skill ID not found"))</x:f>
        <x:v>Planning master-data governance</x:v>
      </x:c>
      <x:c r="G181" s="25" t="str">
        <x:f>IF(E181="","",IFERROR(VLOOKUP(E181,'02 Skill Catalogue'!$A$6:$K$95,3,FALSE),""))</x:f>
        <x:v>Digital/Data/AI</x:v>
      </x:c>
      <x:c r="H181" s="24" t="str">
        <x:v>Critical</x:v>
      </x:c>
      <x:c r="I181" s="28" t="n">
        <x:v>0.125</x:v>
      </x:c>
      <x:c r="J181" s="24" t="n">
        <x:v>3</x:v>
      </x:c>
      <x:c r="K181" s="24" t="str">
        <x:v>No</x:v>
      </x:c>
      <x:c r="L181" s="24" t="n">
        <x:v>12</x:v>
      </x:c>
      <x:c r="M181" s="24" t="str">
        <x:v>Yes</x:v>
      </x:c>
      <x:c r="N181" s="24" t="str">
        <x:v>Planning HOD</x:v>
      </x:c>
      <x:c r="O181" s="26" t="n">
        <x:v>46264</x:v>
      </x:c>
      <x:c r="P181" s="27" t="str">
        <x:v>Validate against current SBTG SOP/WI, machine, product and authority limits.</x:v>
      </x:c>
      <x:c r="Q181" s="29" t="n">
        <x:f>IF(OR(B181="",C181=""),"",SUMIFS($I$6:$I$285,$B$6:$B$285,B181,$C$6:$C$285,C181,$M$6:$M$285,"Yes"))</x:f>
        <x:v>1</x:v>
      </x:c>
      <x:c r="R181" s="25" t="str">
        <x:f>IF(A181="","",IF(ABS(Q181-1)&lt;0.0001,"Ready","Review Weight"))</x:f>
        <x:v>Ready</x:v>
      </x:c>
    </x:row>
    <x:row r="182">
      <x:c r="A182" s="25" t="str">
        <x:f>IF(OR(B182="",C182="",E182=""),"",B182&amp;"|"&amp;C182&amp;"|"&amp;E182)</x:f>
        <x:v>Planning|Material Planner|CORE-DATA-001</x:v>
      </x:c>
      <x:c r="B182" s="24" t="str">
        <x:v>Planning</x:v>
      </x:c>
      <x:c r="C182" s="24" t="str">
        <x:v>Material Planner</x:v>
      </x:c>
      <x:c r="D182" s="24" t="str">
        <x:v>Technologist/Executive</x:v>
      </x:c>
      <x:c r="E182" s="24" t="str">
        <x:v>CORE-DATA-001</x:v>
      </x:c>
      <x:c r="F182" s="25" t="str">
        <x:f>IF(E182="","",IFERROR(VLOOKUP(E182,'02 Skill Catalogue'!$A$6:$K$95,4,FALSE),"Skill ID not found"))</x:f>
        <x:v>Accurate operational data recording</x:v>
      </x:c>
      <x:c r="G182" s="25" t="str">
        <x:f>IF(E182="","",IFERROR(VLOOKUP(E182,'02 Skill Catalogue'!$A$6:$K$95,3,FALSE),""))</x:f>
        <x:v>Digital/Data/AI</x:v>
      </x:c>
      <x:c r="H182" s="24" t="str">
        <x:v>Critical</x:v>
      </x:c>
      <x:c r="I182" s="28" t="n">
        <x:v>0.125</x:v>
      </x:c>
      <x:c r="J182" s="24" t="n">
        <x:v>4</x:v>
      </x:c>
      <x:c r="K182" s="24" t="str">
        <x:v>No</x:v>
      </x:c>
      <x:c r="L182" s="24" t="n">
        <x:v>12</x:v>
      </x:c>
      <x:c r="M182" s="24" t="str">
        <x:v>Yes</x:v>
      </x:c>
      <x:c r="N182" s="24" t="str">
        <x:v>Planning HOD</x:v>
      </x:c>
      <x:c r="O182" s="26" t="n">
        <x:v>46264</x:v>
      </x:c>
      <x:c r="P182" s="27" t="str">
        <x:v>Validate against current SBTG SOP/WI, machine, product and authority limits.</x:v>
      </x:c>
      <x:c r="Q182" s="29" t="n">
        <x:f>IF(OR(B182="",C182=""),"",SUMIFS($I$6:$I$285,$B$6:$B$285,B182,$C$6:$C$285,C182,$M$6:$M$285,"Yes"))</x:f>
        <x:v>1</x:v>
      </x:c>
      <x:c r="R182" s="25" t="str">
        <x:f>IF(A182="","",IF(ABS(Q182-1)&lt;0.0001,"Ready","Review Weight"))</x:f>
        <x:v>Ready</x:v>
      </x:c>
    </x:row>
    <x:row r="183">
      <x:c r="A183" s="25" t="str">
        <x:f>IF(OR(B183="",C183="",E183=""),"",B183&amp;"|"&amp;C183&amp;"|"&amp;E183)</x:f>
        <x:v>Planning|Material Planner|CORE-PROB-001</x:v>
      </x:c>
      <x:c r="B183" s="24" t="str">
        <x:v>Planning</x:v>
      </x:c>
      <x:c r="C183" s="24" t="str">
        <x:v>Material Planner</x:v>
      </x:c>
      <x:c r="D183" s="24" t="str">
        <x:v>Technologist/Executive</x:v>
      </x:c>
      <x:c r="E183" s="24" t="str">
        <x:v>CORE-PROB-001</x:v>
      </x:c>
      <x:c r="F183" s="25" t="str">
        <x:f>IF(E183="","",IFERROR(VLOOKUP(E183,'02 Skill Catalogue'!$A$6:$K$95,4,FALSE),"Skill ID not found"))</x:f>
        <x:v>Abnormality escalation and root-cause thinking</x:v>
      </x:c>
      <x:c r="G183" s="25" t="str">
        <x:f>IF(E183="","",IFERROR(VLOOKUP(E183,'02 Skill Catalogue'!$A$6:$K$95,3,FALSE),""))</x:f>
        <x:v>Problem Solving</x:v>
      </x:c>
      <x:c r="H183" s="24" t="str">
        <x:v>Essential</x:v>
      </x:c>
      <x:c r="I183" s="28" t="n">
        <x:v>0.125</x:v>
      </x:c>
      <x:c r="J183" s="24" t="n">
        <x:v>3</x:v>
      </x:c>
      <x:c r="K183" s="24" t="str">
        <x:v>No</x:v>
      </x:c>
      <x:c r="L183" s="24" t="n">
        <x:v>12</x:v>
      </x:c>
      <x:c r="M183" s="24" t="str">
        <x:v>Yes</x:v>
      </x:c>
      <x:c r="N183" s="24" t="str">
        <x:v>Planning HOD</x:v>
      </x:c>
      <x:c r="O183" s="26" t="n">
        <x:v>46264</x:v>
      </x:c>
      <x:c r="P183" s="27" t="str">
        <x:v>Validate against current SBTG SOP/WI, machine, product and authority limits.</x:v>
      </x:c>
      <x:c r="Q183" s="29" t="n">
        <x:f>IF(OR(B183="",C183=""),"",SUMIFS($I$6:$I$285,$B$6:$B$285,B183,$C$6:$C$285,C183,$M$6:$M$285,"Yes"))</x:f>
        <x:v>1</x:v>
      </x:c>
      <x:c r="R183" s="25" t="str">
        <x:f>IF(A183="","",IF(ABS(Q183-1)&lt;0.0001,"Ready","Review Weight"))</x:f>
        <x:v>Ready</x:v>
      </x:c>
    </x:row>
    <x:row r="184">
      <x:c r="A184" s="25" t="str">
        <x:f>IF(OR(B184="",C184="",E184=""),"",B184&amp;"|"&amp;C184&amp;"|"&amp;E184)</x:f>
        <x:v>Planning|Material Planner|PLAN-MRP-001</x:v>
      </x:c>
      <x:c r="B184" s="24" t="str">
        <x:v>Planning</x:v>
      </x:c>
      <x:c r="C184" s="24" t="str">
        <x:v>Material Planner</x:v>
      </x:c>
      <x:c r="D184" s="24" t="str">
        <x:v>Technologist/Executive</x:v>
      </x:c>
      <x:c r="E184" s="24" t="str">
        <x:v>PLAN-MRP-001</x:v>
      </x:c>
      <x:c r="F184" s="25" t="str">
        <x:f>IF(E184="","",IFERROR(VLOOKUP(E184,'02 Skill Catalogue'!$A$6:$K$95,4,FALSE),"Skill ID not found"))</x:f>
        <x:v>AX/MRP planning discipline</x:v>
      </x:c>
      <x:c r="G184" s="25" t="str">
        <x:f>IF(E184="","",IFERROR(VLOOKUP(E184,'02 Skill Catalogue'!$A$6:$K$95,3,FALSE),""))</x:f>
        <x:v>Digital/Data/AI</x:v>
      </x:c>
      <x:c r="H184" s="24" t="str">
        <x:v>Critical</x:v>
      </x:c>
      <x:c r="I184" s="28" t="n">
        <x:v>0.125</x:v>
      </x:c>
      <x:c r="J184" s="24" t="n">
        <x:v>3</x:v>
      </x:c>
      <x:c r="K184" s="24" t="str">
        <x:v>No</x:v>
      </x:c>
      <x:c r="L184" s="24" t="n">
        <x:v>12</x:v>
      </x:c>
      <x:c r="M184" s="24" t="str">
        <x:v>Yes</x:v>
      </x:c>
      <x:c r="N184" s="24" t="str">
        <x:v>Planning HOD</x:v>
      </x:c>
      <x:c r="O184" s="26" t="n">
        <x:v>46264</x:v>
      </x:c>
      <x:c r="P184" s="27" t="str">
        <x:v>Validate against current SBTG SOP/WI, machine, product and authority limits.</x:v>
      </x:c>
      <x:c r="Q184" s="29" t="n">
        <x:f>IF(OR(B184="",C184=""),"",SUMIFS($I$6:$I$285,$B$6:$B$285,B184,$C$6:$C$285,C184,$M$6:$M$285,"Yes"))</x:f>
        <x:v>1</x:v>
      </x:c>
      <x:c r="R184" s="25" t="str">
        <x:f>IF(A184="","",IF(ABS(Q184-1)&lt;0.0001,"Ready","Review Weight"))</x:f>
        <x:v>Ready</x:v>
      </x:c>
    </x:row>
    <x:row r="185">
      <x:c r="A185" s="25" t="str">
        <x:f>IF(OR(B185="",C185="",E185=""),"",B185&amp;"|"&amp;C185&amp;"|"&amp;E185)</x:f>
        <x:v>Planning|Material Planner|PLAN-MAT-004</x:v>
      </x:c>
      <x:c r="B185" s="24" t="str">
        <x:v>Planning</x:v>
      </x:c>
      <x:c r="C185" s="24" t="str">
        <x:v>Material Planner</x:v>
      </x:c>
      <x:c r="D185" s="24" t="str">
        <x:v>Technologist/Executive</x:v>
      </x:c>
      <x:c r="E185" s="24" t="str">
        <x:v>PLAN-MAT-004</x:v>
      </x:c>
      <x:c r="F185" s="25" t="str">
        <x:f>IF(E185="","",IFERROR(VLOOKUP(E185,'02 Skill Catalogue'!$A$6:$K$95,4,FALSE),"Skill ID not found"))</x:f>
        <x:v>Material availability and shortage control</x:v>
      </x:c>
      <x:c r="G185" s="25" t="str">
        <x:f>IF(E185="","",IFERROR(VLOOKUP(E185,'02 Skill Catalogue'!$A$6:$K$95,3,FALSE),""))</x:f>
        <x:v>Process/Technical</x:v>
      </x:c>
      <x:c r="H185" s="24" t="str">
        <x:v>Critical</x:v>
      </x:c>
      <x:c r="I185" s="28" t="n">
        <x:v>0.125</x:v>
      </x:c>
      <x:c r="J185" s="24" t="n">
        <x:v>4</x:v>
      </x:c>
      <x:c r="K185" s="24" t="str">
        <x:v>No</x:v>
      </x:c>
      <x:c r="L185" s="24" t="n">
        <x:v>12</x:v>
      </x:c>
      <x:c r="M185" s="24" t="str">
        <x:v>Yes</x:v>
      </x:c>
      <x:c r="N185" s="24" t="str">
        <x:v>Planning HOD</x:v>
      </x:c>
      <x:c r="O185" s="26" t="n">
        <x:v>46264</x:v>
      </x:c>
      <x:c r="P185" s="27" t="str">
        <x:v>Validate against current SBTG SOP/WI, machine, product and authority limits.</x:v>
      </x:c>
      <x:c r="Q185" s="29" t="n">
        <x:f>IF(OR(B185="",C185=""),"",SUMIFS($I$6:$I$285,$B$6:$B$285,B185,$C$6:$C$285,C185,$M$6:$M$285,"Yes"))</x:f>
        <x:v>1</x:v>
      </x:c>
      <x:c r="R185" s="25" t="str">
        <x:f>IF(A185="","",IF(ABS(Q185-1)&lt;0.0001,"Ready","Review Weight"))</x:f>
        <x:v>Ready</x:v>
      </x:c>
    </x:row>
    <x:row r="186">
      <x:c r="A186" s="25" t="str">
        <x:f>IF(OR(B186="",C186="",E186=""),"",B186&amp;"|"&amp;C186&amp;"|"&amp;E186)</x:f>
        <x:v>Planning|Material Planner|PLAN-INV-005</x:v>
      </x:c>
      <x:c r="B186" s="24" t="str">
        <x:v>Planning</x:v>
      </x:c>
      <x:c r="C186" s="24" t="str">
        <x:v>Material Planner</x:v>
      </x:c>
      <x:c r="D186" s="24" t="str">
        <x:v>Technologist/Executive</x:v>
      </x:c>
      <x:c r="E186" s="24" t="str">
        <x:v>PLAN-INV-005</x:v>
      </x:c>
      <x:c r="F186" s="25" t="str">
        <x:f>IF(E186="","",IFERROR(VLOOKUP(E186,'02 Skill Catalogue'!$A$6:$K$95,4,FALSE),"Skill ID not found"))</x:f>
        <x:v>Inventory and slow-moving control</x:v>
      </x:c>
      <x:c r="G186" s="25" t="str">
        <x:f>IF(E186="","",IFERROR(VLOOKUP(E186,'02 Skill Catalogue'!$A$6:$K$95,3,FALSE),""))</x:f>
        <x:v>Sustainability</x:v>
      </x:c>
      <x:c r="H186" s="24" t="str">
        <x:v>Essential</x:v>
      </x:c>
      <x:c r="I186" s="28" t="n">
        <x:v>0.125</x:v>
      </x:c>
      <x:c r="J186" s="24" t="n">
        <x:v>3</x:v>
      </x:c>
      <x:c r="K186" s="24" t="str">
        <x:v>No</x:v>
      </x:c>
      <x:c r="L186" s="24" t="n">
        <x:v>12</x:v>
      </x:c>
      <x:c r="M186" s="24" t="str">
        <x:v>Yes</x:v>
      </x:c>
      <x:c r="N186" s="24" t="str">
        <x:v>Planning HOD</x:v>
      </x:c>
      <x:c r="O186" s="26" t="n">
        <x:v>46264</x:v>
      </x:c>
      <x:c r="P186" s="27" t="str">
        <x:v>Validate against current SBTG SOP/WI, machine, product and authority limits.</x:v>
      </x:c>
      <x:c r="Q186" s="29" t="n">
        <x:f>IF(OR(B186="",C186=""),"",SUMIFS($I$6:$I$285,$B$6:$B$285,B186,$C$6:$C$285,C186,$M$6:$M$285,"Yes"))</x:f>
        <x:v>1</x:v>
      </x:c>
      <x:c r="R186" s="25" t="str">
        <x:f>IF(A186="","",IF(ABS(Q186-1)&lt;0.0001,"Ready","Review Weight"))</x:f>
        <x:v>Ready</x:v>
      </x:c>
    </x:row>
    <x:row r="187">
      <x:c r="A187" s="25" t="str">
        <x:f>IF(OR(B187="",C187="",E187=""),"",B187&amp;"|"&amp;C187&amp;"|"&amp;E187)</x:f>
        <x:v>Planning|Material Planner|PLAN-OTIF-006</x:v>
      </x:c>
      <x:c r="B187" s="24" t="str">
        <x:v>Planning</x:v>
      </x:c>
      <x:c r="C187" s="24" t="str">
        <x:v>Material Planner</x:v>
      </x:c>
      <x:c r="D187" s="24" t="str">
        <x:v>Technologist/Executive</x:v>
      </x:c>
      <x:c r="E187" s="24" t="str">
        <x:v>PLAN-OTIF-006</x:v>
      </x:c>
      <x:c r="F187" s="25" t="str">
        <x:f>IF(E187="","",IFERROR(VLOOKUP(E187,'02 Skill Catalogue'!$A$6:$K$95,4,FALSE),"Skill ID not found"))</x:f>
        <x:v>OTIF and delivery-risk management</x:v>
      </x:c>
      <x:c r="G187" s="25" t="str">
        <x:f>IF(E187="","",IFERROR(VLOOKUP(E187,'02 Skill Catalogue'!$A$6:$K$95,3,FALSE),""))</x:f>
        <x:v>Customer/Application</x:v>
      </x:c>
      <x:c r="H187" s="24" t="str">
        <x:v>Critical</x:v>
      </x:c>
      <x:c r="I187" s="28" t="n">
        <x:v>0.125</x:v>
      </x:c>
      <x:c r="J187" s="24" t="n">
        <x:v>3</x:v>
      </x:c>
      <x:c r="K187" s="24" t="str">
        <x:v>No</x:v>
      </x:c>
      <x:c r="L187" s="24" t="n">
        <x:v>12</x:v>
      </x:c>
      <x:c r="M187" s="24" t="str">
        <x:v>Yes</x:v>
      </x:c>
      <x:c r="N187" s="24" t="str">
        <x:v>Planning HOD</x:v>
      </x:c>
      <x:c r="O187" s="26" t="n">
        <x:v>46264</x:v>
      </x:c>
      <x:c r="P187" s="27" t="str">
        <x:v>Validate against current SBTG SOP/WI, machine, product and authority limits.</x:v>
      </x:c>
      <x:c r="Q187" s="29" t="n">
        <x:f>IF(OR(B187="",C187=""),"",SUMIFS($I$6:$I$285,$B$6:$B$285,B187,$C$6:$C$285,C187,$M$6:$M$285,"Yes"))</x:f>
        <x:v>1</x:v>
      </x:c>
      <x:c r="R187" s="25" t="str">
        <x:f>IF(A187="","",IF(ABS(Q187-1)&lt;0.0001,"Ready","Review Weight"))</x:f>
        <x:v>Ready</x:v>
      </x:c>
    </x:row>
    <x:row r="188">
      <x:c r="A188" s="25" t="str">
        <x:f>IF(OR(B188="",C188="",E188=""),"",B188&amp;"|"&amp;C188&amp;"|"&amp;E188)</x:f>
        <x:v>Planning|Material Planner|PLAN-IBP-007</x:v>
      </x:c>
      <x:c r="B188" s="24" t="str">
        <x:v>Planning</x:v>
      </x:c>
      <x:c r="C188" s="24" t="str">
        <x:v>Material Planner</x:v>
      </x:c>
      <x:c r="D188" s="24" t="str">
        <x:v>Technologist/Executive</x:v>
      </x:c>
      <x:c r="E188" s="24" t="str">
        <x:v>PLAN-IBP-007</x:v>
      </x:c>
      <x:c r="F188" s="25" t="str">
        <x:f>IF(E188="","",IFERROR(VLOOKUP(E188,'02 Skill Catalogue'!$A$6:$K$95,4,FALSE),"Skill ID not found"))</x:f>
        <x:v>IBP scenario and trade-off analysis</x:v>
      </x:c>
      <x:c r="G188" s="25" t="str">
        <x:f>IF(E188="","",IFERROR(VLOOKUP(E188,'02 Skill Catalogue'!$A$6:$K$95,3,FALSE),""))</x:f>
        <x:v>Digital/Data/AI</x:v>
      </x:c>
      <x:c r="H188" s="24" t="str">
        <x:v>Development</x:v>
      </x:c>
      <x:c r="I188" s="28" t="n">
        <x:v>0.125</x:v>
      </x:c>
      <x:c r="J188" s="24" t="n">
        <x:v>2</x:v>
      </x:c>
      <x:c r="K188" s="24" t="str">
        <x:v>No</x:v>
      </x:c>
      <x:c r="L188" s="24" t="n">
        <x:v>12</x:v>
      </x:c>
      <x:c r="M188" s="24" t="str">
        <x:v>Yes</x:v>
      </x:c>
      <x:c r="N188" s="24" t="str">
        <x:v>Planning HOD</x:v>
      </x:c>
      <x:c r="O188" s="26" t="n">
        <x:v>46264</x:v>
      </x:c>
      <x:c r="P188" s="27" t="str">
        <x:v>Validate against current SBTG SOP/WI, machine, product and authority limits.</x:v>
      </x:c>
      <x:c r="Q188" s="29" t="n">
        <x:f>IF(OR(B188="",C188=""),"",SUMIFS($I$6:$I$285,$B$6:$B$285,B188,$C$6:$C$285,C188,$M$6:$M$285,"Yes"))</x:f>
        <x:v>1</x:v>
      </x:c>
      <x:c r="R188" s="25" t="str">
        <x:f>IF(A188="","",IF(ABS(Q188-1)&lt;0.0001,"Ready","Review Weight"))</x:f>
        <x:v>Ready</x:v>
      </x:c>
    </x:row>
    <x:row r="189">
      <x:c r="A189" s="25" t="str">
        <x:f>IF(OR(B189="",C189="",E189=""),"",B189&amp;"|"&amp;C189&amp;"|"&amp;E189)</x:f>
        <x:v>Planning|Material Planner|PLAN-MDATA-008</x:v>
      </x:c>
      <x:c r="B189" s="24" t="str">
        <x:v>Planning</x:v>
      </x:c>
      <x:c r="C189" s="24" t="str">
        <x:v>Material Planner</x:v>
      </x:c>
      <x:c r="D189" s="24" t="str">
        <x:v>Technologist/Executive</x:v>
      </x:c>
      <x:c r="E189" s="24" t="str">
        <x:v>PLAN-MDATA-008</x:v>
      </x:c>
      <x:c r="F189" s="25" t="str">
        <x:f>IF(E189="","",IFERROR(VLOOKUP(E189,'02 Skill Catalogue'!$A$6:$K$95,4,FALSE),"Skill ID not found"))</x:f>
        <x:v>Planning master-data governance</x:v>
      </x:c>
      <x:c r="G189" s="25" t="str">
        <x:f>IF(E189="","",IFERROR(VLOOKUP(E189,'02 Skill Catalogue'!$A$6:$K$95,3,FALSE),""))</x:f>
        <x:v>Digital/Data/AI</x:v>
      </x:c>
      <x:c r="H189" s="24" t="str">
        <x:v>Critical</x:v>
      </x:c>
      <x:c r="I189" s="28" t="n">
        <x:v>0.125</x:v>
      </x:c>
      <x:c r="J189" s="24" t="n">
        <x:v>3</x:v>
      </x:c>
      <x:c r="K189" s="24" t="str">
        <x:v>No</x:v>
      </x:c>
      <x:c r="L189" s="24" t="n">
        <x:v>12</x:v>
      </x:c>
      <x:c r="M189" s="24" t="str">
        <x:v>Yes</x:v>
      </x:c>
      <x:c r="N189" s="24" t="str">
        <x:v>Planning HOD</x:v>
      </x:c>
      <x:c r="O189" s="26" t="n">
        <x:v>46264</x:v>
      </x:c>
      <x:c r="P189" s="27" t="str">
        <x:v>Validate against current SBTG SOP/WI, machine, product and authority limits.</x:v>
      </x:c>
      <x:c r="Q189" s="29" t="n">
        <x:f>IF(OR(B189="",C189=""),"",SUMIFS($I$6:$I$285,$B$6:$B$285,B189,$C$6:$C$285,C189,$M$6:$M$285,"Yes"))</x:f>
        <x:v>1</x:v>
      </x:c>
      <x:c r="R189" s="25" t="str">
        <x:f>IF(A189="","",IF(ABS(Q189-1)&lt;0.0001,"Ready","Review Weight"))</x:f>
        <x:v>Ready</x:v>
      </x:c>
    </x:row>
    <x:row r="190">
      <x:c r="A190" s="25" t="str">
        <x:f>IF(OR(B190="",C190="",E190=""),"",B190&amp;"|"&amp;C190&amp;"|"&amp;E190)</x:f>
        <x:v>Planning|Planning Assistant|CORE-QUAL-001</x:v>
      </x:c>
      <x:c r="B190" s="24" t="str">
        <x:v>Planning</x:v>
      </x:c>
      <x:c r="C190" s="24" t="str">
        <x:v>Planning Assistant</x:v>
      </x:c>
      <x:c r="D190" s="24" t="str">
        <x:v>Packer/Assistant</x:v>
      </x:c>
      <x:c r="E190" s="24" t="str">
        <x:v>CORE-QUAL-001</x:v>
      </x:c>
      <x:c r="F190" s="25" t="str">
        <x:f>IF(E190="","",IFERROR(VLOOKUP(E190,'02 Skill Catalogue'!$A$6:$K$95,4,FALSE),"Skill ID not found"))</x:f>
        <x:v>SOP and work-instruction discipline</x:v>
      </x:c>
      <x:c r="G190" s="25" t="str">
        <x:f>IF(E190="","",IFERROR(VLOOKUP(E190,'02 Skill Catalogue'!$A$6:$K$95,3,FALSE),""))</x:f>
        <x:v>Quality</x:v>
      </x:c>
      <x:c r="H190" s="24" t="str">
        <x:v>Critical</x:v>
      </x:c>
      <x:c r="I190" s="28" t="n">
        <x:v>0.125</x:v>
      </x:c>
      <x:c r="J190" s="24" t="n">
        <x:v>2</x:v>
      </x:c>
      <x:c r="K190" s="24" t="str">
        <x:v>No</x:v>
      </x:c>
      <x:c r="L190" s="24" t="n">
        <x:v>12</x:v>
      </x:c>
      <x:c r="M190" s="24" t="str">
        <x:v>Yes</x:v>
      </x:c>
      <x:c r="N190" s="24" t="str">
        <x:v>Planning HOD</x:v>
      </x:c>
      <x:c r="O190" s="26" t="n">
        <x:v>46264</x:v>
      </x:c>
      <x:c r="P190" s="27" t="str">
        <x:v>Validate against current SBTG SOP/WI, machine, product and authority limits.</x:v>
      </x:c>
      <x:c r="Q190" s="29" t="n">
        <x:f>IF(OR(B190="",C190=""),"",SUMIFS($I$6:$I$285,$B$6:$B$285,B190,$C$6:$C$285,C190,$M$6:$M$285,"Yes"))</x:f>
        <x:v>1</x:v>
      </x:c>
      <x:c r="R190" s="25" t="str">
        <x:f>IF(A190="","",IF(ABS(Q190-1)&lt;0.0001,"Ready","Review Weight"))</x:f>
        <x:v>Ready</x:v>
      </x:c>
    </x:row>
    <x:row r="191">
      <x:c r="A191" s="25" t="str">
        <x:f>IF(OR(B191="",C191="",E191=""),"",B191&amp;"|"&amp;C191&amp;"|"&amp;E191)</x:f>
        <x:v>Planning|Planning Assistant|CORE-DATA-001</x:v>
      </x:c>
      <x:c r="B191" s="24" t="str">
        <x:v>Planning</x:v>
      </x:c>
      <x:c r="C191" s="24" t="str">
        <x:v>Planning Assistant</x:v>
      </x:c>
      <x:c r="D191" s="24" t="str">
        <x:v>Packer/Assistant</x:v>
      </x:c>
      <x:c r="E191" s="24" t="str">
        <x:v>CORE-DATA-001</x:v>
      </x:c>
      <x:c r="F191" s="25" t="str">
        <x:f>IF(E191="","",IFERROR(VLOOKUP(E191,'02 Skill Catalogue'!$A$6:$K$95,4,FALSE),"Skill ID not found"))</x:f>
        <x:v>Accurate operational data recording</x:v>
      </x:c>
      <x:c r="G191" s="25" t="str">
        <x:f>IF(E191="","",IFERROR(VLOOKUP(E191,'02 Skill Catalogue'!$A$6:$K$95,3,FALSE),""))</x:f>
        <x:v>Digital/Data/AI</x:v>
      </x:c>
      <x:c r="H191" s="24" t="str">
        <x:v>Critical</x:v>
      </x:c>
      <x:c r="I191" s="28" t="n">
        <x:v>0.125</x:v>
      </x:c>
      <x:c r="J191" s="24" t="n">
        <x:v>3</x:v>
      </x:c>
      <x:c r="K191" s="24" t="str">
        <x:v>No</x:v>
      </x:c>
      <x:c r="L191" s="24" t="n">
        <x:v>12</x:v>
      </x:c>
      <x:c r="M191" s="24" t="str">
        <x:v>Yes</x:v>
      </x:c>
      <x:c r="N191" s="24" t="str">
        <x:v>Planning HOD</x:v>
      </x:c>
      <x:c r="O191" s="26" t="n">
        <x:v>46264</x:v>
      </x:c>
      <x:c r="P191" s="27" t="str">
        <x:v>Validate against current SBTG SOP/WI, machine, product and authority limits.</x:v>
      </x:c>
      <x:c r="Q191" s="29" t="n">
        <x:f>IF(OR(B191="",C191=""),"",SUMIFS($I$6:$I$285,$B$6:$B$285,B191,$C$6:$C$285,C191,$M$6:$M$285,"Yes"))</x:f>
        <x:v>1</x:v>
      </x:c>
      <x:c r="R191" s="25" t="str">
        <x:f>IF(A191="","",IF(ABS(Q191-1)&lt;0.0001,"Ready","Review Weight"))</x:f>
        <x:v>Ready</x:v>
      </x:c>
    </x:row>
    <x:row r="192">
      <x:c r="A192" s="25" t="str">
        <x:f>IF(OR(B192="",C192="",E192=""),"",B192&amp;"|"&amp;C192&amp;"|"&amp;E192)</x:f>
        <x:v>Planning|Planning Assistant|CORE-AI-001</x:v>
      </x:c>
      <x:c r="B192" s="24" t="str">
        <x:v>Planning</x:v>
      </x:c>
      <x:c r="C192" s="24" t="str">
        <x:v>Planning Assistant</x:v>
      </x:c>
      <x:c r="D192" s="24" t="str">
        <x:v>Packer/Assistant</x:v>
      </x:c>
      <x:c r="E192" s="24" t="str">
        <x:v>CORE-AI-001</x:v>
      </x:c>
      <x:c r="F192" s="25" t="str">
        <x:f>IF(E192="","",IFERROR(VLOOKUP(E192,'02 Skill Catalogue'!$A$6:$K$95,4,FALSE),"Skill ID not found"))</x:f>
        <x:v>Approved AI use and answer verification</x:v>
      </x:c>
      <x:c r="G192" s="25" t="str">
        <x:f>IF(E192="","",IFERROR(VLOOKUP(E192,'02 Skill Catalogue'!$A$6:$K$95,3,FALSE),""))</x:f>
        <x:v>Digital/Data/AI</x:v>
      </x:c>
      <x:c r="H192" s="24" t="str">
        <x:v>Development</x:v>
      </x:c>
      <x:c r="I192" s="28" t="n">
        <x:v>0.125</x:v>
      </x:c>
      <x:c r="J192" s="24" t="n">
        <x:v>2</x:v>
      </x:c>
      <x:c r="K192" s="24" t="str">
        <x:v>No</x:v>
      </x:c>
      <x:c r="L192" s="24" t="n">
        <x:v>12</x:v>
      </x:c>
      <x:c r="M192" s="24" t="str">
        <x:v>Yes</x:v>
      </x:c>
      <x:c r="N192" s="24" t="str">
        <x:v>Planning HOD</x:v>
      </x:c>
      <x:c r="O192" s="26" t="n">
        <x:v>46264</x:v>
      </x:c>
      <x:c r="P192" s="27" t="str">
        <x:v>Validate against current SBTG SOP/WI, machine, product and authority limits.</x:v>
      </x:c>
      <x:c r="Q192" s="29" t="n">
        <x:f>IF(OR(B192="",C192=""),"",SUMIFS($I$6:$I$285,$B$6:$B$285,B192,$C$6:$C$285,C192,$M$6:$M$285,"Yes"))</x:f>
        <x:v>1</x:v>
      </x:c>
      <x:c r="R192" s="25" t="str">
        <x:f>IF(A192="","",IF(ABS(Q192-1)&lt;0.0001,"Ready","Review Weight"))</x:f>
        <x:v>Ready</x:v>
      </x:c>
    </x:row>
    <x:row r="193">
      <x:c r="A193" s="25" t="str">
        <x:f>IF(OR(B193="",C193="",E193=""),"",B193&amp;"|"&amp;C193&amp;"|"&amp;E193)</x:f>
        <x:v>Planning|Planning Assistant|PLAN-MRP-001</x:v>
      </x:c>
      <x:c r="B193" s="24" t="str">
        <x:v>Planning</x:v>
      </x:c>
      <x:c r="C193" s="24" t="str">
        <x:v>Planning Assistant</x:v>
      </x:c>
      <x:c r="D193" s="24" t="str">
        <x:v>Packer/Assistant</x:v>
      </x:c>
      <x:c r="E193" s="24" t="str">
        <x:v>PLAN-MRP-001</x:v>
      </x:c>
      <x:c r="F193" s="25" t="str">
        <x:f>IF(E193="","",IFERROR(VLOOKUP(E193,'02 Skill Catalogue'!$A$6:$K$95,4,FALSE),"Skill ID not found"))</x:f>
        <x:v>AX/MRP planning discipline</x:v>
      </x:c>
      <x:c r="G193" s="25" t="str">
        <x:f>IF(E193="","",IFERROR(VLOOKUP(E193,'02 Skill Catalogue'!$A$6:$K$95,3,FALSE),""))</x:f>
        <x:v>Digital/Data/AI</x:v>
      </x:c>
      <x:c r="H193" s="24" t="str">
        <x:v>Critical</x:v>
      </x:c>
      <x:c r="I193" s="28" t="n">
        <x:v>0.125</x:v>
      </x:c>
      <x:c r="J193" s="24" t="n">
        <x:v>2</x:v>
      </x:c>
      <x:c r="K193" s="24" t="str">
        <x:v>No</x:v>
      </x:c>
      <x:c r="L193" s="24" t="n">
        <x:v>12</x:v>
      </x:c>
      <x:c r="M193" s="24" t="str">
        <x:v>Yes</x:v>
      </x:c>
      <x:c r="N193" s="24" t="str">
        <x:v>Planning HOD</x:v>
      </x:c>
      <x:c r="O193" s="26" t="n">
        <x:v>46264</x:v>
      </x:c>
      <x:c r="P193" s="27" t="str">
        <x:v>Validate against current SBTG SOP/WI, machine, product and authority limits.</x:v>
      </x:c>
      <x:c r="Q193" s="29" t="n">
        <x:f>IF(OR(B193="",C193=""),"",SUMIFS($I$6:$I$285,$B$6:$B$285,B193,$C$6:$C$285,C193,$M$6:$M$285,"Yes"))</x:f>
        <x:v>1</x:v>
      </x:c>
      <x:c r="R193" s="25" t="str">
        <x:f>IF(A193="","",IF(ABS(Q193-1)&lt;0.0001,"Ready","Review Weight"))</x:f>
        <x:v>Ready</x:v>
      </x:c>
    </x:row>
    <x:row r="194">
      <x:c r="A194" s="25" t="str">
        <x:f>IF(OR(B194="",C194="",E194=""),"",B194&amp;"|"&amp;C194&amp;"|"&amp;E194)</x:f>
        <x:v>Planning|Planning Assistant|PLAN-MAT-004</x:v>
      </x:c>
      <x:c r="B194" s="24" t="str">
        <x:v>Planning</x:v>
      </x:c>
      <x:c r="C194" s="24" t="str">
        <x:v>Planning Assistant</x:v>
      </x:c>
      <x:c r="D194" s="24" t="str">
        <x:v>Packer/Assistant</x:v>
      </x:c>
      <x:c r="E194" s="24" t="str">
        <x:v>PLAN-MAT-004</x:v>
      </x:c>
      <x:c r="F194" s="25" t="str">
        <x:f>IF(E194="","",IFERROR(VLOOKUP(E194,'02 Skill Catalogue'!$A$6:$K$95,4,FALSE),"Skill ID not found"))</x:f>
        <x:v>Material availability and shortage control</x:v>
      </x:c>
      <x:c r="G194" s="25" t="str">
        <x:f>IF(E194="","",IFERROR(VLOOKUP(E194,'02 Skill Catalogue'!$A$6:$K$95,3,FALSE),""))</x:f>
        <x:v>Process/Technical</x:v>
      </x:c>
      <x:c r="H194" s="24" t="str">
        <x:v>Critical</x:v>
      </x:c>
      <x:c r="I194" s="28" t="n">
        <x:v>0.125</x:v>
      </x:c>
      <x:c r="J194" s="24" t="n">
        <x:v>2</x:v>
      </x:c>
      <x:c r="K194" s="24" t="str">
        <x:v>No</x:v>
      </x:c>
      <x:c r="L194" s="24" t="n">
        <x:v>12</x:v>
      </x:c>
      <x:c r="M194" s="24" t="str">
        <x:v>Yes</x:v>
      </x:c>
      <x:c r="N194" s="24" t="str">
        <x:v>Planning HOD</x:v>
      </x:c>
      <x:c r="O194" s="26" t="n">
        <x:v>46264</x:v>
      </x:c>
      <x:c r="P194" s="27" t="str">
        <x:v>Validate against current SBTG SOP/WI, machine, product and authority limits.</x:v>
      </x:c>
      <x:c r="Q194" s="29" t="n">
        <x:f>IF(OR(B194="",C194=""),"",SUMIFS($I$6:$I$285,$B$6:$B$285,B194,$C$6:$C$285,C194,$M$6:$M$285,"Yes"))</x:f>
        <x:v>1</x:v>
      </x:c>
      <x:c r="R194" s="25" t="str">
        <x:f>IF(A194="","",IF(ABS(Q194-1)&lt;0.0001,"Ready","Review Weight"))</x:f>
        <x:v>Ready</x:v>
      </x:c>
    </x:row>
    <x:row r="195">
      <x:c r="A195" s="25" t="str">
        <x:f>IF(OR(B195="",C195="",E195=""),"",B195&amp;"|"&amp;C195&amp;"|"&amp;E195)</x:f>
        <x:v>Planning|Planning Assistant|PLAN-OTIF-006</x:v>
      </x:c>
      <x:c r="B195" s="24" t="str">
        <x:v>Planning</x:v>
      </x:c>
      <x:c r="C195" s="24" t="str">
        <x:v>Planning Assistant</x:v>
      </x:c>
      <x:c r="D195" s="24" t="str">
        <x:v>Packer/Assistant</x:v>
      </x:c>
      <x:c r="E195" s="24" t="str">
        <x:v>PLAN-OTIF-006</x:v>
      </x:c>
      <x:c r="F195" s="25" t="str">
        <x:f>IF(E195="","",IFERROR(VLOOKUP(E195,'02 Skill Catalogue'!$A$6:$K$95,4,FALSE),"Skill ID not found"))</x:f>
        <x:v>OTIF and delivery-risk management</x:v>
      </x:c>
      <x:c r="G195" s="25" t="str">
        <x:f>IF(E195="","",IFERROR(VLOOKUP(E195,'02 Skill Catalogue'!$A$6:$K$95,3,FALSE),""))</x:f>
        <x:v>Customer/Application</x:v>
      </x:c>
      <x:c r="H195" s="24" t="str">
        <x:v>Critical</x:v>
      </x:c>
      <x:c r="I195" s="28" t="n">
        <x:v>0.125</x:v>
      </x:c>
      <x:c r="J195" s="24" t="n">
        <x:v>2</x:v>
      </x:c>
      <x:c r="K195" s="24" t="str">
        <x:v>No</x:v>
      </x:c>
      <x:c r="L195" s="24" t="n">
        <x:v>12</x:v>
      </x:c>
      <x:c r="M195" s="24" t="str">
        <x:v>Yes</x:v>
      </x:c>
      <x:c r="N195" s="24" t="str">
        <x:v>Planning HOD</x:v>
      </x:c>
      <x:c r="O195" s="26" t="n">
        <x:v>46264</x:v>
      </x:c>
      <x:c r="P195" s="27" t="str">
        <x:v>Validate against current SBTG SOP/WI, machine, product and authority limits.</x:v>
      </x:c>
      <x:c r="Q195" s="29" t="n">
        <x:f>IF(OR(B195="",C195=""),"",SUMIFS($I$6:$I$285,$B$6:$B$285,B195,$C$6:$C$285,C195,$M$6:$M$285,"Yes"))</x:f>
        <x:v>1</x:v>
      </x:c>
      <x:c r="R195" s="25" t="str">
        <x:f>IF(A195="","",IF(ABS(Q195-1)&lt;0.0001,"Ready","Review Weight"))</x:f>
        <x:v>Ready</x:v>
      </x:c>
    </x:row>
    <x:row r="196">
      <x:c r="A196" s="25" t="str">
        <x:f>IF(OR(B196="",C196="",E196=""),"",B196&amp;"|"&amp;C196&amp;"|"&amp;E196)</x:f>
        <x:v>Planning|Planning Assistant|PLAN-MDATA-008</x:v>
      </x:c>
      <x:c r="B196" s="24" t="str">
        <x:v>Planning</x:v>
      </x:c>
      <x:c r="C196" s="24" t="str">
        <x:v>Planning Assistant</x:v>
      </x:c>
      <x:c r="D196" s="24" t="str">
        <x:v>Packer/Assistant</x:v>
      </x:c>
      <x:c r="E196" s="24" t="str">
        <x:v>PLAN-MDATA-008</x:v>
      </x:c>
      <x:c r="F196" s="25" t="str">
        <x:f>IF(E196="","",IFERROR(VLOOKUP(E196,'02 Skill Catalogue'!$A$6:$K$95,4,FALSE),"Skill ID not found"))</x:f>
        <x:v>Planning master-data governance</x:v>
      </x:c>
      <x:c r="G196" s="25" t="str">
        <x:f>IF(E196="","",IFERROR(VLOOKUP(E196,'02 Skill Catalogue'!$A$6:$K$95,3,FALSE),""))</x:f>
        <x:v>Digital/Data/AI</x:v>
      </x:c>
      <x:c r="H196" s="24" t="str">
        <x:v>Critical</x:v>
      </x:c>
      <x:c r="I196" s="28" t="n">
        <x:v>0.125</x:v>
      </x:c>
      <x:c r="J196" s="24" t="n">
        <x:v>2</x:v>
      </x:c>
      <x:c r="K196" s="24" t="str">
        <x:v>No</x:v>
      </x:c>
      <x:c r="L196" s="24" t="n">
        <x:v>12</x:v>
      </x:c>
      <x:c r="M196" s="24" t="str">
        <x:v>Yes</x:v>
      </x:c>
      <x:c r="N196" s="24" t="str">
        <x:v>Planning HOD</x:v>
      </x:c>
      <x:c r="O196" s="26" t="n">
        <x:v>46264</x:v>
      </x:c>
      <x:c r="P196" s="27" t="str">
        <x:v>Validate against current SBTG SOP/WI, machine, product and authority limits.</x:v>
      </x:c>
      <x:c r="Q196" s="29" t="n">
        <x:f>IF(OR(B196="",C196=""),"",SUMIFS($I$6:$I$285,$B$6:$B$285,B196,$C$6:$C$285,C196,$M$6:$M$285,"Yes"))</x:f>
        <x:v>1</x:v>
      </x:c>
      <x:c r="R196" s="25" t="str">
        <x:f>IF(A196="","",IF(ABS(Q196-1)&lt;0.0001,"Ready","Review Weight"))</x:f>
        <x:v>Ready</x:v>
      </x:c>
    </x:row>
    <x:row r="197">
      <x:c r="A197" s="25" t="str">
        <x:f>IF(OR(B197="",C197="",E197=""),"",B197&amp;"|"&amp;C197&amp;"|"&amp;E197)</x:f>
        <x:v>Planning|Planning Assistant|CORE-PROB-001</x:v>
      </x:c>
      <x:c r="B197" s="24" t="str">
        <x:v>Planning</x:v>
      </x:c>
      <x:c r="C197" s="24" t="str">
        <x:v>Planning Assistant</x:v>
      </x:c>
      <x:c r="D197" s="24" t="str">
        <x:v>Packer/Assistant</x:v>
      </x:c>
      <x:c r="E197" s="24" t="str">
        <x:v>CORE-PROB-001</x:v>
      </x:c>
      <x:c r="F197" s="25" t="str">
        <x:f>IF(E197="","",IFERROR(VLOOKUP(E197,'02 Skill Catalogue'!$A$6:$K$95,4,FALSE),"Skill ID not found"))</x:f>
        <x:v>Abnormality escalation and root-cause thinking</x:v>
      </x:c>
      <x:c r="G197" s="25" t="str">
        <x:f>IF(E197="","",IFERROR(VLOOKUP(E197,'02 Skill Catalogue'!$A$6:$K$95,3,FALSE),""))</x:f>
        <x:v>Problem Solving</x:v>
      </x:c>
      <x:c r="H197" s="24" t="str">
        <x:v>Essential</x:v>
      </x:c>
      <x:c r="I197" s="28" t="n">
        <x:v>0.125</x:v>
      </x:c>
      <x:c r="J197" s="24" t="n">
        <x:v>2</x:v>
      </x:c>
      <x:c r="K197" s="24" t="str">
        <x:v>No</x:v>
      </x:c>
      <x:c r="L197" s="24" t="n">
        <x:v>12</x:v>
      </x:c>
      <x:c r="M197" s="24" t="str">
        <x:v>Yes</x:v>
      </x:c>
      <x:c r="N197" s="24" t="str">
        <x:v>Planning HOD</x:v>
      </x:c>
      <x:c r="O197" s="26" t="n">
        <x:v>46264</x:v>
      </x:c>
      <x:c r="P197" s="27" t="str">
        <x:v>Validate against current SBTG SOP/WI, machine, product and authority limits.</x:v>
      </x:c>
      <x:c r="Q197" s="29" t="n">
        <x:f>IF(OR(B197="",C197=""),"",SUMIFS($I$6:$I$285,$B$6:$B$285,B197,$C$6:$C$285,C197,$M$6:$M$285,"Yes"))</x:f>
        <x:v>1</x:v>
      </x:c>
      <x:c r="R197" s="25" t="str">
        <x:f>IF(A197="","",IF(ABS(Q197-1)&lt;0.0001,"Ready","Review Weight"))</x:f>
        <x:v>Ready</x:v>
      </x:c>
    </x:row>
    <x:row r="198">
      <x:c r="A198" s="25" t="str">
        <x:f>IF(OR(B198="",C198="",E198=""),"",B198&amp;"|"&amp;C198&amp;"|"&amp;E198)</x:f>
        <x:v>IT|IT HOD / Manager|CORE-DATA-001</x:v>
      </x:c>
      <x:c r="B198" s="24" t="str">
        <x:v>IT</x:v>
      </x:c>
      <x:c r="C198" s="24" t="str">
        <x:v>IT HOD / Manager</x:v>
      </x:c>
      <x:c r="D198" s="24" t="str">
        <x:v>Leader</x:v>
      </x:c>
      <x:c r="E198" s="24" t="str">
        <x:v>CORE-DATA-001</x:v>
      </x:c>
      <x:c r="F198" s="25" t="str">
        <x:f>IF(E198="","",IFERROR(VLOOKUP(E198,'02 Skill Catalogue'!$A$6:$K$95,4,FALSE),"Skill ID not found"))</x:f>
        <x:v>Accurate operational data recording</x:v>
      </x:c>
      <x:c r="G198" s="25" t="str">
        <x:f>IF(E198="","",IFERROR(VLOOKUP(E198,'02 Skill Catalogue'!$A$6:$K$95,3,FALSE),""))</x:f>
        <x:v>Digital/Data/AI</x:v>
      </x:c>
      <x:c r="H198" s="24" t="str">
        <x:v>Critical</x:v>
      </x:c>
      <x:c r="I198" s="28" t="n">
        <x:v>0.125</x:v>
      </x:c>
      <x:c r="J198" s="24" t="n">
        <x:v>5</x:v>
      </x:c>
      <x:c r="K198" s="24" t="str">
        <x:v>No</x:v>
      </x:c>
      <x:c r="L198" s="24" t="n">
        <x:v>12</x:v>
      </x:c>
      <x:c r="M198" s="24" t="str">
        <x:v>Yes</x:v>
      </x:c>
      <x:c r="N198" s="24" t="str">
        <x:v>IT HOD</x:v>
      </x:c>
      <x:c r="O198" s="26" t="n">
        <x:v>46264</x:v>
      </x:c>
      <x:c r="P198" s="27" t="str">
        <x:v>Validate against current SBTG SOP/WI, machine, product and authority limits.</x:v>
      </x:c>
      <x:c r="Q198" s="29" t="n">
        <x:f>IF(OR(B198="",C198=""),"",SUMIFS($I$6:$I$285,$B$6:$B$285,B198,$C$6:$C$285,C198,$M$6:$M$285,"Yes"))</x:f>
        <x:v>1</x:v>
      </x:c>
      <x:c r="R198" s="25" t="str">
        <x:f>IF(A198="","",IF(ABS(Q198-1)&lt;0.0001,"Ready","Review Weight"))</x:f>
        <x:v>Ready</x:v>
      </x:c>
    </x:row>
    <x:row r="199">
      <x:c r="A199" s="25" t="str">
        <x:f>IF(OR(B199="",C199="",E199=""),"",B199&amp;"|"&amp;C199&amp;"|"&amp;E199)</x:f>
        <x:v>IT|IT HOD / Manager|CORE-PROB-001</x:v>
      </x:c>
      <x:c r="B199" s="24" t="str">
        <x:v>IT</x:v>
      </x:c>
      <x:c r="C199" s="24" t="str">
        <x:v>IT HOD / Manager</x:v>
      </x:c>
      <x:c r="D199" s="24" t="str">
        <x:v>Leader</x:v>
      </x:c>
      <x:c r="E199" s="24" t="str">
        <x:v>CORE-PROB-001</x:v>
      </x:c>
      <x:c r="F199" s="25" t="str">
        <x:f>IF(E199="","",IFERROR(VLOOKUP(E199,'02 Skill Catalogue'!$A$6:$K$95,4,FALSE),"Skill ID not found"))</x:f>
        <x:v>Abnormality escalation and root-cause thinking</x:v>
      </x:c>
      <x:c r="G199" s="25" t="str">
        <x:f>IF(E199="","",IFERROR(VLOOKUP(E199,'02 Skill Catalogue'!$A$6:$K$95,3,FALSE),""))</x:f>
        <x:v>Problem Solving</x:v>
      </x:c>
      <x:c r="H199" s="24" t="str">
        <x:v>Essential</x:v>
      </x:c>
      <x:c r="I199" s="28" t="n">
        <x:v>0.125</x:v>
      </x:c>
      <x:c r="J199" s="24" t="n">
        <x:v>4</x:v>
      </x:c>
      <x:c r="K199" s="24" t="str">
        <x:v>No</x:v>
      </x:c>
      <x:c r="L199" s="24" t="n">
        <x:v>12</x:v>
      </x:c>
      <x:c r="M199" s="24" t="str">
        <x:v>Yes</x:v>
      </x:c>
      <x:c r="N199" s="24" t="str">
        <x:v>IT HOD</x:v>
      </x:c>
      <x:c r="O199" s="26" t="n">
        <x:v>46264</x:v>
      </x:c>
      <x:c r="P199" s="27" t="str">
        <x:v>Validate against current SBTG SOP/WI, machine, product and authority limits.</x:v>
      </x:c>
      <x:c r="Q199" s="29" t="n">
        <x:f>IF(OR(B199="",C199=""),"",SUMIFS($I$6:$I$285,$B$6:$B$285,B199,$C$6:$C$285,C199,$M$6:$M$285,"Yes"))</x:f>
        <x:v>1</x:v>
      </x:c>
      <x:c r="R199" s="25" t="str">
        <x:f>IF(A199="","",IF(ABS(Q199-1)&lt;0.0001,"Ready","Review Weight"))</x:f>
        <x:v>Ready</x:v>
      </x:c>
    </x:row>
    <x:row r="200">
      <x:c r="A200" s="25" t="str">
        <x:f>IF(OR(B200="",C200="",E200=""),"",B200&amp;"|"&amp;C200&amp;"|"&amp;E200)</x:f>
        <x:v>IT|IT HOD / Manager|IT-CYBER-005</x:v>
      </x:c>
      <x:c r="B200" s="24" t="str">
        <x:v>IT</x:v>
      </x:c>
      <x:c r="C200" s="24" t="str">
        <x:v>IT HOD / Manager</x:v>
      </x:c>
      <x:c r="D200" s="24" t="str">
        <x:v>Leader</x:v>
      </x:c>
      <x:c r="E200" s="24" t="str">
        <x:v>IT-CYBER-005</x:v>
      </x:c>
      <x:c r="F200" s="25" t="str">
        <x:f>IF(E200="","",IFERROR(VLOOKUP(E200,'02 Skill Catalogue'!$A$6:$K$95,4,FALSE),"Skill ID not found"))</x:f>
        <x:v>Cybersecurity, identity and access control</x:v>
      </x:c>
      <x:c r="G200" s="25" t="str">
        <x:f>IF(E200="","",IFERROR(VLOOKUP(E200,'02 Skill Catalogue'!$A$6:$K$95,3,FALSE),""))</x:f>
        <x:v>Safety</x:v>
      </x:c>
      <x:c r="H200" s="24" t="str">
        <x:v>Critical</x:v>
      </x:c>
      <x:c r="I200" s="28" t="n">
        <x:v>0.125</x:v>
      </x:c>
      <x:c r="J200" s="24" t="n">
        <x:v>4</x:v>
      </x:c>
      <x:c r="K200" s="24" t="str">
        <x:v>No</x:v>
      </x:c>
      <x:c r="L200" s="24" t="n">
        <x:v>12</x:v>
      </x:c>
      <x:c r="M200" s="24" t="str">
        <x:v>Yes</x:v>
      </x:c>
      <x:c r="N200" s="24" t="str">
        <x:v>IT HOD</x:v>
      </x:c>
      <x:c r="O200" s="26" t="n">
        <x:v>46264</x:v>
      </x:c>
      <x:c r="P200" s="27" t="str">
        <x:v>Validate against current SBTG SOP/WI, machine, product and authority limits.</x:v>
      </x:c>
      <x:c r="Q200" s="29" t="n">
        <x:f>IF(OR(B200="",C200=""),"",SUMIFS($I$6:$I$285,$B$6:$B$285,B200,$C$6:$C$285,C200,$M$6:$M$285,"Yes"))</x:f>
        <x:v>1</x:v>
      </x:c>
      <x:c r="R200" s="25" t="str">
        <x:f>IF(A200="","",IF(ABS(Q200-1)&lt;0.0001,"Ready","Review Weight"))</x:f>
        <x:v>Ready</x:v>
      </x:c>
    </x:row>
    <x:row r="201">
      <x:c r="A201" s="25" t="str">
        <x:f>IF(OR(B201="",C201="",E201=""),"",B201&amp;"|"&amp;C201&amp;"|"&amp;E201)</x:f>
        <x:v>IT|IT HOD / Manager|IT-BCP-009</x:v>
      </x:c>
      <x:c r="B201" s="24" t="str">
        <x:v>IT</x:v>
      </x:c>
      <x:c r="C201" s="24" t="str">
        <x:v>IT HOD / Manager</x:v>
      </x:c>
      <x:c r="D201" s="24" t="str">
        <x:v>Leader</x:v>
      </x:c>
      <x:c r="E201" s="24" t="str">
        <x:v>IT-BCP-009</x:v>
      </x:c>
      <x:c r="F201" s="25" t="str">
        <x:f>IF(E201="","",IFERROR(VLOOKUP(E201,'02 Skill Catalogue'!$A$6:$K$95,4,FALSE),"Skill ID not found"))</x:f>
        <x:v>Backup, recovery and business continuity</x:v>
      </x:c>
      <x:c r="G201" s="25" t="str">
        <x:f>IF(E201="","",IFERROR(VLOOKUP(E201,'02 Skill Catalogue'!$A$6:$K$95,3,FALSE),""))</x:f>
        <x:v>Safety</x:v>
      </x:c>
      <x:c r="H201" s="24" t="str">
        <x:v>Critical</x:v>
      </x:c>
      <x:c r="I201" s="28" t="n">
        <x:v>0.125</x:v>
      </x:c>
      <x:c r="J201" s="24" t="n">
        <x:v>4</x:v>
      </x:c>
      <x:c r="K201" s="24" t="str">
        <x:v>No</x:v>
      </x:c>
      <x:c r="L201" s="24" t="n">
        <x:v>12</x:v>
      </x:c>
      <x:c r="M201" s="24" t="str">
        <x:v>Yes</x:v>
      </x:c>
      <x:c r="N201" s="24" t="str">
        <x:v>IT HOD</x:v>
      </x:c>
      <x:c r="O201" s="26" t="n">
        <x:v>46264</x:v>
      </x:c>
      <x:c r="P201" s="27" t="str">
        <x:v>Validate against current SBTG SOP/WI, machine, product and authority limits.</x:v>
      </x:c>
      <x:c r="Q201" s="29" t="n">
        <x:f>IF(OR(B201="",C201=""),"",SUMIFS($I$6:$I$285,$B$6:$B$285,B201,$C$6:$C$285,C201,$M$6:$M$285,"Yes"))</x:f>
        <x:v>1</x:v>
      </x:c>
      <x:c r="R201" s="25" t="str">
        <x:f>IF(A201="","",IF(ABS(Q201-1)&lt;0.0001,"Ready","Review Weight"))</x:f>
        <x:v>Ready</x:v>
      </x:c>
    </x:row>
    <x:row r="202">
      <x:c r="A202" s="25" t="str">
        <x:f>IF(OR(B202="",C202="",E202=""),"",B202&amp;"|"&amp;C202&amp;"|"&amp;E202)</x:f>
        <x:v>IT|IT HOD / Manager|IT-OWNER-010</x:v>
      </x:c>
      <x:c r="B202" s="24" t="str">
        <x:v>IT</x:v>
      </x:c>
      <x:c r="C202" s="24" t="str">
        <x:v>IT HOD / Manager</x:v>
      </x:c>
      <x:c r="D202" s="24" t="str">
        <x:v>Leader</x:v>
      </x:c>
      <x:c r="E202" s="24" t="str">
        <x:v>IT-OWNER-010</x:v>
      </x:c>
      <x:c r="F202" s="25" t="str">
        <x:f>IF(E202="","",IFERROR(VLOOKUP(E202,'02 Skill Catalogue'!$A$6:$K$95,4,FALSE),"Skill ID not found"))</x:f>
        <x:v>Business-system product ownership</x:v>
      </x:c>
      <x:c r="G202" s="25" t="str">
        <x:f>IF(E202="","",IFERROR(VLOOKUP(E202,'02 Skill Catalogue'!$A$6:$K$95,3,FALSE),""))</x:f>
        <x:v>Leadership</x:v>
      </x:c>
      <x:c r="H202" s="24" t="str">
        <x:v>Essential</x:v>
      </x:c>
      <x:c r="I202" s="28" t="n">
        <x:v>0.125</x:v>
      </x:c>
      <x:c r="J202" s="24" t="n">
        <x:v>4</x:v>
      </x:c>
      <x:c r="K202" s="24" t="str">
        <x:v>No</x:v>
      </x:c>
      <x:c r="L202" s="24" t="n">
        <x:v>12</x:v>
      </x:c>
      <x:c r="M202" s="24" t="str">
        <x:v>Yes</x:v>
      </x:c>
      <x:c r="N202" s="24" t="str">
        <x:v>IT HOD</x:v>
      </x:c>
      <x:c r="O202" s="26" t="n">
        <x:v>46264</x:v>
      </x:c>
      <x:c r="P202" s="27" t="str">
        <x:v>Validate against current SBTG SOP/WI, machine, product and authority limits.</x:v>
      </x:c>
      <x:c r="Q202" s="29" t="n">
        <x:f>IF(OR(B202="",C202=""),"",SUMIFS($I$6:$I$285,$B$6:$B$285,B202,$C$6:$C$285,C202,$M$6:$M$285,"Yes"))</x:f>
        <x:v>1</x:v>
      </x:c>
      <x:c r="R202" s="25" t="str">
        <x:f>IF(A202="","",IF(ABS(Q202-1)&lt;0.0001,"Ready","Review Weight"))</x:f>
        <x:v>Ready</x:v>
      </x:c>
    </x:row>
    <x:row r="203">
      <x:c r="A203" s="25" t="str">
        <x:f>IF(OR(B203="",C203="",E203=""),"",B203&amp;"|"&amp;C203&amp;"|"&amp;E203)</x:f>
        <x:v>IT|IT HOD / Manager|IT-AI-008</x:v>
      </x:c>
      <x:c r="B203" s="24" t="str">
        <x:v>IT</x:v>
      </x:c>
      <x:c r="C203" s="24" t="str">
        <x:v>IT HOD / Manager</x:v>
      </x:c>
      <x:c r="D203" s="24" t="str">
        <x:v>Leader</x:v>
      </x:c>
      <x:c r="E203" s="24" t="str">
        <x:v>IT-AI-008</x:v>
      </x:c>
      <x:c r="F203" s="25" t="str">
        <x:f>IF(E203="","",IFERROR(VLOOKUP(E203,'02 Skill Catalogue'!$A$6:$K$95,4,FALSE),"Skill ID not found"))</x:f>
        <x:v>AI solution and governance</x:v>
      </x:c>
      <x:c r="G203" s="25" t="str">
        <x:f>IF(E203="","",IFERROR(VLOOKUP(E203,'02 Skill Catalogue'!$A$6:$K$95,3,FALSE),""))</x:f>
        <x:v>Digital/Data/AI</x:v>
      </x:c>
      <x:c r="H203" s="24" t="str">
        <x:v>Critical</x:v>
      </x:c>
      <x:c r="I203" s="28" t="n">
        <x:v>0.125</x:v>
      </x:c>
      <x:c r="J203" s="24" t="n">
        <x:v>4</x:v>
      </x:c>
      <x:c r="K203" s="24" t="str">
        <x:v>No</x:v>
      </x:c>
      <x:c r="L203" s="24" t="n">
        <x:v>12</x:v>
      </x:c>
      <x:c r="M203" s="24" t="str">
        <x:v>Yes</x:v>
      </x:c>
      <x:c r="N203" s="24" t="str">
        <x:v>IT HOD</x:v>
      </x:c>
      <x:c r="O203" s="26" t="n">
        <x:v>46264</x:v>
      </x:c>
      <x:c r="P203" s="27" t="str">
        <x:v>Validate against current SBTG SOP/WI, machine, product and authority limits.</x:v>
      </x:c>
      <x:c r="Q203" s="29" t="n">
        <x:f>IF(OR(B203="",C203=""),"",SUMIFS($I$6:$I$285,$B$6:$B$285,B203,$C$6:$C$285,C203,$M$6:$M$285,"Yes"))</x:f>
        <x:v>1</x:v>
      </x:c>
      <x:c r="R203" s="25" t="str">
        <x:f>IF(A203="","",IF(ABS(Q203-1)&lt;0.0001,"Ready","Review Weight"))</x:f>
        <x:v>Ready</x:v>
      </x:c>
    </x:row>
    <x:row r="204">
      <x:c r="A204" s="25" t="str">
        <x:f>IF(OR(B204="",C204="",E204=""),"",B204&amp;"|"&amp;C204&amp;"|"&amp;E204)</x:f>
        <x:v>IT|IT HOD / Manager|LEAD-SYS-001</x:v>
      </x:c>
      <x:c r="B204" s="24" t="str">
        <x:v>IT</x:v>
      </x:c>
      <x:c r="C204" s="24" t="str">
        <x:v>IT HOD / Manager</x:v>
      </x:c>
      <x:c r="D204" s="24" t="str">
        <x:v>Leader</x:v>
      </x:c>
      <x:c r="E204" s="24" t="str">
        <x:v>LEAD-SYS-001</x:v>
      </x:c>
      <x:c r="F204" s="25" t="str">
        <x:f>IF(E204="","",IFERROR(VLOOKUP(E204,'02 Skill Catalogue'!$A$6:$K$95,4,FALSE),"Skill ID not found"))</x:f>
        <x:v>Process standardisation and system building</x:v>
      </x:c>
      <x:c r="G204" s="25" t="str">
        <x:f>IF(E204="","",IFERROR(VLOOKUP(E204,'02 Skill Catalogue'!$A$6:$K$95,3,FALSE),""))</x:f>
        <x:v>Leadership</x:v>
      </x:c>
      <x:c r="H204" s="24" t="str">
        <x:v>Essential</x:v>
      </x:c>
      <x:c r="I204" s="28" t="n">
        <x:v>0.125</x:v>
      </x:c>
      <x:c r="J204" s="24" t="n">
        <x:v>4</x:v>
      </x:c>
      <x:c r="K204" s="24" t="str">
        <x:v>No</x:v>
      </x:c>
      <x:c r="L204" s="24" t="n">
        <x:v>12</x:v>
      </x:c>
      <x:c r="M204" s="24" t="str">
        <x:v>Yes</x:v>
      </x:c>
      <x:c r="N204" s="24" t="str">
        <x:v>IT HOD</x:v>
      </x:c>
      <x:c r="O204" s="26" t="n">
        <x:v>46264</x:v>
      </x:c>
      <x:c r="P204" s="27" t="str">
        <x:v>Validate against current SBTG SOP/WI, machine, product and authority limits.</x:v>
      </x:c>
      <x:c r="Q204" s="29" t="n">
        <x:f>IF(OR(B204="",C204=""),"",SUMIFS($I$6:$I$285,$B$6:$B$285,B204,$C$6:$C$285,C204,$M$6:$M$285,"Yes"))</x:f>
        <x:v>1</x:v>
      </x:c>
      <x:c r="R204" s="25" t="str">
        <x:f>IF(A204="","",IF(ABS(Q204-1)&lt;0.0001,"Ready","Review Weight"))</x:f>
        <x:v>Ready</x:v>
      </x:c>
    </x:row>
    <x:row r="205">
      <x:c r="A205" s="25" t="str">
        <x:f>IF(OR(B205="",C205="",E205=""),"",B205&amp;"|"&amp;C205&amp;"|"&amp;E205)</x:f>
        <x:v>IT|IT HOD / Manager|LEAD-VALUE-003</x:v>
      </x:c>
      <x:c r="B205" s="24" t="str">
        <x:v>IT</x:v>
      </x:c>
      <x:c r="C205" s="24" t="str">
        <x:v>IT HOD / Manager</x:v>
      </x:c>
      <x:c r="D205" s="24" t="str">
        <x:v>Leader</x:v>
      </x:c>
      <x:c r="E205" s="24" t="str">
        <x:v>LEAD-VALUE-003</x:v>
      </x:c>
      <x:c r="F205" s="25" t="str">
        <x:f>IF(E205="","",IFERROR(VLOOKUP(E205,'02 Skill Catalogue'!$A$6:$K$95,4,FALSE),"Skill ID not found"))</x:f>
        <x:v>KPI ownership and value creation</x:v>
      </x:c>
      <x:c r="G205" s="25" t="str">
        <x:f>IF(E205="","",IFERROR(VLOOKUP(E205,'02 Skill Catalogue'!$A$6:$K$95,3,FALSE),""))</x:f>
        <x:v>Leadership</x:v>
      </x:c>
      <x:c r="H205" s="24" t="str">
        <x:v>Essential</x:v>
      </x:c>
      <x:c r="I205" s="28" t="n">
        <x:v>0.125</x:v>
      </x:c>
      <x:c r="J205" s="24" t="n">
        <x:v>4</x:v>
      </x:c>
      <x:c r="K205" s="24" t="str">
        <x:v>No</x:v>
      </x:c>
      <x:c r="L205" s="24" t="n">
        <x:v>12</x:v>
      </x:c>
      <x:c r="M205" s="24" t="str">
        <x:v>Yes</x:v>
      </x:c>
      <x:c r="N205" s="24" t="str">
        <x:v>IT HOD</x:v>
      </x:c>
      <x:c r="O205" s="26" t="n">
        <x:v>46264</x:v>
      </x:c>
      <x:c r="P205" s="27" t="str">
        <x:v>Validate against current SBTG SOP/WI, machine, product and authority limits.</x:v>
      </x:c>
      <x:c r="Q205" s="29" t="n">
        <x:f>IF(OR(B205="",C205=""),"",SUMIFS($I$6:$I$285,$B$6:$B$285,B205,$C$6:$C$285,C205,$M$6:$M$285,"Yes"))</x:f>
        <x:v>1</x:v>
      </x:c>
      <x:c r="R205" s="25" t="str">
        <x:f>IF(A205="","",IF(ABS(Q205-1)&lt;0.0001,"Ready","Review Weight"))</x:f>
        <x:v>Ready</x:v>
      </x:c>
    </x:row>
    <x:row r="206">
      <x:c r="A206" s="25" t="str">
        <x:f>IF(OR(B206="",C206="",E206=""),"",B206&amp;"|"&amp;C206&amp;"|"&amp;E206)</x:f>
        <x:v>IT|Business Systems / MES Product Owner|CORE-DATA-001</x:v>
      </x:c>
      <x:c r="B206" s="24" t="str">
        <x:v>IT</x:v>
      </x:c>
      <x:c r="C206" s="24" t="str">
        <x:v>Business Systems / MES Product Owner</x:v>
      </x:c>
      <x:c r="D206" s="24" t="str">
        <x:v>Technologist/Executive</x:v>
      </x:c>
      <x:c r="E206" s="24" t="str">
        <x:v>CORE-DATA-001</x:v>
      </x:c>
      <x:c r="F206" s="25" t="str">
        <x:f>IF(E206="","",IFERROR(VLOOKUP(E206,'02 Skill Catalogue'!$A$6:$K$95,4,FALSE),"Skill ID not found"))</x:f>
        <x:v>Accurate operational data recording</x:v>
      </x:c>
      <x:c r="G206" s="25" t="str">
        <x:f>IF(E206="","",IFERROR(VLOOKUP(E206,'02 Skill Catalogue'!$A$6:$K$95,3,FALSE),""))</x:f>
        <x:v>Digital/Data/AI</x:v>
      </x:c>
      <x:c r="H206" s="24" t="str">
        <x:v>Critical</x:v>
      </x:c>
      <x:c r="I206" s="28" t="n">
        <x:v>0.125</x:v>
      </x:c>
      <x:c r="J206" s="24" t="n">
        <x:v>4</x:v>
      </x:c>
      <x:c r="K206" s="24" t="str">
        <x:v>No</x:v>
      </x:c>
      <x:c r="L206" s="24" t="n">
        <x:v>12</x:v>
      </x:c>
      <x:c r="M206" s="24" t="str">
        <x:v>Yes</x:v>
      </x:c>
      <x:c r="N206" s="24" t="str">
        <x:v>IT HOD</x:v>
      </x:c>
      <x:c r="O206" s="26" t="n">
        <x:v>46264</x:v>
      </x:c>
      <x:c r="P206" s="27" t="str">
        <x:v>Validate against current SBTG SOP/WI, machine, product and authority limits.</x:v>
      </x:c>
      <x:c r="Q206" s="29" t="n">
        <x:f>IF(OR(B206="",C206=""),"",SUMIFS($I$6:$I$285,$B$6:$B$285,B206,$C$6:$C$285,C206,$M$6:$M$285,"Yes"))</x:f>
        <x:v>1</x:v>
      </x:c>
      <x:c r="R206" s="25" t="str">
        <x:f>IF(A206="","",IF(ABS(Q206-1)&lt;0.0001,"Ready","Review Weight"))</x:f>
        <x:v>Ready</x:v>
      </x:c>
    </x:row>
    <x:row r="207">
      <x:c r="A207" s="25" t="str">
        <x:f>IF(OR(B207="",C207="",E207=""),"",B207&amp;"|"&amp;C207&amp;"|"&amp;E207)</x:f>
        <x:v>IT|Business Systems / MES Product Owner|CORE-PROB-001</x:v>
      </x:c>
      <x:c r="B207" s="24" t="str">
        <x:v>IT</x:v>
      </x:c>
      <x:c r="C207" s="24" t="str">
        <x:v>Business Systems / MES Product Owner</x:v>
      </x:c>
      <x:c r="D207" s="24" t="str">
        <x:v>Technologist/Executive</x:v>
      </x:c>
      <x:c r="E207" s="24" t="str">
        <x:v>CORE-PROB-001</x:v>
      </x:c>
      <x:c r="F207" s="25" t="str">
        <x:f>IF(E207="","",IFERROR(VLOOKUP(E207,'02 Skill Catalogue'!$A$6:$K$95,4,FALSE),"Skill ID not found"))</x:f>
        <x:v>Abnormality escalation and root-cause thinking</x:v>
      </x:c>
      <x:c r="G207" s="25" t="str">
        <x:f>IF(E207="","",IFERROR(VLOOKUP(E207,'02 Skill Catalogue'!$A$6:$K$95,3,FALSE),""))</x:f>
        <x:v>Problem Solving</x:v>
      </x:c>
      <x:c r="H207" s="24" t="str">
        <x:v>Essential</x:v>
      </x:c>
      <x:c r="I207" s="28" t="n">
        <x:v>0.125</x:v>
      </x:c>
      <x:c r="J207" s="24" t="n">
        <x:v>4</x:v>
      </x:c>
      <x:c r="K207" s="24" t="str">
        <x:v>No</x:v>
      </x:c>
      <x:c r="L207" s="24" t="n">
        <x:v>12</x:v>
      </x:c>
      <x:c r="M207" s="24" t="str">
        <x:v>Yes</x:v>
      </x:c>
      <x:c r="N207" s="24" t="str">
        <x:v>IT HOD</x:v>
      </x:c>
      <x:c r="O207" s="26" t="n">
        <x:v>46264</x:v>
      </x:c>
      <x:c r="P207" s="27" t="str">
        <x:v>Validate against current SBTG SOP/WI, machine, product and authority limits.</x:v>
      </x:c>
      <x:c r="Q207" s="29" t="n">
        <x:f>IF(OR(B207="",C207=""),"",SUMIFS($I$6:$I$285,$B$6:$B$285,B207,$C$6:$C$285,C207,$M$6:$M$285,"Yes"))</x:f>
        <x:v>1</x:v>
      </x:c>
      <x:c r="R207" s="25" t="str">
        <x:f>IF(A207="","",IF(ABS(Q207-1)&lt;0.0001,"Ready","Review Weight"))</x:f>
        <x:v>Ready</x:v>
      </x:c>
    </x:row>
    <x:row r="208">
      <x:c r="A208" s="25" t="str">
        <x:f>IF(OR(B208="",C208="",E208=""),"",B208&amp;"|"&amp;C208&amp;"|"&amp;E208)</x:f>
        <x:v>IT|Business Systems / MES Product Owner|IT-ERP-001</x:v>
      </x:c>
      <x:c r="B208" s="24" t="str">
        <x:v>IT</x:v>
      </x:c>
      <x:c r="C208" s="24" t="str">
        <x:v>Business Systems / MES Product Owner</x:v>
      </x:c>
      <x:c r="D208" s="24" t="str">
        <x:v>Technologist/Executive</x:v>
      </x:c>
      <x:c r="E208" s="24" t="str">
        <x:v>IT-ERP-001</x:v>
      </x:c>
      <x:c r="F208" s="25" t="str">
        <x:f>IF(E208="","",IFERROR(VLOOKUP(E208,'02 Skill Catalogue'!$A$6:$K$95,4,FALSE),"Skill ID not found"))</x:f>
        <x:v>AX/ERP business-process support</x:v>
      </x:c>
      <x:c r="G208" s="25" t="str">
        <x:f>IF(E208="","",IFERROR(VLOOKUP(E208,'02 Skill Catalogue'!$A$6:$K$95,3,FALSE),""))</x:f>
        <x:v>Digital/Data/AI</x:v>
      </x:c>
      <x:c r="H208" s="24" t="str">
        <x:v>Critical</x:v>
      </x:c>
      <x:c r="I208" s="28" t="n">
        <x:v>0.125</x:v>
      </x:c>
      <x:c r="J208" s="24" t="n">
        <x:v>4</x:v>
      </x:c>
      <x:c r="K208" s="24" t="str">
        <x:v>No</x:v>
      </x:c>
      <x:c r="L208" s="24" t="n">
        <x:v>12</x:v>
      </x:c>
      <x:c r="M208" s="24" t="str">
        <x:v>Yes</x:v>
      </x:c>
      <x:c r="N208" s="24" t="str">
        <x:v>IT HOD</x:v>
      </x:c>
      <x:c r="O208" s="26" t="n">
        <x:v>46264</x:v>
      </x:c>
      <x:c r="P208" s="27" t="str">
        <x:v>Validate against current SBTG SOP/WI, machine, product and authority limits.</x:v>
      </x:c>
      <x:c r="Q208" s="29" t="n">
        <x:f>IF(OR(B208="",C208=""),"",SUMIFS($I$6:$I$285,$B$6:$B$285,B208,$C$6:$C$285,C208,$M$6:$M$285,"Yes"))</x:f>
        <x:v>1</x:v>
      </x:c>
      <x:c r="R208" s="25" t="str">
        <x:f>IF(A208="","",IF(ABS(Q208-1)&lt;0.0001,"Ready","Review Weight"))</x:f>
        <x:v>Ready</x:v>
      </x:c>
    </x:row>
    <x:row r="209">
      <x:c r="A209" s="25" t="str">
        <x:f>IF(OR(B209="",C209="",E209=""),"",B209&amp;"|"&amp;C209&amp;"|"&amp;E209)</x:f>
        <x:v>IT|Business Systems / MES Product Owner|IT-MES-002</x:v>
      </x:c>
      <x:c r="B209" s="24" t="str">
        <x:v>IT</x:v>
      </x:c>
      <x:c r="C209" s="24" t="str">
        <x:v>Business Systems / MES Product Owner</x:v>
      </x:c>
      <x:c r="D209" s="24" t="str">
        <x:v>Technologist/Executive</x:v>
      </x:c>
      <x:c r="E209" s="24" t="str">
        <x:v>IT-MES-002</x:v>
      </x:c>
      <x:c r="F209" s="25" t="str">
        <x:f>IF(E209="","",IFERROR(VLOOKUP(E209,'02 Skill Catalogue'!$A$6:$K$95,4,FALSE),"Skill ID not found"))</x:f>
        <x:v>MES and shop-floor integration</x:v>
      </x:c>
      <x:c r="G209" s="25" t="str">
        <x:f>IF(E209="","",IFERROR(VLOOKUP(E209,'02 Skill Catalogue'!$A$6:$K$95,3,FALSE),""))</x:f>
        <x:v>Digital/Data/AI</x:v>
      </x:c>
      <x:c r="H209" s="24" t="str">
        <x:v>Critical</x:v>
      </x:c>
      <x:c r="I209" s="28" t="n">
        <x:v>0.125</x:v>
      </x:c>
      <x:c r="J209" s="24" t="n">
        <x:v>4</x:v>
      </x:c>
      <x:c r="K209" s="24" t="str">
        <x:v>No</x:v>
      </x:c>
      <x:c r="L209" s="24" t="n">
        <x:v>12</x:v>
      </x:c>
      <x:c r="M209" s="24" t="str">
        <x:v>Yes</x:v>
      </x:c>
      <x:c r="N209" s="24" t="str">
        <x:v>IT HOD</x:v>
      </x:c>
      <x:c r="O209" s="26" t="n">
        <x:v>46264</x:v>
      </x:c>
      <x:c r="P209" s="27" t="str">
        <x:v>Validate against current SBTG SOP/WI, machine, product and authority limits.</x:v>
      </x:c>
      <x:c r="Q209" s="29" t="n">
        <x:f>IF(OR(B209="",C209=""),"",SUMIFS($I$6:$I$285,$B$6:$B$285,B209,$C$6:$C$285,C209,$M$6:$M$285,"Yes"))</x:f>
        <x:v>1</x:v>
      </x:c>
      <x:c r="R209" s="25" t="str">
        <x:f>IF(A209="","",IF(ABS(Q209-1)&lt;0.0001,"Ready","Review Weight"))</x:f>
        <x:v>Ready</x:v>
      </x:c>
    </x:row>
    <x:row r="210">
      <x:c r="A210" s="25" t="str">
        <x:f>IF(OR(B210="",C210="",E210=""),"",B210&amp;"|"&amp;C210&amp;"|"&amp;E210)</x:f>
        <x:v>IT|Business Systems / MES Product Owner|IT-DATA-003</x:v>
      </x:c>
      <x:c r="B210" s="24" t="str">
        <x:v>IT</x:v>
      </x:c>
      <x:c r="C210" s="24" t="str">
        <x:v>Business Systems / MES Product Owner</x:v>
      </x:c>
      <x:c r="D210" s="24" t="str">
        <x:v>Technologist/Executive</x:v>
      </x:c>
      <x:c r="E210" s="24" t="str">
        <x:v>IT-DATA-003</x:v>
      </x:c>
      <x:c r="F210" s="25" t="str">
        <x:f>IF(E210="","",IFERROR(VLOOKUP(E210,'02 Skill Catalogue'!$A$6:$K$95,4,FALSE),"Skill ID not found"))</x:f>
        <x:v>Data modelling, SQL and data quality</x:v>
      </x:c>
      <x:c r="G210" s="25" t="str">
        <x:f>IF(E210="","",IFERROR(VLOOKUP(E210,'02 Skill Catalogue'!$A$6:$K$95,3,FALSE),""))</x:f>
        <x:v>Digital/Data/AI</x:v>
      </x:c>
      <x:c r="H210" s="24" t="str">
        <x:v>Critical</x:v>
      </x:c>
      <x:c r="I210" s="28" t="n">
        <x:v>0.125</x:v>
      </x:c>
      <x:c r="J210" s="24" t="n">
        <x:v>3</x:v>
      </x:c>
      <x:c r="K210" s="24" t="str">
        <x:v>No</x:v>
      </x:c>
      <x:c r="L210" s="24" t="n">
        <x:v>12</x:v>
      </x:c>
      <x:c r="M210" s="24" t="str">
        <x:v>Yes</x:v>
      </x:c>
      <x:c r="N210" s="24" t="str">
        <x:v>IT HOD</x:v>
      </x:c>
      <x:c r="O210" s="26" t="n">
        <x:v>46264</x:v>
      </x:c>
      <x:c r="P210" s="27" t="str">
        <x:v>Validate against current SBTG SOP/WI, machine, product and authority limits.</x:v>
      </x:c>
      <x:c r="Q210" s="29" t="n">
        <x:f>IF(OR(B210="",C210=""),"",SUMIFS($I$6:$I$285,$B$6:$B$285,B210,$C$6:$C$285,C210,$M$6:$M$285,"Yes"))</x:f>
        <x:v>1</x:v>
      </x:c>
      <x:c r="R210" s="25" t="str">
        <x:f>IF(A210="","",IF(ABS(Q210-1)&lt;0.0001,"Ready","Review Weight"))</x:f>
        <x:v>Ready</x:v>
      </x:c>
    </x:row>
    <x:row r="211">
      <x:c r="A211" s="25" t="str">
        <x:f>IF(OR(B211="",C211="",E211=""),"",B211&amp;"|"&amp;C211&amp;"|"&amp;E211)</x:f>
        <x:v>IT|Business Systems / MES Product Owner|IT-AUTO-004</x:v>
      </x:c>
      <x:c r="B211" s="24" t="str">
        <x:v>IT</x:v>
      </x:c>
      <x:c r="C211" s="24" t="str">
        <x:v>Business Systems / MES Product Owner</x:v>
      </x:c>
      <x:c r="D211" s="24" t="str">
        <x:v>Technologist/Executive</x:v>
      </x:c>
      <x:c r="E211" s="24" t="str">
        <x:v>IT-AUTO-004</x:v>
      </x:c>
      <x:c r="F211" s="25" t="str">
        <x:f>IF(E211="","",IFERROR(VLOOKUP(E211,'02 Skill Catalogue'!$A$6:$K$95,4,FALSE),"Skill ID not found"))</x:f>
        <x:v>Workflow automation and RPA</x:v>
      </x:c>
      <x:c r="G211" s="25" t="str">
        <x:f>IF(E211="","",IFERROR(VLOOKUP(E211,'02 Skill Catalogue'!$A$6:$K$95,3,FALSE),""))</x:f>
        <x:v>Digital/Data/AI</x:v>
      </x:c>
      <x:c r="H211" s="24" t="str">
        <x:v>Essential</x:v>
      </x:c>
      <x:c r="I211" s="28" t="n">
        <x:v>0.125</x:v>
      </x:c>
      <x:c r="J211" s="24" t="n">
        <x:v>3</x:v>
      </x:c>
      <x:c r="K211" s="24" t="str">
        <x:v>No</x:v>
      </x:c>
      <x:c r="L211" s="24" t="n">
        <x:v>12</x:v>
      </x:c>
      <x:c r="M211" s="24" t="str">
        <x:v>Yes</x:v>
      </x:c>
      <x:c r="N211" s="24" t="str">
        <x:v>IT HOD</x:v>
      </x:c>
      <x:c r="O211" s="26" t="n">
        <x:v>46264</x:v>
      </x:c>
      <x:c r="P211" s="27" t="str">
        <x:v>Validate against current SBTG SOP/WI, machine, product and authority limits.</x:v>
      </x:c>
      <x:c r="Q211" s="29" t="n">
        <x:f>IF(OR(B211="",C211=""),"",SUMIFS($I$6:$I$285,$B$6:$B$285,B211,$C$6:$C$285,C211,$M$6:$M$285,"Yes"))</x:f>
        <x:v>1</x:v>
      </x:c>
      <x:c r="R211" s="25" t="str">
        <x:f>IF(A211="","",IF(ABS(Q211-1)&lt;0.0001,"Ready","Review Weight"))</x:f>
        <x:v>Ready</x:v>
      </x:c>
    </x:row>
    <x:row r="212">
      <x:c r="A212" s="25" t="str">
        <x:f>IF(OR(B212="",C212="",E212=""),"",B212&amp;"|"&amp;C212&amp;"|"&amp;E212)</x:f>
        <x:v>IT|Business Systems / MES Product Owner|IT-OWNER-010</x:v>
      </x:c>
      <x:c r="B212" s="24" t="str">
        <x:v>IT</x:v>
      </x:c>
      <x:c r="C212" s="24" t="str">
        <x:v>Business Systems / MES Product Owner</x:v>
      </x:c>
      <x:c r="D212" s="24" t="str">
        <x:v>Technologist/Executive</x:v>
      </x:c>
      <x:c r="E212" s="24" t="str">
        <x:v>IT-OWNER-010</x:v>
      </x:c>
      <x:c r="F212" s="25" t="str">
        <x:f>IF(E212="","",IFERROR(VLOOKUP(E212,'02 Skill Catalogue'!$A$6:$K$95,4,FALSE),"Skill ID not found"))</x:f>
        <x:v>Business-system product ownership</x:v>
      </x:c>
      <x:c r="G212" s="25" t="str">
        <x:f>IF(E212="","",IFERROR(VLOOKUP(E212,'02 Skill Catalogue'!$A$6:$K$95,3,FALSE),""))</x:f>
        <x:v>Leadership</x:v>
      </x:c>
      <x:c r="H212" s="24" t="str">
        <x:v>Essential</x:v>
      </x:c>
      <x:c r="I212" s="28" t="n">
        <x:v>0.125</x:v>
      </x:c>
      <x:c r="J212" s="24" t="n">
        <x:v>4</x:v>
      </x:c>
      <x:c r="K212" s="24" t="str">
        <x:v>No</x:v>
      </x:c>
      <x:c r="L212" s="24" t="n">
        <x:v>12</x:v>
      </x:c>
      <x:c r="M212" s="24" t="str">
        <x:v>Yes</x:v>
      </x:c>
      <x:c r="N212" s="24" t="str">
        <x:v>IT HOD</x:v>
      </x:c>
      <x:c r="O212" s="26" t="n">
        <x:v>46264</x:v>
      </x:c>
      <x:c r="P212" s="27" t="str">
        <x:v>Validate against current SBTG SOP/WI, machine, product and authority limits.</x:v>
      </x:c>
      <x:c r="Q212" s="29" t="n">
        <x:f>IF(OR(B212="",C212=""),"",SUMIFS($I$6:$I$285,$B$6:$B$285,B212,$C$6:$C$285,C212,$M$6:$M$285,"Yes"))</x:f>
        <x:v>1</x:v>
      </x:c>
      <x:c r="R212" s="25" t="str">
        <x:f>IF(A212="","",IF(ABS(Q212-1)&lt;0.0001,"Ready","Review Weight"))</x:f>
        <x:v>Ready</x:v>
      </x:c>
    </x:row>
    <x:row r="213">
      <x:c r="A213" s="25" t="str">
        <x:f>IF(OR(B213="",C213="",E213=""),"",B213&amp;"|"&amp;C213&amp;"|"&amp;E213)</x:f>
        <x:v>IT|Business Systems / MES Product Owner|CORE-AI-001</x:v>
      </x:c>
      <x:c r="B213" s="24" t="str">
        <x:v>IT</x:v>
      </x:c>
      <x:c r="C213" s="24" t="str">
        <x:v>Business Systems / MES Product Owner</x:v>
      </x:c>
      <x:c r="D213" s="24" t="str">
        <x:v>Technologist/Executive</x:v>
      </x:c>
      <x:c r="E213" s="24" t="str">
        <x:v>CORE-AI-001</x:v>
      </x:c>
      <x:c r="F213" s="25" t="str">
        <x:f>IF(E213="","",IFERROR(VLOOKUP(E213,'02 Skill Catalogue'!$A$6:$K$95,4,FALSE),"Skill ID not found"))</x:f>
        <x:v>Approved AI use and answer verification</x:v>
      </x:c>
      <x:c r="G213" s="25" t="str">
        <x:f>IF(E213="","",IFERROR(VLOOKUP(E213,'02 Skill Catalogue'!$A$6:$K$95,3,FALSE),""))</x:f>
        <x:v>Digital/Data/AI</x:v>
      </x:c>
      <x:c r="H213" s="24" t="str">
        <x:v>Critical</x:v>
      </x:c>
      <x:c r="I213" s="28" t="n">
        <x:v>0.125</x:v>
      </x:c>
      <x:c r="J213" s="24" t="n">
        <x:v>4</x:v>
      </x:c>
      <x:c r="K213" s="24" t="str">
        <x:v>No</x:v>
      </x:c>
      <x:c r="L213" s="24" t="n">
        <x:v>12</x:v>
      </x:c>
      <x:c r="M213" s="24" t="str">
        <x:v>Yes</x:v>
      </x:c>
      <x:c r="N213" s="24" t="str">
        <x:v>IT HOD</x:v>
      </x:c>
      <x:c r="O213" s="26" t="n">
        <x:v>46264</x:v>
      </x:c>
      <x:c r="P213" s="27" t="str">
        <x:v>Validate against current SBTG SOP/WI, machine, product and authority limits.</x:v>
      </x:c>
      <x:c r="Q213" s="29" t="n">
        <x:f>IF(OR(B213="",C213=""),"",SUMIFS($I$6:$I$285,$B$6:$B$285,B213,$C$6:$C$285,C213,$M$6:$M$285,"Yes"))</x:f>
        <x:v>1</x:v>
      </x:c>
      <x:c r="R213" s="25" t="str">
        <x:f>IF(A213="","",IF(ABS(Q213-1)&lt;0.0001,"Ready","Review Weight"))</x:f>
        <x:v>Ready</x:v>
      </x:c>
    </x:row>
    <x:row r="214">
      <x:c r="A214" s="25" t="str">
        <x:f>IF(OR(B214="",C214="",E214=""),"",B214&amp;"|"&amp;C214&amp;"|"&amp;E214)</x:f>
        <x:v>IT|Infrastructure &amp; Cybersecurity Specialist|CORE-DATA-001</x:v>
      </x:c>
      <x:c r="B214" s="24" t="str">
        <x:v>IT</x:v>
      </x:c>
      <x:c r="C214" s="24" t="str">
        <x:v>Infrastructure &amp; Cybersecurity Specialist</x:v>
      </x:c>
      <x:c r="D214" s="24" t="str">
        <x:v>Technologist/Executive</x:v>
      </x:c>
      <x:c r="E214" s="24" t="str">
        <x:v>CORE-DATA-001</x:v>
      </x:c>
      <x:c r="F214" s="25" t="str">
        <x:f>IF(E214="","",IFERROR(VLOOKUP(E214,'02 Skill Catalogue'!$A$6:$K$95,4,FALSE),"Skill ID not found"))</x:f>
        <x:v>Accurate operational data recording</x:v>
      </x:c>
      <x:c r="G214" s="25" t="str">
        <x:f>IF(E214="","",IFERROR(VLOOKUP(E214,'02 Skill Catalogue'!$A$6:$K$95,3,FALSE),""))</x:f>
        <x:v>Digital/Data/AI</x:v>
      </x:c>
      <x:c r="H214" s="24" t="str">
        <x:v>Critical</x:v>
      </x:c>
      <x:c r="I214" s="28" t="n">
        <x:v>0.125</x:v>
      </x:c>
      <x:c r="J214" s="24" t="n">
        <x:v>4</x:v>
      </x:c>
      <x:c r="K214" s="24" t="str">
        <x:v>No</x:v>
      </x:c>
      <x:c r="L214" s="24" t="n">
        <x:v>12</x:v>
      </x:c>
      <x:c r="M214" s="24" t="str">
        <x:v>Yes</x:v>
      </x:c>
      <x:c r="N214" s="24" t="str">
        <x:v>IT HOD</x:v>
      </x:c>
      <x:c r="O214" s="26" t="n">
        <x:v>46264</x:v>
      </x:c>
      <x:c r="P214" s="27" t="str">
        <x:v>Validate against current SBTG SOP/WI, machine, product and authority limits.</x:v>
      </x:c>
      <x:c r="Q214" s="29" t="n">
        <x:f>IF(OR(B214="",C214=""),"",SUMIFS($I$6:$I$285,$B$6:$B$285,B214,$C$6:$C$285,C214,$M$6:$M$285,"Yes"))</x:f>
        <x:v>1</x:v>
      </x:c>
      <x:c r="R214" s="25" t="str">
        <x:f>IF(A214="","",IF(ABS(Q214-1)&lt;0.0001,"Ready","Review Weight"))</x:f>
        <x:v>Ready</x:v>
      </x:c>
    </x:row>
    <x:row r="215">
      <x:c r="A215" s="25" t="str">
        <x:f>IF(OR(B215="",C215="",E215=""),"",B215&amp;"|"&amp;C215&amp;"|"&amp;E215)</x:f>
        <x:v>IT|Infrastructure &amp; Cybersecurity Specialist|CORE-PROB-001</x:v>
      </x:c>
      <x:c r="B215" s="24" t="str">
        <x:v>IT</x:v>
      </x:c>
      <x:c r="C215" s="24" t="str">
        <x:v>Infrastructure &amp; Cybersecurity Specialist</x:v>
      </x:c>
      <x:c r="D215" s="24" t="str">
        <x:v>Technologist/Executive</x:v>
      </x:c>
      <x:c r="E215" s="24" t="str">
        <x:v>CORE-PROB-001</x:v>
      </x:c>
      <x:c r="F215" s="25" t="str">
        <x:f>IF(E215="","",IFERROR(VLOOKUP(E215,'02 Skill Catalogue'!$A$6:$K$95,4,FALSE),"Skill ID not found"))</x:f>
        <x:v>Abnormality escalation and root-cause thinking</x:v>
      </x:c>
      <x:c r="G215" s="25" t="str">
        <x:f>IF(E215="","",IFERROR(VLOOKUP(E215,'02 Skill Catalogue'!$A$6:$K$95,3,FALSE),""))</x:f>
        <x:v>Problem Solving</x:v>
      </x:c>
      <x:c r="H215" s="24" t="str">
        <x:v>Essential</x:v>
      </x:c>
      <x:c r="I215" s="28" t="n">
        <x:v>0.125</x:v>
      </x:c>
      <x:c r="J215" s="24" t="n">
        <x:v>4</x:v>
      </x:c>
      <x:c r="K215" s="24" t="str">
        <x:v>No</x:v>
      </x:c>
      <x:c r="L215" s="24" t="n">
        <x:v>12</x:v>
      </x:c>
      <x:c r="M215" s="24" t="str">
        <x:v>Yes</x:v>
      </x:c>
      <x:c r="N215" s="24" t="str">
        <x:v>IT HOD</x:v>
      </x:c>
      <x:c r="O215" s="26" t="n">
        <x:v>46264</x:v>
      </x:c>
      <x:c r="P215" s="27" t="str">
        <x:v>Validate against current SBTG SOP/WI, machine, product and authority limits.</x:v>
      </x:c>
      <x:c r="Q215" s="29" t="n">
        <x:f>IF(OR(B215="",C215=""),"",SUMIFS($I$6:$I$285,$B$6:$B$285,B215,$C$6:$C$285,C215,$M$6:$M$285,"Yes"))</x:f>
        <x:v>1</x:v>
      </x:c>
      <x:c r="R215" s="25" t="str">
        <x:f>IF(A215="","",IF(ABS(Q215-1)&lt;0.0001,"Ready","Review Weight"))</x:f>
        <x:v>Ready</x:v>
      </x:c>
    </x:row>
    <x:row r="216">
      <x:c r="A216" s="25" t="str">
        <x:f>IF(OR(B216="",C216="",E216=""),"",B216&amp;"|"&amp;C216&amp;"|"&amp;E216)</x:f>
        <x:v>IT|Infrastructure &amp; Cybersecurity Specialist|IT-CYBER-005</x:v>
      </x:c>
      <x:c r="B216" s="24" t="str">
        <x:v>IT</x:v>
      </x:c>
      <x:c r="C216" s="24" t="str">
        <x:v>Infrastructure &amp; Cybersecurity Specialist</x:v>
      </x:c>
      <x:c r="D216" s="24" t="str">
        <x:v>Technologist/Executive</x:v>
      </x:c>
      <x:c r="E216" s="24" t="str">
        <x:v>IT-CYBER-005</x:v>
      </x:c>
      <x:c r="F216" s="25" t="str">
        <x:f>IF(E216="","",IFERROR(VLOOKUP(E216,'02 Skill Catalogue'!$A$6:$K$95,4,FALSE),"Skill ID not found"))</x:f>
        <x:v>Cybersecurity, identity and access control</x:v>
      </x:c>
      <x:c r="G216" s="25" t="str">
        <x:f>IF(E216="","",IFERROR(VLOOKUP(E216,'02 Skill Catalogue'!$A$6:$K$95,3,FALSE),""))</x:f>
        <x:v>Safety</x:v>
      </x:c>
      <x:c r="H216" s="24" t="str">
        <x:v>Critical</x:v>
      </x:c>
      <x:c r="I216" s="28" t="n">
        <x:v>0.125</x:v>
      </x:c>
      <x:c r="J216" s="24" t="n">
        <x:v>4</x:v>
      </x:c>
      <x:c r="K216" s="24" t="str">
        <x:v>No</x:v>
      </x:c>
      <x:c r="L216" s="24" t="n">
        <x:v>12</x:v>
      </x:c>
      <x:c r="M216" s="24" t="str">
        <x:v>Yes</x:v>
      </x:c>
      <x:c r="N216" s="24" t="str">
        <x:v>IT HOD</x:v>
      </x:c>
      <x:c r="O216" s="26" t="n">
        <x:v>46264</x:v>
      </x:c>
      <x:c r="P216" s="27" t="str">
        <x:v>Validate against current SBTG SOP/WI, machine, product and authority limits.</x:v>
      </x:c>
      <x:c r="Q216" s="29" t="n">
        <x:f>IF(OR(B216="",C216=""),"",SUMIFS($I$6:$I$285,$B$6:$B$285,B216,$C$6:$C$285,C216,$M$6:$M$285,"Yes"))</x:f>
        <x:v>1</x:v>
      </x:c>
      <x:c r="R216" s="25" t="str">
        <x:f>IF(A216="","",IF(ABS(Q216-1)&lt;0.0001,"Ready","Review Weight"))</x:f>
        <x:v>Ready</x:v>
      </x:c>
    </x:row>
    <x:row r="217">
      <x:c r="A217" s="25" t="str">
        <x:f>IF(OR(B217="",C217="",E217=""),"",B217&amp;"|"&amp;C217&amp;"|"&amp;E217)</x:f>
        <x:v>IT|Infrastructure &amp; Cybersecurity Specialist|IT-INFRA-006</x:v>
      </x:c>
      <x:c r="B217" s="24" t="str">
        <x:v>IT</x:v>
      </x:c>
      <x:c r="C217" s="24" t="str">
        <x:v>Infrastructure &amp; Cybersecurity Specialist</x:v>
      </x:c>
      <x:c r="D217" s="24" t="str">
        <x:v>Technologist/Executive</x:v>
      </x:c>
      <x:c r="E217" s="24" t="str">
        <x:v>IT-INFRA-006</x:v>
      </x:c>
      <x:c r="F217" s="25" t="str">
        <x:f>IF(E217="","",IFERROR(VLOOKUP(E217,'02 Skill Catalogue'!$A$6:$K$95,4,FALSE),"Skill ID not found"))</x:f>
        <x:v>Infrastructure, network, server and VPN reliability</x:v>
      </x:c>
      <x:c r="G217" s="25" t="str">
        <x:f>IF(E217="","",IFERROR(VLOOKUP(E217,'02 Skill Catalogue'!$A$6:$K$95,3,FALSE),""))</x:f>
        <x:v>Digital/Data/AI</x:v>
      </x:c>
      <x:c r="H217" s="24" t="str">
        <x:v>Critical</x:v>
      </x:c>
      <x:c r="I217" s="28" t="n">
        <x:v>0.125</x:v>
      </x:c>
      <x:c r="J217" s="24" t="n">
        <x:v>4</x:v>
      </x:c>
      <x:c r="K217" s="24" t="str">
        <x:v>No</x:v>
      </x:c>
      <x:c r="L217" s="24" t="n">
        <x:v>12</x:v>
      </x:c>
      <x:c r="M217" s="24" t="str">
        <x:v>Yes</x:v>
      </x:c>
      <x:c r="N217" s="24" t="str">
        <x:v>IT HOD</x:v>
      </x:c>
      <x:c r="O217" s="26" t="n">
        <x:v>46264</x:v>
      </x:c>
      <x:c r="P217" s="27" t="str">
        <x:v>Validate against current SBTG SOP/WI, machine, product and authority limits.</x:v>
      </x:c>
      <x:c r="Q217" s="29" t="n">
        <x:f>IF(OR(B217="",C217=""),"",SUMIFS($I$6:$I$285,$B$6:$B$285,B217,$C$6:$C$285,C217,$M$6:$M$285,"Yes"))</x:f>
        <x:v>1</x:v>
      </x:c>
      <x:c r="R217" s="25" t="str">
        <x:f>IF(A217="","",IF(ABS(Q217-1)&lt;0.0001,"Ready","Review Weight"))</x:f>
        <x:v>Ready</x:v>
      </x:c>
    </x:row>
    <x:row r="218">
      <x:c r="A218" s="25" t="str">
        <x:f>IF(OR(B218="",C218="",E218=""),"",B218&amp;"|"&amp;C218&amp;"|"&amp;E218)</x:f>
        <x:v>IT|Infrastructure &amp; Cybersecurity Specialist|IT-BCP-009</x:v>
      </x:c>
      <x:c r="B218" s="24" t="str">
        <x:v>IT</x:v>
      </x:c>
      <x:c r="C218" s="24" t="str">
        <x:v>Infrastructure &amp; Cybersecurity Specialist</x:v>
      </x:c>
      <x:c r="D218" s="24" t="str">
        <x:v>Technologist/Executive</x:v>
      </x:c>
      <x:c r="E218" s="24" t="str">
        <x:v>IT-BCP-009</x:v>
      </x:c>
      <x:c r="F218" s="25" t="str">
        <x:f>IF(E218="","",IFERROR(VLOOKUP(E218,'02 Skill Catalogue'!$A$6:$K$95,4,FALSE),"Skill ID not found"))</x:f>
        <x:v>Backup, recovery and business continuity</x:v>
      </x:c>
      <x:c r="G218" s="25" t="str">
        <x:f>IF(E218="","",IFERROR(VLOOKUP(E218,'02 Skill Catalogue'!$A$6:$K$95,3,FALSE),""))</x:f>
        <x:v>Safety</x:v>
      </x:c>
      <x:c r="H218" s="24" t="str">
        <x:v>Critical</x:v>
      </x:c>
      <x:c r="I218" s="28" t="n">
        <x:v>0.125</x:v>
      </x:c>
      <x:c r="J218" s="24" t="n">
        <x:v>4</x:v>
      </x:c>
      <x:c r="K218" s="24" t="str">
        <x:v>No</x:v>
      </x:c>
      <x:c r="L218" s="24" t="n">
        <x:v>12</x:v>
      </x:c>
      <x:c r="M218" s="24" t="str">
        <x:v>Yes</x:v>
      </x:c>
      <x:c r="N218" s="24" t="str">
        <x:v>IT HOD</x:v>
      </x:c>
      <x:c r="O218" s="26" t="n">
        <x:v>46264</x:v>
      </x:c>
      <x:c r="P218" s="27" t="str">
        <x:v>Validate against current SBTG SOP/WI, machine, product and authority limits.</x:v>
      </x:c>
      <x:c r="Q218" s="29" t="n">
        <x:f>IF(OR(B218="",C218=""),"",SUMIFS($I$6:$I$285,$B$6:$B$285,B218,$C$6:$C$285,C218,$M$6:$M$285,"Yes"))</x:f>
        <x:v>1</x:v>
      </x:c>
      <x:c r="R218" s="25" t="str">
        <x:f>IF(A218="","",IF(ABS(Q218-1)&lt;0.0001,"Ready","Review Weight"))</x:f>
        <x:v>Ready</x:v>
      </x:c>
    </x:row>
    <x:row r="219">
      <x:c r="A219" s="25" t="str">
        <x:f>IF(OR(B219="",C219="",E219=""),"",B219&amp;"|"&amp;C219&amp;"|"&amp;E219)</x:f>
        <x:v>IT|Infrastructure &amp; Cybersecurity Specialist|ENG-OT-010</x:v>
      </x:c>
      <x:c r="B219" s="24" t="str">
        <x:v>IT</x:v>
      </x:c>
      <x:c r="C219" s="24" t="str">
        <x:v>Infrastructure &amp; Cybersecurity Specialist</x:v>
      </x:c>
      <x:c r="D219" s="24" t="str">
        <x:v>Technologist/Executive</x:v>
      </x:c>
      <x:c r="E219" s="24" t="str">
        <x:v>ENG-OT-010</x:v>
      </x:c>
      <x:c r="F219" s="25" t="str">
        <x:f>IF(E219="","",IFERROR(VLOOKUP(E219,'02 Skill Catalogue'!$A$6:$K$95,4,FALSE),"Skill ID not found"))</x:f>
        <x:v>Operational-technology cybersecurity</x:v>
      </x:c>
      <x:c r="G219" s="25" t="str">
        <x:f>IF(E219="","",IFERROR(VLOOKUP(E219,'02 Skill Catalogue'!$A$6:$K$95,3,FALSE),""))</x:f>
        <x:v>Digital/Data/AI</x:v>
      </x:c>
      <x:c r="H219" s="24" t="str">
        <x:v>Critical</x:v>
      </x:c>
      <x:c r="I219" s="28" t="n">
        <x:v>0.125</x:v>
      </x:c>
      <x:c r="J219" s="24" t="n">
        <x:v>3</x:v>
      </x:c>
      <x:c r="K219" s="24" t="str">
        <x:v>No</x:v>
      </x:c>
      <x:c r="L219" s="24" t="n">
        <x:v>12</x:v>
      </x:c>
      <x:c r="M219" s="24" t="str">
        <x:v>Yes</x:v>
      </x:c>
      <x:c r="N219" s="24" t="str">
        <x:v>IT HOD</x:v>
      </x:c>
      <x:c r="O219" s="26" t="n">
        <x:v>46264</x:v>
      </x:c>
      <x:c r="P219" s="27" t="str">
        <x:v>Validate against current SBTG SOP/WI, machine, product and authority limits.</x:v>
      </x:c>
      <x:c r="Q219" s="29" t="n">
        <x:f>IF(OR(B219="",C219=""),"",SUMIFS($I$6:$I$285,$B$6:$B$285,B219,$C$6:$C$285,C219,$M$6:$M$285,"Yes"))</x:f>
        <x:v>1</x:v>
      </x:c>
      <x:c r="R219" s="25" t="str">
        <x:f>IF(A219="","",IF(ABS(Q219-1)&lt;0.0001,"Ready","Review Weight"))</x:f>
        <x:v>Ready</x:v>
      </x:c>
    </x:row>
    <x:row r="220">
      <x:c r="A220" s="25" t="str">
        <x:f>IF(OR(B220="",C220="",E220=""),"",B220&amp;"|"&amp;C220&amp;"|"&amp;E220)</x:f>
        <x:v>IT|Infrastructure &amp; Cybersecurity Specialist|IT-DEV-007</x:v>
      </x:c>
      <x:c r="B220" s="24" t="str">
        <x:v>IT</x:v>
      </x:c>
      <x:c r="C220" s="24" t="str">
        <x:v>Infrastructure &amp; Cybersecurity Specialist</x:v>
      </x:c>
      <x:c r="D220" s="24" t="str">
        <x:v>Technologist/Executive</x:v>
      </x:c>
      <x:c r="E220" s="24" t="str">
        <x:v>IT-DEV-007</x:v>
      </x:c>
      <x:c r="F220" s="25" t="str">
        <x:f>IF(E220="","",IFERROR(VLOOKUP(E220,'02 Skill Catalogue'!$A$6:$K$95,4,FALSE),"Skill ID not found"))</x:f>
        <x:v>Software delivery and change control</x:v>
      </x:c>
      <x:c r="G220" s="25" t="str">
        <x:f>IF(E220="","",IFERROR(VLOOKUP(E220,'02 Skill Catalogue'!$A$6:$K$95,3,FALSE),""))</x:f>
        <x:v>Digital/Data/AI</x:v>
      </x:c>
      <x:c r="H220" s="24" t="str">
        <x:v>Essential</x:v>
      </x:c>
      <x:c r="I220" s="28" t="n">
        <x:v>0.125</x:v>
      </x:c>
      <x:c r="J220" s="24" t="n">
        <x:v>2</x:v>
      </x:c>
      <x:c r="K220" s="24" t="str">
        <x:v>No</x:v>
      </x:c>
      <x:c r="L220" s="24" t="n">
        <x:v>12</x:v>
      </x:c>
      <x:c r="M220" s="24" t="str">
        <x:v>Yes</x:v>
      </x:c>
      <x:c r="N220" s="24" t="str">
        <x:v>IT HOD</x:v>
      </x:c>
      <x:c r="O220" s="26" t="n">
        <x:v>46264</x:v>
      </x:c>
      <x:c r="P220" s="27" t="str">
        <x:v>Validate against current SBTG SOP/WI, machine, product and authority limits.</x:v>
      </x:c>
      <x:c r="Q220" s="29" t="n">
        <x:f>IF(OR(B220="",C220=""),"",SUMIFS($I$6:$I$285,$B$6:$B$285,B220,$C$6:$C$285,C220,$M$6:$M$285,"Yes"))</x:f>
        <x:v>1</x:v>
      </x:c>
      <x:c r="R220" s="25" t="str">
        <x:f>IF(A220="","",IF(ABS(Q220-1)&lt;0.0001,"Ready","Review Weight"))</x:f>
        <x:v>Ready</x:v>
      </x:c>
    </x:row>
    <x:row r="221">
      <x:c r="A221" s="25" t="str">
        <x:f>IF(OR(B221="",C221="",E221=""),"",B221&amp;"|"&amp;C221&amp;"|"&amp;E221)</x:f>
        <x:v>IT|Infrastructure &amp; Cybersecurity Specialist|CORE-AI-001</x:v>
      </x:c>
      <x:c r="B221" s="24" t="str">
        <x:v>IT</x:v>
      </x:c>
      <x:c r="C221" s="24" t="str">
        <x:v>Infrastructure &amp; Cybersecurity Specialist</x:v>
      </x:c>
      <x:c r="D221" s="24" t="str">
        <x:v>Technologist/Executive</x:v>
      </x:c>
      <x:c r="E221" s="24" t="str">
        <x:v>CORE-AI-001</x:v>
      </x:c>
      <x:c r="F221" s="25" t="str">
        <x:f>IF(E221="","",IFERROR(VLOOKUP(E221,'02 Skill Catalogue'!$A$6:$K$95,4,FALSE),"Skill ID not found"))</x:f>
        <x:v>Approved AI use and answer verification</x:v>
      </x:c>
      <x:c r="G221" s="25" t="str">
        <x:f>IF(E221="","",IFERROR(VLOOKUP(E221,'02 Skill Catalogue'!$A$6:$K$95,3,FALSE),""))</x:f>
        <x:v>Digital/Data/AI</x:v>
      </x:c>
      <x:c r="H221" s="24" t="str">
        <x:v>Critical</x:v>
      </x:c>
      <x:c r="I221" s="28" t="n">
        <x:v>0.125</x:v>
      </x:c>
      <x:c r="J221" s="24" t="n">
        <x:v>3</x:v>
      </x:c>
      <x:c r="K221" s="24" t="str">
        <x:v>No</x:v>
      </x:c>
      <x:c r="L221" s="24" t="n">
        <x:v>12</x:v>
      </x:c>
      <x:c r="M221" s="24" t="str">
        <x:v>Yes</x:v>
      </x:c>
      <x:c r="N221" s="24" t="str">
        <x:v>IT HOD</x:v>
      </x:c>
      <x:c r="O221" s="26" t="n">
        <x:v>46264</x:v>
      </x:c>
      <x:c r="P221" s="27" t="str">
        <x:v>Validate against current SBTG SOP/WI, machine, product and authority limits.</x:v>
      </x:c>
      <x:c r="Q221" s="29" t="n">
        <x:f>IF(OR(B221="",C221=""),"",SUMIFS($I$6:$I$285,$B$6:$B$285,B221,$C$6:$C$285,C221,$M$6:$M$285,"Yes"))</x:f>
        <x:v>1</x:v>
      </x:c>
      <x:c r="R221" s="25" t="str">
        <x:f>IF(A221="","",IF(ABS(Q221-1)&lt;0.0001,"Ready","Review Weight"))</x:f>
        <x:v>Ready</x:v>
      </x:c>
    </x:row>
    <x:row r="222">
      <x:c r="A222" s="25" t="str">
        <x:f>IF(OR(B222="",C222="",E222=""),"",B222&amp;"|"&amp;C222&amp;"|"&amp;E222)</x:f>
        <x:v>IT|Data / Automation Builder|CORE-DATA-001</x:v>
      </x:c>
      <x:c r="B222" s="24" t="str">
        <x:v>IT</x:v>
      </x:c>
      <x:c r="C222" s="24" t="str">
        <x:v>Data / Automation Builder</x:v>
      </x:c>
      <x:c r="D222" s="24" t="str">
        <x:v>Technologist/Executive</x:v>
      </x:c>
      <x:c r="E222" s="24" t="str">
        <x:v>CORE-DATA-001</x:v>
      </x:c>
      <x:c r="F222" s="25" t="str">
        <x:f>IF(E222="","",IFERROR(VLOOKUP(E222,'02 Skill Catalogue'!$A$6:$K$95,4,FALSE),"Skill ID not found"))</x:f>
        <x:v>Accurate operational data recording</x:v>
      </x:c>
      <x:c r="G222" s="25" t="str">
        <x:f>IF(E222="","",IFERROR(VLOOKUP(E222,'02 Skill Catalogue'!$A$6:$K$95,3,FALSE),""))</x:f>
        <x:v>Digital/Data/AI</x:v>
      </x:c>
      <x:c r="H222" s="24" t="str">
        <x:v>Critical</x:v>
      </x:c>
      <x:c r="I222" s="28" t="n">
        <x:v>0.125</x:v>
      </x:c>
      <x:c r="J222" s="24" t="n">
        <x:v>4</x:v>
      </x:c>
      <x:c r="K222" s="24" t="str">
        <x:v>No</x:v>
      </x:c>
      <x:c r="L222" s="24" t="n">
        <x:v>12</x:v>
      </x:c>
      <x:c r="M222" s="24" t="str">
        <x:v>Yes</x:v>
      </x:c>
      <x:c r="N222" s="24" t="str">
        <x:v>IT HOD</x:v>
      </x:c>
      <x:c r="O222" s="26" t="n">
        <x:v>46264</x:v>
      </x:c>
      <x:c r="P222" s="27" t="str">
        <x:v>Validate against current SBTG SOP/WI, machine, product and authority limits.</x:v>
      </x:c>
      <x:c r="Q222" s="29" t="n">
        <x:f>IF(OR(B222="",C222=""),"",SUMIFS($I$6:$I$285,$B$6:$B$285,B222,$C$6:$C$285,C222,$M$6:$M$285,"Yes"))</x:f>
        <x:v>1</x:v>
      </x:c>
      <x:c r="R222" s="25" t="str">
        <x:f>IF(A222="","",IF(ABS(Q222-1)&lt;0.0001,"Ready","Review Weight"))</x:f>
        <x:v>Ready</x:v>
      </x:c>
    </x:row>
    <x:row r="223">
      <x:c r="A223" s="25" t="str">
        <x:f>IF(OR(B223="",C223="",E223=""),"",B223&amp;"|"&amp;C223&amp;"|"&amp;E223)</x:f>
        <x:v>IT|Data / Automation Builder|CORE-PROB-001</x:v>
      </x:c>
      <x:c r="B223" s="24" t="str">
        <x:v>IT</x:v>
      </x:c>
      <x:c r="C223" s="24" t="str">
        <x:v>Data / Automation Builder</x:v>
      </x:c>
      <x:c r="D223" s="24" t="str">
        <x:v>Technologist/Executive</x:v>
      </x:c>
      <x:c r="E223" s="24" t="str">
        <x:v>CORE-PROB-001</x:v>
      </x:c>
      <x:c r="F223" s="25" t="str">
        <x:f>IF(E223="","",IFERROR(VLOOKUP(E223,'02 Skill Catalogue'!$A$6:$K$95,4,FALSE),"Skill ID not found"))</x:f>
        <x:v>Abnormality escalation and root-cause thinking</x:v>
      </x:c>
      <x:c r="G223" s="25" t="str">
        <x:f>IF(E223="","",IFERROR(VLOOKUP(E223,'02 Skill Catalogue'!$A$6:$K$95,3,FALSE),""))</x:f>
        <x:v>Problem Solving</x:v>
      </x:c>
      <x:c r="H223" s="24" t="str">
        <x:v>Essential</x:v>
      </x:c>
      <x:c r="I223" s="28" t="n">
        <x:v>0.125</x:v>
      </x:c>
      <x:c r="J223" s="24" t="n">
        <x:v>4</x:v>
      </x:c>
      <x:c r="K223" s="24" t="str">
        <x:v>No</x:v>
      </x:c>
      <x:c r="L223" s="24" t="n">
        <x:v>12</x:v>
      </x:c>
      <x:c r="M223" s="24" t="str">
        <x:v>Yes</x:v>
      </x:c>
      <x:c r="N223" s="24" t="str">
        <x:v>IT HOD</x:v>
      </x:c>
      <x:c r="O223" s="26" t="n">
        <x:v>46264</x:v>
      </x:c>
      <x:c r="P223" s="27" t="str">
        <x:v>Validate against current SBTG SOP/WI, machine, product and authority limits.</x:v>
      </x:c>
      <x:c r="Q223" s="29" t="n">
        <x:f>IF(OR(B223="",C223=""),"",SUMIFS($I$6:$I$285,$B$6:$B$285,B223,$C$6:$C$285,C223,$M$6:$M$285,"Yes"))</x:f>
        <x:v>1</x:v>
      </x:c>
      <x:c r="R223" s="25" t="str">
        <x:f>IF(A223="","",IF(ABS(Q223-1)&lt;0.0001,"Ready","Review Weight"))</x:f>
        <x:v>Ready</x:v>
      </x:c>
    </x:row>
    <x:row r="224">
      <x:c r="A224" s="25" t="str">
        <x:f>IF(OR(B224="",C224="",E224=""),"",B224&amp;"|"&amp;C224&amp;"|"&amp;E224)</x:f>
        <x:v>IT|Data / Automation Builder|IT-DATA-003</x:v>
      </x:c>
      <x:c r="B224" s="24" t="str">
        <x:v>IT</x:v>
      </x:c>
      <x:c r="C224" s="24" t="str">
        <x:v>Data / Automation Builder</x:v>
      </x:c>
      <x:c r="D224" s="24" t="str">
        <x:v>Technologist/Executive</x:v>
      </x:c>
      <x:c r="E224" s="24" t="str">
        <x:v>IT-DATA-003</x:v>
      </x:c>
      <x:c r="F224" s="25" t="str">
        <x:f>IF(E224="","",IFERROR(VLOOKUP(E224,'02 Skill Catalogue'!$A$6:$K$95,4,FALSE),"Skill ID not found"))</x:f>
        <x:v>Data modelling, SQL and data quality</x:v>
      </x:c>
      <x:c r="G224" s="25" t="str">
        <x:f>IF(E224="","",IFERROR(VLOOKUP(E224,'02 Skill Catalogue'!$A$6:$K$95,3,FALSE),""))</x:f>
        <x:v>Digital/Data/AI</x:v>
      </x:c>
      <x:c r="H224" s="24" t="str">
        <x:v>Critical</x:v>
      </x:c>
      <x:c r="I224" s="28" t="n">
        <x:v>0.125</x:v>
      </x:c>
      <x:c r="J224" s="24" t="n">
        <x:v>4</x:v>
      </x:c>
      <x:c r="K224" s="24" t="str">
        <x:v>No</x:v>
      </x:c>
      <x:c r="L224" s="24" t="n">
        <x:v>12</x:v>
      </x:c>
      <x:c r="M224" s="24" t="str">
        <x:v>Yes</x:v>
      </x:c>
      <x:c r="N224" s="24" t="str">
        <x:v>IT HOD</x:v>
      </x:c>
      <x:c r="O224" s="26" t="n">
        <x:v>46264</x:v>
      </x:c>
      <x:c r="P224" s="27" t="str">
        <x:v>Validate against current SBTG SOP/WI, machine, product and authority limits.</x:v>
      </x:c>
      <x:c r="Q224" s="29" t="n">
        <x:f>IF(OR(B224="",C224=""),"",SUMIFS($I$6:$I$285,$B$6:$B$285,B224,$C$6:$C$285,C224,$M$6:$M$285,"Yes"))</x:f>
        <x:v>1</x:v>
      </x:c>
      <x:c r="R224" s="25" t="str">
        <x:f>IF(A224="","",IF(ABS(Q224-1)&lt;0.0001,"Ready","Review Weight"))</x:f>
        <x:v>Ready</x:v>
      </x:c>
    </x:row>
    <x:row r="225">
      <x:c r="A225" s="25" t="str">
        <x:f>IF(OR(B225="",C225="",E225=""),"",B225&amp;"|"&amp;C225&amp;"|"&amp;E225)</x:f>
        <x:v>IT|Data / Automation Builder|IT-AUTO-004</x:v>
      </x:c>
      <x:c r="B225" s="24" t="str">
        <x:v>IT</x:v>
      </x:c>
      <x:c r="C225" s="24" t="str">
        <x:v>Data / Automation Builder</x:v>
      </x:c>
      <x:c r="D225" s="24" t="str">
        <x:v>Technologist/Executive</x:v>
      </x:c>
      <x:c r="E225" s="24" t="str">
        <x:v>IT-AUTO-004</x:v>
      </x:c>
      <x:c r="F225" s="25" t="str">
        <x:f>IF(E225="","",IFERROR(VLOOKUP(E225,'02 Skill Catalogue'!$A$6:$K$95,4,FALSE),"Skill ID not found"))</x:f>
        <x:v>Workflow automation and RPA</x:v>
      </x:c>
      <x:c r="G225" s="25" t="str">
        <x:f>IF(E225="","",IFERROR(VLOOKUP(E225,'02 Skill Catalogue'!$A$6:$K$95,3,FALSE),""))</x:f>
        <x:v>Digital/Data/AI</x:v>
      </x:c>
      <x:c r="H225" s="24" t="str">
        <x:v>Essential</x:v>
      </x:c>
      <x:c r="I225" s="28" t="n">
        <x:v>0.125</x:v>
      </x:c>
      <x:c r="J225" s="24" t="n">
        <x:v>4</x:v>
      </x:c>
      <x:c r="K225" s="24" t="str">
        <x:v>No</x:v>
      </x:c>
      <x:c r="L225" s="24" t="n">
        <x:v>12</x:v>
      </x:c>
      <x:c r="M225" s="24" t="str">
        <x:v>Yes</x:v>
      </x:c>
      <x:c r="N225" s="24" t="str">
        <x:v>IT HOD</x:v>
      </x:c>
      <x:c r="O225" s="26" t="n">
        <x:v>46264</x:v>
      </x:c>
      <x:c r="P225" s="27" t="str">
        <x:v>Validate against current SBTG SOP/WI, machine, product and authority limits.</x:v>
      </x:c>
      <x:c r="Q225" s="29" t="n">
        <x:f>IF(OR(B225="",C225=""),"",SUMIFS($I$6:$I$285,$B$6:$B$285,B225,$C$6:$C$285,C225,$M$6:$M$285,"Yes"))</x:f>
        <x:v>1</x:v>
      </x:c>
      <x:c r="R225" s="25" t="str">
        <x:f>IF(A225="","",IF(ABS(Q225-1)&lt;0.0001,"Ready","Review Weight"))</x:f>
        <x:v>Ready</x:v>
      </x:c>
    </x:row>
    <x:row r="226">
      <x:c r="A226" s="25" t="str">
        <x:f>IF(OR(B226="",C226="",E226=""),"",B226&amp;"|"&amp;C226&amp;"|"&amp;E226)</x:f>
        <x:v>IT|Data / Automation Builder|IT-DEV-007</x:v>
      </x:c>
      <x:c r="B226" s="24" t="str">
        <x:v>IT</x:v>
      </x:c>
      <x:c r="C226" s="24" t="str">
        <x:v>Data / Automation Builder</x:v>
      </x:c>
      <x:c r="D226" s="24" t="str">
        <x:v>Technologist/Executive</x:v>
      </x:c>
      <x:c r="E226" s="24" t="str">
        <x:v>IT-DEV-007</x:v>
      </x:c>
      <x:c r="F226" s="25" t="str">
        <x:f>IF(E226="","",IFERROR(VLOOKUP(E226,'02 Skill Catalogue'!$A$6:$K$95,4,FALSE),"Skill ID not found"))</x:f>
        <x:v>Software delivery and change control</x:v>
      </x:c>
      <x:c r="G226" s="25" t="str">
        <x:f>IF(E226="","",IFERROR(VLOOKUP(E226,'02 Skill Catalogue'!$A$6:$K$95,3,FALSE),""))</x:f>
        <x:v>Digital/Data/AI</x:v>
      </x:c>
      <x:c r="H226" s="24" t="str">
        <x:v>Critical</x:v>
      </x:c>
      <x:c r="I226" s="28" t="n">
        <x:v>0.125</x:v>
      </x:c>
      <x:c r="J226" s="24" t="n">
        <x:v>4</x:v>
      </x:c>
      <x:c r="K226" s="24" t="str">
        <x:v>No</x:v>
      </x:c>
      <x:c r="L226" s="24" t="n">
        <x:v>12</x:v>
      </x:c>
      <x:c r="M226" s="24" t="str">
        <x:v>Yes</x:v>
      </x:c>
      <x:c r="N226" s="24" t="str">
        <x:v>IT HOD</x:v>
      </x:c>
      <x:c r="O226" s="26" t="n">
        <x:v>46264</x:v>
      </x:c>
      <x:c r="P226" s="27" t="str">
        <x:v>Validate against current SBTG SOP/WI, machine, product and authority limits.</x:v>
      </x:c>
      <x:c r="Q226" s="29" t="n">
        <x:f>IF(OR(B226="",C226=""),"",SUMIFS($I$6:$I$285,$B$6:$B$285,B226,$C$6:$C$285,C226,$M$6:$M$285,"Yes"))</x:f>
        <x:v>1</x:v>
      </x:c>
      <x:c r="R226" s="25" t="str">
        <x:f>IF(A226="","",IF(ABS(Q226-1)&lt;0.0001,"Ready","Review Weight"))</x:f>
        <x:v>Ready</x:v>
      </x:c>
    </x:row>
    <x:row r="227">
      <x:c r="A227" s="25" t="str">
        <x:f>IF(OR(B227="",C227="",E227=""),"",B227&amp;"|"&amp;C227&amp;"|"&amp;E227)</x:f>
        <x:v>IT|Data / Automation Builder|IT-AI-008</x:v>
      </x:c>
      <x:c r="B227" s="24" t="str">
        <x:v>IT</x:v>
      </x:c>
      <x:c r="C227" s="24" t="str">
        <x:v>Data / Automation Builder</x:v>
      </x:c>
      <x:c r="D227" s="24" t="str">
        <x:v>Technologist/Executive</x:v>
      </x:c>
      <x:c r="E227" s="24" t="str">
        <x:v>IT-AI-008</x:v>
      </x:c>
      <x:c r="F227" s="25" t="str">
        <x:f>IF(E227="","",IFERROR(VLOOKUP(E227,'02 Skill Catalogue'!$A$6:$K$95,4,FALSE),"Skill ID not found"))</x:f>
        <x:v>AI solution and governance</x:v>
      </x:c>
      <x:c r="G227" s="25" t="str">
        <x:f>IF(E227="","",IFERROR(VLOOKUP(E227,'02 Skill Catalogue'!$A$6:$K$95,3,FALSE),""))</x:f>
        <x:v>Digital/Data/AI</x:v>
      </x:c>
      <x:c r="H227" s="24" t="str">
        <x:v>Critical</x:v>
      </x:c>
      <x:c r="I227" s="28" t="n">
        <x:v>0.125</x:v>
      </x:c>
      <x:c r="J227" s="24" t="n">
        <x:v>3</x:v>
      </x:c>
      <x:c r="K227" s="24" t="str">
        <x:v>No</x:v>
      </x:c>
      <x:c r="L227" s="24" t="n">
        <x:v>12</x:v>
      </x:c>
      <x:c r="M227" s="24" t="str">
        <x:v>Yes</x:v>
      </x:c>
      <x:c r="N227" s="24" t="str">
        <x:v>IT HOD</x:v>
      </x:c>
      <x:c r="O227" s="26" t="n">
        <x:v>46264</x:v>
      </x:c>
      <x:c r="P227" s="27" t="str">
        <x:v>Validate against current SBTG SOP/WI, machine, product and authority limits.</x:v>
      </x:c>
      <x:c r="Q227" s="29" t="n">
        <x:f>IF(OR(B227="",C227=""),"",SUMIFS($I$6:$I$285,$B$6:$B$285,B227,$C$6:$C$285,C227,$M$6:$M$285,"Yes"))</x:f>
        <x:v>1</x:v>
      </x:c>
      <x:c r="R227" s="25" t="str">
        <x:f>IF(A227="","",IF(ABS(Q227-1)&lt;0.0001,"Ready","Review Weight"))</x:f>
        <x:v>Ready</x:v>
      </x:c>
    </x:row>
    <x:row r="228">
      <x:c r="A228" s="25" t="str">
        <x:f>IF(OR(B228="",C228="",E228=""),"",B228&amp;"|"&amp;C228&amp;"|"&amp;E228)</x:f>
        <x:v>IT|Data / Automation Builder|IT-MES-002</x:v>
      </x:c>
      <x:c r="B228" s="24" t="str">
        <x:v>IT</x:v>
      </x:c>
      <x:c r="C228" s="24" t="str">
        <x:v>Data / Automation Builder</x:v>
      </x:c>
      <x:c r="D228" s="24" t="str">
        <x:v>Technologist/Executive</x:v>
      </x:c>
      <x:c r="E228" s="24" t="str">
        <x:v>IT-MES-002</x:v>
      </x:c>
      <x:c r="F228" s="25" t="str">
        <x:f>IF(E228="","",IFERROR(VLOOKUP(E228,'02 Skill Catalogue'!$A$6:$K$95,4,FALSE),"Skill ID not found"))</x:f>
        <x:v>MES and shop-floor integration</x:v>
      </x:c>
      <x:c r="G228" s="25" t="str">
        <x:f>IF(E228="","",IFERROR(VLOOKUP(E228,'02 Skill Catalogue'!$A$6:$K$95,3,FALSE),""))</x:f>
        <x:v>Digital/Data/AI</x:v>
      </x:c>
      <x:c r="H228" s="24" t="str">
        <x:v>Critical</x:v>
      </x:c>
      <x:c r="I228" s="28" t="n">
        <x:v>0.125</x:v>
      </x:c>
      <x:c r="J228" s="24" t="n">
        <x:v>3</x:v>
      </x:c>
      <x:c r="K228" s="24" t="str">
        <x:v>No</x:v>
      </x:c>
      <x:c r="L228" s="24" t="n">
        <x:v>12</x:v>
      </x:c>
      <x:c r="M228" s="24" t="str">
        <x:v>Yes</x:v>
      </x:c>
      <x:c r="N228" s="24" t="str">
        <x:v>IT HOD</x:v>
      </x:c>
      <x:c r="O228" s="26" t="n">
        <x:v>46264</x:v>
      </x:c>
      <x:c r="P228" s="27" t="str">
        <x:v>Validate against current SBTG SOP/WI, machine, product and authority limits.</x:v>
      </x:c>
      <x:c r="Q228" s="29" t="n">
        <x:f>IF(OR(B228="",C228=""),"",SUMIFS($I$6:$I$285,$B$6:$B$285,B228,$C$6:$C$285,C228,$M$6:$M$285,"Yes"))</x:f>
        <x:v>1</x:v>
      </x:c>
      <x:c r="R228" s="25" t="str">
        <x:f>IF(A228="","",IF(ABS(Q228-1)&lt;0.0001,"Ready","Review Weight"))</x:f>
        <x:v>Ready</x:v>
      </x:c>
    </x:row>
    <x:row r="229">
      <x:c r="A229" s="25" t="str">
        <x:f>IF(OR(B229="",C229="",E229=""),"",B229&amp;"|"&amp;C229&amp;"|"&amp;E229)</x:f>
        <x:v>IT|Data / Automation Builder|IT-OWNER-010</x:v>
      </x:c>
      <x:c r="B229" s="24" t="str">
        <x:v>IT</x:v>
      </x:c>
      <x:c r="C229" s="24" t="str">
        <x:v>Data / Automation Builder</x:v>
      </x:c>
      <x:c r="D229" s="24" t="str">
        <x:v>Technologist/Executive</x:v>
      </x:c>
      <x:c r="E229" s="24" t="str">
        <x:v>IT-OWNER-010</x:v>
      </x:c>
      <x:c r="F229" s="25" t="str">
        <x:f>IF(E229="","",IFERROR(VLOOKUP(E229,'02 Skill Catalogue'!$A$6:$K$95,4,FALSE),"Skill ID not found"))</x:f>
        <x:v>Business-system product ownership</x:v>
      </x:c>
      <x:c r="G229" s="25" t="str">
        <x:f>IF(E229="","",IFERROR(VLOOKUP(E229,'02 Skill Catalogue'!$A$6:$K$95,3,FALSE),""))</x:f>
        <x:v>Leadership</x:v>
      </x:c>
      <x:c r="H229" s="24" t="str">
        <x:v>Essential</x:v>
      </x:c>
      <x:c r="I229" s="28" t="n">
        <x:v>0.125</x:v>
      </x:c>
      <x:c r="J229" s="24" t="n">
        <x:v>3</x:v>
      </x:c>
      <x:c r="K229" s="24" t="str">
        <x:v>No</x:v>
      </x:c>
      <x:c r="L229" s="24" t="n">
        <x:v>12</x:v>
      </x:c>
      <x:c r="M229" s="24" t="str">
        <x:v>Yes</x:v>
      </x:c>
      <x:c r="N229" s="24" t="str">
        <x:v>IT HOD</x:v>
      </x:c>
      <x:c r="O229" s="26" t="n">
        <x:v>46264</x:v>
      </x:c>
      <x:c r="P229" s="27" t="str">
        <x:v>Validate against current SBTG SOP/WI, machine, product and authority limits.</x:v>
      </x:c>
      <x:c r="Q229" s="29" t="n">
        <x:f>IF(OR(B229="",C229=""),"",SUMIFS($I$6:$I$285,$B$6:$B$285,B229,$C$6:$C$285,C229,$M$6:$M$285,"Yes"))</x:f>
        <x:v>1</x:v>
      </x:c>
      <x:c r="R229" s="25" t="str">
        <x:f>IF(A229="","",IF(ABS(Q229-1)&lt;0.0001,"Ready","Review Weight"))</x:f>
        <x:v>Ready</x:v>
      </x:c>
    </x:row>
    <x:row r="230">
      <x:c r="A230" s="25" t="str">
        <x:f>IF(OR(B230="",C230="",E230=""),"",B230&amp;"|"&amp;C230&amp;"|"&amp;E230)</x:f>
        <x:v>IT|IT Support Executive|CORE-DATA-001</x:v>
      </x:c>
      <x:c r="B230" s="24" t="str">
        <x:v>IT</x:v>
      </x:c>
      <x:c r="C230" s="24" t="str">
        <x:v>IT Support Executive</x:v>
      </x:c>
      <x:c r="D230" s="24" t="str">
        <x:v>Technologist/Executive</x:v>
      </x:c>
      <x:c r="E230" s="24" t="str">
        <x:v>CORE-DATA-001</x:v>
      </x:c>
      <x:c r="F230" s="25" t="str">
        <x:f>IF(E230="","",IFERROR(VLOOKUP(E230,'02 Skill Catalogue'!$A$6:$K$95,4,FALSE),"Skill ID not found"))</x:f>
        <x:v>Accurate operational data recording</x:v>
      </x:c>
      <x:c r="G230" s="25" t="str">
        <x:f>IF(E230="","",IFERROR(VLOOKUP(E230,'02 Skill Catalogue'!$A$6:$K$95,3,FALSE),""))</x:f>
        <x:v>Digital/Data/AI</x:v>
      </x:c>
      <x:c r="H230" s="24" t="str">
        <x:v>Critical</x:v>
      </x:c>
      <x:c r="I230" s="28" t="n">
        <x:v>0.125</x:v>
      </x:c>
      <x:c r="J230" s="24" t="n">
        <x:v>3</x:v>
      </x:c>
      <x:c r="K230" s="24" t="str">
        <x:v>No</x:v>
      </x:c>
      <x:c r="L230" s="24" t="n">
        <x:v>12</x:v>
      </x:c>
      <x:c r="M230" s="24" t="str">
        <x:v>Yes</x:v>
      </x:c>
      <x:c r="N230" s="24" t="str">
        <x:v>IT HOD</x:v>
      </x:c>
      <x:c r="O230" s="26" t="n">
        <x:v>46264</x:v>
      </x:c>
      <x:c r="P230" s="27" t="str">
        <x:v>Validate against current SBTG SOP/WI, machine, product and authority limits.</x:v>
      </x:c>
      <x:c r="Q230" s="29" t="n">
        <x:f>IF(OR(B230="",C230=""),"",SUMIFS($I$6:$I$285,$B$6:$B$285,B230,$C$6:$C$285,C230,$M$6:$M$285,"Yes"))</x:f>
        <x:v>1</x:v>
      </x:c>
      <x:c r="R230" s="25" t="str">
        <x:f>IF(A230="","",IF(ABS(Q230-1)&lt;0.0001,"Ready","Review Weight"))</x:f>
        <x:v>Ready</x:v>
      </x:c>
    </x:row>
    <x:row r="231">
      <x:c r="A231" s="25" t="str">
        <x:f>IF(OR(B231="",C231="",E231=""),"",B231&amp;"|"&amp;C231&amp;"|"&amp;E231)</x:f>
        <x:v>IT|IT Support Executive|CORE-PROB-001</x:v>
      </x:c>
      <x:c r="B231" s="24" t="str">
        <x:v>IT</x:v>
      </x:c>
      <x:c r="C231" s="24" t="str">
        <x:v>IT Support Executive</x:v>
      </x:c>
      <x:c r="D231" s="24" t="str">
        <x:v>Technologist/Executive</x:v>
      </x:c>
      <x:c r="E231" s="24" t="str">
        <x:v>CORE-PROB-001</x:v>
      </x:c>
      <x:c r="F231" s="25" t="str">
        <x:f>IF(E231="","",IFERROR(VLOOKUP(E231,'02 Skill Catalogue'!$A$6:$K$95,4,FALSE),"Skill ID not found"))</x:f>
        <x:v>Abnormality escalation and root-cause thinking</x:v>
      </x:c>
      <x:c r="G231" s="25" t="str">
        <x:f>IF(E231="","",IFERROR(VLOOKUP(E231,'02 Skill Catalogue'!$A$6:$K$95,3,FALSE),""))</x:f>
        <x:v>Problem Solving</x:v>
      </x:c>
      <x:c r="H231" s="24" t="str">
        <x:v>Essential</x:v>
      </x:c>
      <x:c r="I231" s="28" t="n">
        <x:v>0.125</x:v>
      </x:c>
      <x:c r="J231" s="24" t="n">
        <x:v>3</x:v>
      </x:c>
      <x:c r="K231" s="24" t="str">
        <x:v>No</x:v>
      </x:c>
      <x:c r="L231" s="24" t="n">
        <x:v>12</x:v>
      </x:c>
      <x:c r="M231" s="24" t="str">
        <x:v>Yes</x:v>
      </x:c>
      <x:c r="N231" s="24" t="str">
        <x:v>IT HOD</x:v>
      </x:c>
      <x:c r="O231" s="26" t="n">
        <x:v>46264</x:v>
      </x:c>
      <x:c r="P231" s="27" t="str">
        <x:v>Validate against current SBTG SOP/WI, machine, product and authority limits.</x:v>
      </x:c>
      <x:c r="Q231" s="29" t="n">
        <x:f>IF(OR(B231="",C231=""),"",SUMIFS($I$6:$I$285,$B$6:$B$285,B231,$C$6:$C$285,C231,$M$6:$M$285,"Yes"))</x:f>
        <x:v>1</x:v>
      </x:c>
      <x:c r="R231" s="25" t="str">
        <x:f>IF(A231="","",IF(ABS(Q231-1)&lt;0.0001,"Ready","Review Weight"))</x:f>
        <x:v>Ready</x:v>
      </x:c>
    </x:row>
    <x:row r="232">
      <x:c r="A232" s="25" t="str">
        <x:f>IF(OR(B232="",C232="",E232=""),"",B232&amp;"|"&amp;C232&amp;"|"&amp;E232)</x:f>
        <x:v>IT|IT Support Executive|IT-ERP-001</x:v>
      </x:c>
      <x:c r="B232" s="24" t="str">
        <x:v>IT</x:v>
      </x:c>
      <x:c r="C232" s="24" t="str">
        <x:v>IT Support Executive</x:v>
      </x:c>
      <x:c r="D232" s="24" t="str">
        <x:v>Technologist/Executive</x:v>
      </x:c>
      <x:c r="E232" s="24" t="str">
        <x:v>IT-ERP-001</x:v>
      </x:c>
      <x:c r="F232" s="25" t="str">
        <x:f>IF(E232="","",IFERROR(VLOOKUP(E232,'02 Skill Catalogue'!$A$6:$K$95,4,FALSE),"Skill ID not found"))</x:f>
        <x:v>AX/ERP business-process support</x:v>
      </x:c>
      <x:c r="G232" s="25" t="str">
        <x:f>IF(E232="","",IFERROR(VLOOKUP(E232,'02 Skill Catalogue'!$A$6:$K$95,3,FALSE),""))</x:f>
        <x:v>Digital/Data/AI</x:v>
      </x:c>
      <x:c r="H232" s="24" t="str">
        <x:v>Critical</x:v>
      </x:c>
      <x:c r="I232" s="28" t="n">
        <x:v>0.125</x:v>
      </x:c>
      <x:c r="J232" s="24" t="n">
        <x:v>3</x:v>
      </x:c>
      <x:c r="K232" s="24" t="str">
        <x:v>No</x:v>
      </x:c>
      <x:c r="L232" s="24" t="n">
        <x:v>12</x:v>
      </x:c>
      <x:c r="M232" s="24" t="str">
        <x:v>Yes</x:v>
      </x:c>
      <x:c r="N232" s="24" t="str">
        <x:v>IT HOD</x:v>
      </x:c>
      <x:c r="O232" s="26" t="n">
        <x:v>46264</x:v>
      </x:c>
      <x:c r="P232" s="27" t="str">
        <x:v>Validate against current SBTG SOP/WI, machine, product and authority limits.</x:v>
      </x:c>
      <x:c r="Q232" s="29" t="n">
        <x:f>IF(OR(B232="",C232=""),"",SUMIFS($I$6:$I$285,$B$6:$B$285,B232,$C$6:$C$285,C232,$M$6:$M$285,"Yes"))</x:f>
        <x:v>1</x:v>
      </x:c>
      <x:c r="R232" s="25" t="str">
        <x:f>IF(A232="","",IF(ABS(Q232-1)&lt;0.0001,"Ready","Review Weight"))</x:f>
        <x:v>Ready</x:v>
      </x:c>
    </x:row>
    <x:row r="233">
      <x:c r="A233" s="25" t="str">
        <x:f>IF(OR(B233="",C233="",E233=""),"",B233&amp;"|"&amp;C233&amp;"|"&amp;E233)</x:f>
        <x:v>IT|IT Support Executive|IT-CYBER-005</x:v>
      </x:c>
      <x:c r="B233" s="24" t="str">
        <x:v>IT</x:v>
      </x:c>
      <x:c r="C233" s="24" t="str">
        <x:v>IT Support Executive</x:v>
      </x:c>
      <x:c r="D233" s="24" t="str">
        <x:v>Technologist/Executive</x:v>
      </x:c>
      <x:c r="E233" s="24" t="str">
        <x:v>IT-CYBER-005</x:v>
      </x:c>
      <x:c r="F233" s="25" t="str">
        <x:f>IF(E233="","",IFERROR(VLOOKUP(E233,'02 Skill Catalogue'!$A$6:$K$95,4,FALSE),"Skill ID not found"))</x:f>
        <x:v>Cybersecurity, identity and access control</x:v>
      </x:c>
      <x:c r="G233" s="25" t="str">
        <x:f>IF(E233="","",IFERROR(VLOOKUP(E233,'02 Skill Catalogue'!$A$6:$K$95,3,FALSE),""))</x:f>
        <x:v>Safety</x:v>
      </x:c>
      <x:c r="H233" s="24" t="str">
        <x:v>Critical</x:v>
      </x:c>
      <x:c r="I233" s="28" t="n">
        <x:v>0.125</x:v>
      </x:c>
      <x:c r="J233" s="24" t="n">
        <x:v>3</x:v>
      </x:c>
      <x:c r="K233" s="24" t="str">
        <x:v>No</x:v>
      </x:c>
      <x:c r="L233" s="24" t="n">
        <x:v>12</x:v>
      </x:c>
      <x:c r="M233" s="24" t="str">
        <x:v>Yes</x:v>
      </x:c>
      <x:c r="N233" s="24" t="str">
        <x:v>IT HOD</x:v>
      </x:c>
      <x:c r="O233" s="26" t="n">
        <x:v>46264</x:v>
      </x:c>
      <x:c r="P233" s="27" t="str">
        <x:v>Validate against current SBTG SOP/WI, machine, product and authority limits.</x:v>
      </x:c>
      <x:c r="Q233" s="29" t="n">
        <x:f>IF(OR(B233="",C233=""),"",SUMIFS($I$6:$I$285,$B$6:$B$285,B233,$C$6:$C$285,C233,$M$6:$M$285,"Yes"))</x:f>
        <x:v>1</x:v>
      </x:c>
      <x:c r="R233" s="25" t="str">
        <x:f>IF(A233="","",IF(ABS(Q233-1)&lt;0.0001,"Ready","Review Weight"))</x:f>
        <x:v>Ready</x:v>
      </x:c>
    </x:row>
    <x:row r="234">
      <x:c r="A234" s="25" t="str">
        <x:f>IF(OR(B234="",C234="",E234=""),"",B234&amp;"|"&amp;C234&amp;"|"&amp;E234)</x:f>
        <x:v>IT|IT Support Executive|IT-INFRA-006</x:v>
      </x:c>
      <x:c r="B234" s="24" t="str">
        <x:v>IT</x:v>
      </x:c>
      <x:c r="C234" s="24" t="str">
        <x:v>IT Support Executive</x:v>
      </x:c>
      <x:c r="D234" s="24" t="str">
        <x:v>Technologist/Executive</x:v>
      </x:c>
      <x:c r="E234" s="24" t="str">
        <x:v>IT-INFRA-006</x:v>
      </x:c>
      <x:c r="F234" s="25" t="str">
        <x:f>IF(E234="","",IFERROR(VLOOKUP(E234,'02 Skill Catalogue'!$A$6:$K$95,4,FALSE),"Skill ID not found"))</x:f>
        <x:v>Infrastructure, network, server and VPN reliability</x:v>
      </x:c>
      <x:c r="G234" s="25" t="str">
        <x:f>IF(E234="","",IFERROR(VLOOKUP(E234,'02 Skill Catalogue'!$A$6:$K$95,3,FALSE),""))</x:f>
        <x:v>Digital/Data/AI</x:v>
      </x:c>
      <x:c r="H234" s="24" t="str">
        <x:v>Critical</x:v>
      </x:c>
      <x:c r="I234" s="28" t="n">
        <x:v>0.125</x:v>
      </x:c>
      <x:c r="J234" s="24" t="n">
        <x:v>3</x:v>
      </x:c>
      <x:c r="K234" s="24" t="str">
        <x:v>No</x:v>
      </x:c>
      <x:c r="L234" s="24" t="n">
        <x:v>12</x:v>
      </x:c>
      <x:c r="M234" s="24" t="str">
        <x:v>Yes</x:v>
      </x:c>
      <x:c r="N234" s="24" t="str">
        <x:v>IT HOD</x:v>
      </x:c>
      <x:c r="O234" s="26" t="n">
        <x:v>46264</x:v>
      </x:c>
      <x:c r="P234" s="27" t="str">
        <x:v>Validate against current SBTG SOP/WI, machine, product and authority limits.</x:v>
      </x:c>
      <x:c r="Q234" s="29" t="n">
        <x:f>IF(OR(B234="",C234=""),"",SUMIFS($I$6:$I$285,$B$6:$B$285,B234,$C$6:$C$285,C234,$M$6:$M$285,"Yes"))</x:f>
        <x:v>1</x:v>
      </x:c>
      <x:c r="R234" s="25" t="str">
        <x:f>IF(A234="","",IF(ABS(Q234-1)&lt;0.0001,"Ready","Review Weight"))</x:f>
        <x:v>Ready</x:v>
      </x:c>
    </x:row>
    <x:row r="235">
      <x:c r="A235" s="25" t="str">
        <x:f>IF(OR(B235="",C235="",E235=""),"",B235&amp;"|"&amp;C235&amp;"|"&amp;E235)</x:f>
        <x:v>IT|IT Support Executive|IT-BCP-009</x:v>
      </x:c>
      <x:c r="B235" s="24" t="str">
        <x:v>IT</x:v>
      </x:c>
      <x:c r="C235" s="24" t="str">
        <x:v>IT Support Executive</x:v>
      </x:c>
      <x:c r="D235" s="24" t="str">
        <x:v>Technologist/Executive</x:v>
      </x:c>
      <x:c r="E235" s="24" t="str">
        <x:v>IT-BCP-009</x:v>
      </x:c>
      <x:c r="F235" s="25" t="str">
        <x:f>IF(E235="","",IFERROR(VLOOKUP(E235,'02 Skill Catalogue'!$A$6:$K$95,4,FALSE),"Skill ID not found"))</x:f>
        <x:v>Backup, recovery and business continuity</x:v>
      </x:c>
      <x:c r="G235" s="25" t="str">
        <x:f>IF(E235="","",IFERROR(VLOOKUP(E235,'02 Skill Catalogue'!$A$6:$K$95,3,FALSE),""))</x:f>
        <x:v>Safety</x:v>
      </x:c>
      <x:c r="H235" s="24" t="str">
        <x:v>Critical</x:v>
      </x:c>
      <x:c r="I235" s="28" t="n">
        <x:v>0.125</x:v>
      </x:c>
      <x:c r="J235" s="24" t="n">
        <x:v>2</x:v>
      </x:c>
      <x:c r="K235" s="24" t="str">
        <x:v>No</x:v>
      </x:c>
      <x:c r="L235" s="24" t="n">
        <x:v>12</x:v>
      </x:c>
      <x:c r="M235" s="24" t="str">
        <x:v>Yes</x:v>
      </x:c>
      <x:c r="N235" s="24" t="str">
        <x:v>IT HOD</x:v>
      </x:c>
      <x:c r="O235" s="26" t="n">
        <x:v>46264</x:v>
      </x:c>
      <x:c r="P235" s="27" t="str">
        <x:v>Validate against current SBTG SOP/WI, machine, product and authority limits.</x:v>
      </x:c>
      <x:c r="Q235" s="29" t="n">
        <x:f>IF(OR(B235="",C235=""),"",SUMIFS($I$6:$I$285,$B$6:$B$285,B235,$C$6:$C$285,C235,$M$6:$M$285,"Yes"))</x:f>
        <x:v>1</x:v>
      </x:c>
      <x:c r="R235" s="25" t="str">
        <x:f>IF(A235="","",IF(ABS(Q235-1)&lt;0.0001,"Ready","Review Weight"))</x:f>
        <x:v>Ready</x:v>
      </x:c>
    </x:row>
    <x:row r="236">
      <x:c r="A236" s="25" t="str">
        <x:f>IF(OR(B236="",C236="",E236=""),"",B236&amp;"|"&amp;C236&amp;"|"&amp;E236)</x:f>
        <x:v>IT|IT Support Executive|IT-DEV-007</x:v>
      </x:c>
      <x:c r="B236" s="24" t="str">
        <x:v>IT</x:v>
      </x:c>
      <x:c r="C236" s="24" t="str">
        <x:v>IT Support Executive</x:v>
      </x:c>
      <x:c r="D236" s="24" t="str">
        <x:v>Technologist/Executive</x:v>
      </x:c>
      <x:c r="E236" s="24" t="str">
        <x:v>IT-DEV-007</x:v>
      </x:c>
      <x:c r="F236" s="25" t="str">
        <x:f>IF(E236="","",IFERROR(VLOOKUP(E236,'02 Skill Catalogue'!$A$6:$K$95,4,FALSE),"Skill ID not found"))</x:f>
        <x:v>Software delivery and change control</x:v>
      </x:c>
      <x:c r="G236" s="25" t="str">
        <x:f>IF(E236="","",IFERROR(VLOOKUP(E236,'02 Skill Catalogue'!$A$6:$K$95,3,FALSE),""))</x:f>
        <x:v>Digital/Data/AI</x:v>
      </x:c>
      <x:c r="H236" s="24" t="str">
        <x:v>Essential</x:v>
      </x:c>
      <x:c r="I236" s="28" t="n">
        <x:v>0.125</x:v>
      </x:c>
      <x:c r="J236" s="24" t="n">
        <x:v>2</x:v>
      </x:c>
      <x:c r="K236" s="24" t="str">
        <x:v>No</x:v>
      </x:c>
      <x:c r="L236" s="24" t="n">
        <x:v>12</x:v>
      </x:c>
      <x:c r="M236" s="24" t="str">
        <x:v>Yes</x:v>
      </x:c>
      <x:c r="N236" s="24" t="str">
        <x:v>IT HOD</x:v>
      </x:c>
      <x:c r="O236" s="26" t="n">
        <x:v>46264</x:v>
      </x:c>
      <x:c r="P236" s="27" t="str">
        <x:v>Validate against current SBTG SOP/WI, machine, product and authority limits.</x:v>
      </x:c>
      <x:c r="Q236" s="29" t="n">
        <x:f>IF(OR(B236="",C236=""),"",SUMIFS($I$6:$I$285,$B$6:$B$285,B236,$C$6:$C$285,C236,$M$6:$M$285,"Yes"))</x:f>
        <x:v>1</x:v>
      </x:c>
      <x:c r="R236" s="25" t="str">
        <x:f>IF(A236="","",IF(ABS(Q236-1)&lt;0.0001,"Ready","Review Weight"))</x:f>
        <x:v>Ready</x:v>
      </x:c>
    </x:row>
    <x:row r="237">
      <x:c r="A237" s="25" t="str">
        <x:f>IF(OR(B237="",C237="",E237=""),"",B237&amp;"|"&amp;C237&amp;"|"&amp;E237)</x:f>
        <x:v>IT|IT Support Executive|CORE-AI-001</x:v>
      </x:c>
      <x:c r="B237" s="24" t="str">
        <x:v>IT</x:v>
      </x:c>
      <x:c r="C237" s="24" t="str">
        <x:v>IT Support Executive</x:v>
      </x:c>
      <x:c r="D237" s="24" t="str">
        <x:v>Technologist/Executive</x:v>
      </x:c>
      <x:c r="E237" s="24" t="str">
        <x:v>CORE-AI-001</x:v>
      </x:c>
      <x:c r="F237" s="25" t="str">
        <x:f>IF(E237="","",IFERROR(VLOOKUP(E237,'02 Skill Catalogue'!$A$6:$K$95,4,FALSE),"Skill ID not found"))</x:f>
        <x:v>Approved AI use and answer verification</x:v>
      </x:c>
      <x:c r="G237" s="25" t="str">
        <x:f>IF(E237="","",IFERROR(VLOOKUP(E237,'02 Skill Catalogue'!$A$6:$K$95,3,FALSE),""))</x:f>
        <x:v>Digital/Data/AI</x:v>
      </x:c>
      <x:c r="H237" s="24" t="str">
        <x:v>Critical</x:v>
      </x:c>
      <x:c r="I237" s="28" t="n">
        <x:v>0.125</x:v>
      </x:c>
      <x:c r="J237" s="24" t="n">
        <x:v>3</x:v>
      </x:c>
      <x:c r="K237" s="24" t="str">
        <x:v>No</x:v>
      </x:c>
      <x:c r="L237" s="24" t="n">
        <x:v>12</x:v>
      </x:c>
      <x:c r="M237" s="24" t="str">
        <x:v>Yes</x:v>
      </x:c>
      <x:c r="N237" s="24" t="str">
        <x:v>IT HOD</x:v>
      </x:c>
      <x:c r="O237" s="26" t="n">
        <x:v>46264</x:v>
      </x:c>
      <x:c r="P237" s="27" t="str">
        <x:v>Validate against current SBTG SOP/WI, machine, product and authority limits.</x:v>
      </x:c>
      <x:c r="Q237" s="29" t="n">
        <x:f>IF(OR(B237="",C237=""),"",SUMIFS($I$6:$I$285,$B$6:$B$285,B237,$C$6:$C$285,C237,$M$6:$M$285,"Yes"))</x:f>
        <x:v>1</x:v>
      </x:c>
      <x:c r="R237" s="25" t="str">
        <x:f>IF(A237="","",IF(ABS(Q237-1)&lt;0.0001,"Ready","Review Weight"))</x:f>
        <x:v>Ready</x:v>
      </x:c>
    </x:row>
    <x:row r="238">
      <x:c r="A238" s="25" t="str">
        <x:f>IF(OR(B238="",C238="",E238=""),"",B238&amp;"|"&amp;C238&amp;"|"&amp;E238)</x:f>
      </x:c>
      <x:c r="B238" s="24"/>
      <x:c r="C238" s="24"/>
      <x:c r="D238" s="24"/>
      <x:c r="E238" s="24"/>
      <x:c r="F238" s="25" t="str">
        <x:f>IF(E238="","",IFERROR(VLOOKUP(E238,'02 Skill Catalogue'!$A$6:$K$95,4,FALSE),"Skill ID not found"))</x:f>
      </x:c>
      <x:c r="G238" s="25" t="str">
        <x:f>IF(E238="","",IFERROR(VLOOKUP(E238,'02 Skill Catalogue'!$A$6:$K$95,3,FALSE),""))</x:f>
      </x:c>
      <x:c r="H238" s="24"/>
      <x:c r="I238" s="28"/>
      <x:c r="J238" s="24"/>
      <x:c r="K238" s="24"/>
      <x:c r="L238" s="24"/>
      <x:c r="M238" s="24"/>
      <x:c r="N238" s="24"/>
      <x:c r="O238" s="26"/>
      <x:c r="P238" s="27"/>
      <x:c r="Q238" s="29" t="str">
        <x:f>IF(OR(B238="",C238=""),"",SUMIFS($I$6:$I$285,$B$6:$B$285,B238,$C$6:$C$285,C238,$M$6:$M$285,"Yes"))</x:f>
      </x:c>
      <x:c r="R238" s="25" t="str">
        <x:f>IF(A238="","",IF(ABS(Q238-1)&lt;0.0001,"Ready","Review Weight"))</x:f>
      </x:c>
    </x:row>
    <x:row r="239">
      <x:c r="A239" s="25" t="str">
        <x:f>IF(OR(B239="",C239="",E239=""),"",B239&amp;"|"&amp;C239&amp;"|"&amp;E239)</x:f>
      </x:c>
      <x:c r="B239" s="24"/>
      <x:c r="C239" s="24"/>
      <x:c r="D239" s="24"/>
      <x:c r="E239" s="24"/>
      <x:c r="F239" s="25" t="str">
        <x:f>IF(E239="","",IFERROR(VLOOKUP(E239,'02 Skill Catalogue'!$A$6:$K$95,4,FALSE),"Skill ID not found"))</x:f>
      </x:c>
      <x:c r="G239" s="25" t="str">
        <x:f>IF(E239="","",IFERROR(VLOOKUP(E239,'02 Skill Catalogue'!$A$6:$K$95,3,FALSE),""))</x:f>
      </x:c>
      <x:c r="H239" s="24"/>
      <x:c r="I239" s="28"/>
      <x:c r="J239" s="24"/>
      <x:c r="K239" s="24"/>
      <x:c r="L239" s="24"/>
      <x:c r="M239" s="24"/>
      <x:c r="N239" s="24"/>
      <x:c r="O239" s="26"/>
      <x:c r="P239" s="27"/>
      <x:c r="Q239" s="29" t="str">
        <x:f>IF(OR(B239="",C239=""),"",SUMIFS($I$6:$I$285,$B$6:$B$285,B239,$C$6:$C$285,C239,$M$6:$M$285,"Yes"))</x:f>
      </x:c>
      <x:c r="R239" s="25" t="str">
        <x:f>IF(A239="","",IF(ABS(Q239-1)&lt;0.0001,"Ready","Review Weight"))</x:f>
      </x:c>
    </x:row>
    <x:row r="240">
      <x:c r="A240" s="25" t="str">
        <x:f>IF(OR(B240="",C240="",E240=""),"",B240&amp;"|"&amp;C240&amp;"|"&amp;E240)</x:f>
      </x:c>
      <x:c r="B240" s="24"/>
      <x:c r="C240" s="24"/>
      <x:c r="D240" s="24"/>
      <x:c r="E240" s="24"/>
      <x:c r="F240" s="25" t="str">
        <x:f>IF(E240="","",IFERROR(VLOOKUP(E240,'02 Skill Catalogue'!$A$6:$K$95,4,FALSE),"Skill ID not found"))</x:f>
      </x:c>
      <x:c r="G240" s="25" t="str">
        <x:f>IF(E240="","",IFERROR(VLOOKUP(E240,'02 Skill Catalogue'!$A$6:$K$95,3,FALSE),""))</x:f>
      </x:c>
      <x:c r="H240" s="24"/>
      <x:c r="I240" s="28"/>
      <x:c r="J240" s="24"/>
      <x:c r="K240" s="24"/>
      <x:c r="L240" s="24"/>
      <x:c r="M240" s="24"/>
      <x:c r="N240" s="24"/>
      <x:c r="O240" s="26"/>
      <x:c r="P240" s="27"/>
      <x:c r="Q240" s="29" t="str">
        <x:f>IF(OR(B240="",C240=""),"",SUMIFS($I$6:$I$285,$B$6:$B$285,B240,$C$6:$C$285,C240,$M$6:$M$285,"Yes"))</x:f>
      </x:c>
      <x:c r="R240" s="25" t="str">
        <x:f>IF(A240="","",IF(ABS(Q240-1)&lt;0.0001,"Ready","Review Weight"))</x:f>
      </x:c>
    </x:row>
    <x:row r="241">
      <x:c r="A241" s="25" t="str">
        <x:f>IF(OR(B241="",C241="",E241=""),"",B241&amp;"|"&amp;C241&amp;"|"&amp;E241)</x:f>
      </x:c>
      <x:c r="B241" s="24"/>
      <x:c r="C241" s="24"/>
      <x:c r="D241" s="24"/>
      <x:c r="E241" s="24"/>
      <x:c r="F241" s="25" t="str">
        <x:f>IF(E241="","",IFERROR(VLOOKUP(E241,'02 Skill Catalogue'!$A$6:$K$95,4,FALSE),"Skill ID not found"))</x:f>
      </x:c>
      <x:c r="G241" s="25" t="str">
        <x:f>IF(E241="","",IFERROR(VLOOKUP(E241,'02 Skill Catalogue'!$A$6:$K$95,3,FALSE),""))</x:f>
      </x:c>
      <x:c r="H241" s="24"/>
      <x:c r="I241" s="28"/>
      <x:c r="J241" s="24"/>
      <x:c r="K241" s="24"/>
      <x:c r="L241" s="24"/>
      <x:c r="M241" s="24"/>
      <x:c r="N241" s="24"/>
      <x:c r="O241" s="26"/>
      <x:c r="P241" s="27"/>
      <x:c r="Q241" s="29" t="str">
        <x:f>IF(OR(B241="",C241=""),"",SUMIFS($I$6:$I$285,$B$6:$B$285,B241,$C$6:$C$285,C241,$M$6:$M$285,"Yes"))</x:f>
      </x:c>
      <x:c r="R241" s="25" t="str">
        <x:f>IF(A241="","",IF(ABS(Q241-1)&lt;0.0001,"Ready","Review Weight"))</x:f>
      </x:c>
    </x:row>
    <x:row r="242">
      <x:c r="A242" s="25" t="str">
        <x:f>IF(OR(B242="",C242="",E242=""),"",B242&amp;"|"&amp;C242&amp;"|"&amp;E242)</x:f>
      </x:c>
      <x:c r="B242" s="24"/>
      <x:c r="C242" s="24"/>
      <x:c r="D242" s="24"/>
      <x:c r="E242" s="24"/>
      <x:c r="F242" s="25" t="str">
        <x:f>IF(E242="","",IFERROR(VLOOKUP(E242,'02 Skill Catalogue'!$A$6:$K$95,4,FALSE),"Skill ID not found"))</x:f>
      </x:c>
      <x:c r="G242" s="25" t="str">
        <x:f>IF(E242="","",IFERROR(VLOOKUP(E242,'02 Skill Catalogue'!$A$6:$K$95,3,FALSE),""))</x:f>
      </x:c>
      <x:c r="H242" s="24"/>
      <x:c r="I242" s="28"/>
      <x:c r="J242" s="24"/>
      <x:c r="K242" s="24"/>
      <x:c r="L242" s="24"/>
      <x:c r="M242" s="24"/>
      <x:c r="N242" s="24"/>
      <x:c r="O242" s="26"/>
      <x:c r="P242" s="27"/>
      <x:c r="Q242" s="29" t="str">
        <x:f>IF(OR(B242="",C242=""),"",SUMIFS($I$6:$I$285,$B$6:$B$285,B242,$C$6:$C$285,C242,$M$6:$M$285,"Yes"))</x:f>
      </x:c>
      <x:c r="R242" s="25" t="str">
        <x:f>IF(A242="","",IF(ABS(Q242-1)&lt;0.0001,"Ready","Review Weight"))</x:f>
      </x:c>
    </x:row>
    <x:row r="243">
      <x:c r="A243" s="25" t="str">
        <x:f>IF(OR(B243="",C243="",E243=""),"",B243&amp;"|"&amp;C243&amp;"|"&amp;E243)</x:f>
      </x:c>
      <x:c r="B243" s="24"/>
      <x:c r="C243" s="24"/>
      <x:c r="D243" s="24"/>
      <x:c r="E243" s="24"/>
      <x:c r="F243" s="25" t="str">
        <x:f>IF(E243="","",IFERROR(VLOOKUP(E243,'02 Skill Catalogue'!$A$6:$K$95,4,FALSE),"Skill ID not found"))</x:f>
      </x:c>
      <x:c r="G243" s="25" t="str">
        <x:f>IF(E243="","",IFERROR(VLOOKUP(E243,'02 Skill Catalogue'!$A$6:$K$95,3,FALSE),""))</x:f>
      </x:c>
      <x:c r="H243" s="24"/>
      <x:c r="I243" s="28"/>
      <x:c r="J243" s="24"/>
      <x:c r="K243" s="24"/>
      <x:c r="L243" s="24"/>
      <x:c r="M243" s="24"/>
      <x:c r="N243" s="24"/>
      <x:c r="O243" s="26"/>
      <x:c r="P243" s="27"/>
      <x:c r="Q243" s="29" t="str">
        <x:f>IF(OR(B243="",C243=""),"",SUMIFS($I$6:$I$285,$B$6:$B$285,B243,$C$6:$C$285,C243,$M$6:$M$285,"Yes"))</x:f>
      </x:c>
      <x:c r="R243" s="25" t="str">
        <x:f>IF(A243="","",IF(ABS(Q243-1)&lt;0.0001,"Ready","Review Weight"))</x:f>
      </x:c>
    </x:row>
    <x:row r="244">
      <x:c r="A244" s="25" t="str">
        <x:f>IF(OR(B244="",C244="",E244=""),"",B244&amp;"|"&amp;C244&amp;"|"&amp;E244)</x:f>
      </x:c>
      <x:c r="B244" s="24"/>
      <x:c r="C244" s="24"/>
      <x:c r="D244" s="24"/>
      <x:c r="E244" s="24"/>
      <x:c r="F244" s="25" t="str">
        <x:f>IF(E244="","",IFERROR(VLOOKUP(E244,'02 Skill Catalogue'!$A$6:$K$95,4,FALSE),"Skill ID not found"))</x:f>
      </x:c>
      <x:c r="G244" s="25" t="str">
        <x:f>IF(E244="","",IFERROR(VLOOKUP(E244,'02 Skill Catalogue'!$A$6:$K$95,3,FALSE),""))</x:f>
      </x:c>
      <x:c r="H244" s="24"/>
      <x:c r="I244" s="28"/>
      <x:c r="J244" s="24"/>
      <x:c r="K244" s="24"/>
      <x:c r="L244" s="24"/>
      <x:c r="M244" s="24"/>
      <x:c r="N244" s="24"/>
      <x:c r="O244" s="26"/>
      <x:c r="P244" s="27"/>
      <x:c r="Q244" s="29" t="str">
        <x:f>IF(OR(B244="",C244=""),"",SUMIFS($I$6:$I$285,$B$6:$B$285,B244,$C$6:$C$285,C244,$M$6:$M$285,"Yes"))</x:f>
      </x:c>
      <x:c r="R244" s="25" t="str">
        <x:f>IF(A244="","",IF(ABS(Q244-1)&lt;0.0001,"Ready","Review Weight"))</x:f>
      </x:c>
    </x:row>
    <x:row r="245">
      <x:c r="A245" s="25" t="str">
        <x:f>IF(OR(B245="",C245="",E245=""),"",B245&amp;"|"&amp;C245&amp;"|"&amp;E245)</x:f>
      </x:c>
      <x:c r="B245" s="24"/>
      <x:c r="C245" s="24"/>
      <x:c r="D245" s="24"/>
      <x:c r="E245" s="24"/>
      <x:c r="F245" s="25" t="str">
        <x:f>IF(E245="","",IFERROR(VLOOKUP(E245,'02 Skill Catalogue'!$A$6:$K$95,4,FALSE),"Skill ID not found"))</x:f>
      </x:c>
      <x:c r="G245" s="25" t="str">
        <x:f>IF(E245="","",IFERROR(VLOOKUP(E245,'02 Skill Catalogue'!$A$6:$K$95,3,FALSE),""))</x:f>
      </x:c>
      <x:c r="H245" s="24"/>
      <x:c r="I245" s="28"/>
      <x:c r="J245" s="24"/>
      <x:c r="K245" s="24"/>
      <x:c r="L245" s="24"/>
      <x:c r="M245" s="24"/>
      <x:c r="N245" s="24"/>
      <x:c r="O245" s="26"/>
      <x:c r="P245" s="27"/>
      <x:c r="Q245" s="29" t="str">
        <x:f>IF(OR(B245="",C245=""),"",SUMIFS($I$6:$I$285,$B$6:$B$285,B245,$C$6:$C$285,C245,$M$6:$M$285,"Yes"))</x:f>
      </x:c>
      <x:c r="R245" s="25" t="str">
        <x:f>IF(A245="","",IF(ABS(Q245-1)&lt;0.0001,"Ready","Review Weight"))</x:f>
      </x:c>
    </x:row>
    <x:row r="246">
      <x:c r="A246" s="25" t="str">
        <x:f>IF(OR(B246="",C246="",E246=""),"",B246&amp;"|"&amp;C246&amp;"|"&amp;E246)</x:f>
      </x:c>
      <x:c r="B246" s="24"/>
      <x:c r="C246" s="24"/>
      <x:c r="D246" s="24"/>
      <x:c r="E246" s="24"/>
      <x:c r="F246" s="25" t="str">
        <x:f>IF(E246="","",IFERROR(VLOOKUP(E246,'02 Skill Catalogue'!$A$6:$K$95,4,FALSE),"Skill ID not found"))</x:f>
      </x:c>
      <x:c r="G246" s="25" t="str">
        <x:f>IF(E246="","",IFERROR(VLOOKUP(E246,'02 Skill Catalogue'!$A$6:$K$95,3,FALSE),""))</x:f>
      </x:c>
      <x:c r="H246" s="24"/>
      <x:c r="I246" s="28"/>
      <x:c r="J246" s="24"/>
      <x:c r="K246" s="24"/>
      <x:c r="L246" s="24"/>
      <x:c r="M246" s="24"/>
      <x:c r="N246" s="24"/>
      <x:c r="O246" s="26"/>
      <x:c r="P246" s="27"/>
      <x:c r="Q246" s="29" t="str">
        <x:f>IF(OR(B246="",C246=""),"",SUMIFS($I$6:$I$285,$B$6:$B$285,B246,$C$6:$C$285,C246,$M$6:$M$285,"Yes"))</x:f>
      </x:c>
      <x:c r="R246" s="25" t="str">
        <x:f>IF(A246="","",IF(ABS(Q246-1)&lt;0.0001,"Ready","Review Weight"))</x:f>
      </x:c>
    </x:row>
    <x:row r="247">
      <x:c r="A247" s="25" t="str">
        <x:f>IF(OR(B247="",C247="",E247=""),"",B247&amp;"|"&amp;C247&amp;"|"&amp;E247)</x:f>
      </x:c>
      <x:c r="B247" s="24"/>
      <x:c r="C247" s="24"/>
      <x:c r="D247" s="24"/>
      <x:c r="E247" s="24"/>
      <x:c r="F247" s="25" t="str">
        <x:f>IF(E247="","",IFERROR(VLOOKUP(E247,'02 Skill Catalogue'!$A$6:$K$95,4,FALSE),"Skill ID not found"))</x:f>
      </x:c>
      <x:c r="G247" s="25" t="str">
        <x:f>IF(E247="","",IFERROR(VLOOKUP(E247,'02 Skill Catalogue'!$A$6:$K$95,3,FALSE),""))</x:f>
      </x:c>
      <x:c r="H247" s="24"/>
      <x:c r="I247" s="28"/>
      <x:c r="J247" s="24"/>
      <x:c r="K247" s="24"/>
      <x:c r="L247" s="24"/>
      <x:c r="M247" s="24"/>
      <x:c r="N247" s="24"/>
      <x:c r="O247" s="26"/>
      <x:c r="P247" s="27"/>
      <x:c r="Q247" s="29" t="str">
        <x:f>IF(OR(B247="",C247=""),"",SUMIFS($I$6:$I$285,$B$6:$B$285,B247,$C$6:$C$285,C247,$M$6:$M$285,"Yes"))</x:f>
      </x:c>
      <x:c r="R247" s="25" t="str">
        <x:f>IF(A247="","",IF(ABS(Q247-1)&lt;0.0001,"Ready","Review Weight"))</x:f>
      </x:c>
    </x:row>
    <x:row r="248">
      <x:c r="A248" s="25" t="str">
        <x:f>IF(OR(B248="",C248="",E248=""),"",B248&amp;"|"&amp;C248&amp;"|"&amp;E248)</x:f>
      </x:c>
      <x:c r="B248" s="24"/>
      <x:c r="C248" s="24"/>
      <x:c r="D248" s="24"/>
      <x:c r="E248" s="24"/>
      <x:c r="F248" s="25" t="str">
        <x:f>IF(E248="","",IFERROR(VLOOKUP(E248,'02 Skill Catalogue'!$A$6:$K$95,4,FALSE),"Skill ID not found"))</x:f>
      </x:c>
      <x:c r="G248" s="25" t="str">
        <x:f>IF(E248="","",IFERROR(VLOOKUP(E248,'02 Skill Catalogue'!$A$6:$K$95,3,FALSE),""))</x:f>
      </x:c>
      <x:c r="H248" s="24"/>
      <x:c r="I248" s="28"/>
      <x:c r="J248" s="24"/>
      <x:c r="K248" s="24"/>
      <x:c r="L248" s="24"/>
      <x:c r="M248" s="24"/>
      <x:c r="N248" s="24"/>
      <x:c r="O248" s="26"/>
      <x:c r="P248" s="27"/>
      <x:c r="Q248" s="29" t="str">
        <x:f>IF(OR(B248="",C248=""),"",SUMIFS($I$6:$I$285,$B$6:$B$285,B248,$C$6:$C$285,C248,$M$6:$M$285,"Yes"))</x:f>
      </x:c>
      <x:c r="R248" s="25" t="str">
        <x:f>IF(A248="","",IF(ABS(Q248-1)&lt;0.0001,"Ready","Review Weight"))</x:f>
      </x:c>
    </x:row>
    <x:row r="249">
      <x:c r="A249" s="25" t="str">
        <x:f>IF(OR(B249="",C249="",E249=""),"",B249&amp;"|"&amp;C249&amp;"|"&amp;E249)</x:f>
      </x:c>
      <x:c r="B249" s="24"/>
      <x:c r="C249" s="24"/>
      <x:c r="D249" s="24"/>
      <x:c r="E249" s="24"/>
      <x:c r="F249" s="25" t="str">
        <x:f>IF(E249="","",IFERROR(VLOOKUP(E249,'02 Skill Catalogue'!$A$6:$K$95,4,FALSE),"Skill ID not found"))</x:f>
      </x:c>
      <x:c r="G249" s="25" t="str">
        <x:f>IF(E249="","",IFERROR(VLOOKUP(E249,'02 Skill Catalogue'!$A$6:$K$95,3,FALSE),""))</x:f>
      </x:c>
      <x:c r="H249" s="24"/>
      <x:c r="I249" s="28"/>
      <x:c r="J249" s="24"/>
      <x:c r="K249" s="24"/>
      <x:c r="L249" s="24"/>
      <x:c r="M249" s="24"/>
      <x:c r="N249" s="24"/>
      <x:c r="O249" s="26"/>
      <x:c r="P249" s="27"/>
      <x:c r="Q249" s="29" t="str">
        <x:f>IF(OR(B249="",C249=""),"",SUMIFS($I$6:$I$285,$B$6:$B$285,B249,$C$6:$C$285,C249,$M$6:$M$285,"Yes"))</x:f>
      </x:c>
      <x:c r="R249" s="25" t="str">
        <x:f>IF(A249="","",IF(ABS(Q249-1)&lt;0.0001,"Ready","Review Weight"))</x:f>
      </x:c>
    </x:row>
    <x:row r="250">
      <x:c r="A250" s="25" t="str">
        <x:f>IF(OR(B250="",C250="",E250=""),"",B250&amp;"|"&amp;C250&amp;"|"&amp;E250)</x:f>
      </x:c>
      <x:c r="B250" s="24"/>
      <x:c r="C250" s="24"/>
      <x:c r="D250" s="24"/>
      <x:c r="E250" s="24"/>
      <x:c r="F250" s="25" t="str">
        <x:f>IF(E250="","",IFERROR(VLOOKUP(E250,'02 Skill Catalogue'!$A$6:$K$95,4,FALSE),"Skill ID not found"))</x:f>
      </x:c>
      <x:c r="G250" s="25" t="str">
        <x:f>IF(E250="","",IFERROR(VLOOKUP(E250,'02 Skill Catalogue'!$A$6:$K$95,3,FALSE),""))</x:f>
      </x:c>
      <x:c r="H250" s="24"/>
      <x:c r="I250" s="28"/>
      <x:c r="J250" s="24"/>
      <x:c r="K250" s="24"/>
      <x:c r="L250" s="24"/>
      <x:c r="M250" s="24"/>
      <x:c r="N250" s="24"/>
      <x:c r="O250" s="26"/>
      <x:c r="P250" s="27"/>
      <x:c r="Q250" s="29" t="str">
        <x:f>IF(OR(B250="",C250=""),"",SUMIFS($I$6:$I$285,$B$6:$B$285,B250,$C$6:$C$285,C250,$M$6:$M$285,"Yes"))</x:f>
      </x:c>
      <x:c r="R250" s="25" t="str">
        <x:f>IF(A250="","",IF(ABS(Q250-1)&lt;0.0001,"Ready","Review Weight"))</x:f>
      </x:c>
    </x:row>
    <x:row r="251">
      <x:c r="A251" s="25" t="str">
        <x:f>IF(OR(B251="",C251="",E251=""),"",B251&amp;"|"&amp;C251&amp;"|"&amp;E251)</x:f>
      </x:c>
      <x:c r="B251" s="24"/>
      <x:c r="C251" s="24"/>
      <x:c r="D251" s="24"/>
      <x:c r="E251" s="24"/>
      <x:c r="F251" s="25" t="str">
        <x:f>IF(E251="","",IFERROR(VLOOKUP(E251,'02 Skill Catalogue'!$A$6:$K$95,4,FALSE),"Skill ID not found"))</x:f>
      </x:c>
      <x:c r="G251" s="25" t="str">
        <x:f>IF(E251="","",IFERROR(VLOOKUP(E251,'02 Skill Catalogue'!$A$6:$K$95,3,FALSE),""))</x:f>
      </x:c>
      <x:c r="H251" s="24"/>
      <x:c r="I251" s="28"/>
      <x:c r="J251" s="24"/>
      <x:c r="K251" s="24"/>
      <x:c r="L251" s="24"/>
      <x:c r="M251" s="24"/>
      <x:c r="N251" s="24"/>
      <x:c r="O251" s="26"/>
      <x:c r="P251" s="27"/>
      <x:c r="Q251" s="29" t="str">
        <x:f>IF(OR(B251="",C251=""),"",SUMIFS($I$6:$I$285,$B$6:$B$285,B251,$C$6:$C$285,C251,$M$6:$M$285,"Yes"))</x:f>
      </x:c>
      <x:c r="R251" s="25" t="str">
        <x:f>IF(A251="","",IF(ABS(Q251-1)&lt;0.0001,"Ready","Review Weight"))</x:f>
      </x:c>
    </x:row>
    <x:row r="252">
      <x:c r="A252" s="25" t="str">
        <x:f>IF(OR(B252="",C252="",E252=""),"",B252&amp;"|"&amp;C252&amp;"|"&amp;E252)</x:f>
      </x:c>
      <x:c r="B252" s="24"/>
      <x:c r="C252" s="24"/>
      <x:c r="D252" s="24"/>
      <x:c r="E252" s="24"/>
      <x:c r="F252" s="25" t="str">
        <x:f>IF(E252="","",IFERROR(VLOOKUP(E252,'02 Skill Catalogue'!$A$6:$K$95,4,FALSE),"Skill ID not found"))</x:f>
      </x:c>
      <x:c r="G252" s="25" t="str">
        <x:f>IF(E252="","",IFERROR(VLOOKUP(E252,'02 Skill Catalogue'!$A$6:$K$95,3,FALSE),""))</x:f>
      </x:c>
      <x:c r="H252" s="24"/>
      <x:c r="I252" s="28"/>
      <x:c r="J252" s="24"/>
      <x:c r="K252" s="24"/>
      <x:c r="L252" s="24"/>
      <x:c r="M252" s="24"/>
      <x:c r="N252" s="24"/>
      <x:c r="O252" s="26"/>
      <x:c r="P252" s="27"/>
      <x:c r="Q252" s="29" t="str">
        <x:f>IF(OR(B252="",C252=""),"",SUMIFS($I$6:$I$285,$B$6:$B$285,B252,$C$6:$C$285,C252,$M$6:$M$285,"Yes"))</x:f>
      </x:c>
      <x:c r="R252" s="25" t="str">
        <x:f>IF(A252="","",IF(ABS(Q252-1)&lt;0.0001,"Ready","Review Weight"))</x:f>
      </x:c>
    </x:row>
    <x:row r="253">
      <x:c r="A253" s="25" t="str">
        <x:f>IF(OR(B253="",C253="",E253=""),"",B253&amp;"|"&amp;C253&amp;"|"&amp;E253)</x:f>
      </x:c>
      <x:c r="B253" s="24"/>
      <x:c r="C253" s="24"/>
      <x:c r="D253" s="24"/>
      <x:c r="E253" s="24"/>
      <x:c r="F253" s="25" t="str">
        <x:f>IF(E253="","",IFERROR(VLOOKUP(E253,'02 Skill Catalogue'!$A$6:$K$95,4,FALSE),"Skill ID not found"))</x:f>
      </x:c>
      <x:c r="G253" s="25" t="str">
        <x:f>IF(E253="","",IFERROR(VLOOKUP(E253,'02 Skill Catalogue'!$A$6:$K$95,3,FALSE),""))</x:f>
      </x:c>
      <x:c r="H253" s="24"/>
      <x:c r="I253" s="28"/>
      <x:c r="J253" s="24"/>
      <x:c r="K253" s="24"/>
      <x:c r="L253" s="24"/>
      <x:c r="M253" s="24"/>
      <x:c r="N253" s="24"/>
      <x:c r="O253" s="26"/>
      <x:c r="P253" s="27"/>
      <x:c r="Q253" s="29" t="str">
        <x:f>IF(OR(B253="",C253=""),"",SUMIFS($I$6:$I$285,$B$6:$B$285,B253,$C$6:$C$285,C253,$M$6:$M$285,"Yes"))</x:f>
      </x:c>
      <x:c r="R253" s="25" t="str">
        <x:f>IF(A253="","",IF(ABS(Q253-1)&lt;0.0001,"Ready","Review Weight"))</x:f>
      </x:c>
    </x:row>
    <x:row r="254">
      <x:c r="A254" s="25" t="str">
        <x:f>IF(OR(B254="",C254="",E254=""),"",B254&amp;"|"&amp;C254&amp;"|"&amp;E254)</x:f>
      </x:c>
      <x:c r="B254" s="24"/>
      <x:c r="C254" s="24"/>
      <x:c r="D254" s="24"/>
      <x:c r="E254" s="24"/>
      <x:c r="F254" s="25" t="str">
        <x:f>IF(E254="","",IFERROR(VLOOKUP(E254,'02 Skill Catalogue'!$A$6:$K$95,4,FALSE),"Skill ID not found"))</x:f>
      </x:c>
      <x:c r="G254" s="25" t="str">
        <x:f>IF(E254="","",IFERROR(VLOOKUP(E254,'02 Skill Catalogue'!$A$6:$K$95,3,FALSE),""))</x:f>
      </x:c>
      <x:c r="H254" s="24"/>
      <x:c r="I254" s="28"/>
      <x:c r="J254" s="24"/>
      <x:c r="K254" s="24"/>
      <x:c r="L254" s="24"/>
      <x:c r="M254" s="24"/>
      <x:c r="N254" s="24"/>
      <x:c r="O254" s="26"/>
      <x:c r="P254" s="27"/>
      <x:c r="Q254" s="29" t="str">
        <x:f>IF(OR(B254="",C254=""),"",SUMIFS($I$6:$I$285,$B$6:$B$285,B254,$C$6:$C$285,C254,$M$6:$M$285,"Yes"))</x:f>
      </x:c>
      <x:c r="R254" s="25" t="str">
        <x:f>IF(A254="","",IF(ABS(Q254-1)&lt;0.0001,"Ready","Review Weight"))</x:f>
      </x:c>
    </x:row>
    <x:row r="255">
      <x:c r="A255" s="25" t="str">
        <x:f>IF(OR(B255="",C255="",E255=""),"",B255&amp;"|"&amp;C255&amp;"|"&amp;E255)</x:f>
      </x:c>
      <x:c r="B255" s="24"/>
      <x:c r="C255" s="24"/>
      <x:c r="D255" s="24"/>
      <x:c r="E255" s="24"/>
      <x:c r="F255" s="25" t="str">
        <x:f>IF(E255="","",IFERROR(VLOOKUP(E255,'02 Skill Catalogue'!$A$6:$K$95,4,FALSE),"Skill ID not found"))</x:f>
      </x:c>
      <x:c r="G255" s="25" t="str">
        <x:f>IF(E255="","",IFERROR(VLOOKUP(E255,'02 Skill Catalogue'!$A$6:$K$95,3,FALSE),""))</x:f>
      </x:c>
      <x:c r="H255" s="24"/>
      <x:c r="I255" s="28"/>
      <x:c r="J255" s="24"/>
      <x:c r="K255" s="24"/>
      <x:c r="L255" s="24"/>
      <x:c r="M255" s="24"/>
      <x:c r="N255" s="24"/>
      <x:c r="O255" s="26"/>
      <x:c r="P255" s="27"/>
      <x:c r="Q255" s="29" t="str">
        <x:f>IF(OR(B255="",C255=""),"",SUMIFS($I$6:$I$285,$B$6:$B$285,B255,$C$6:$C$285,C255,$M$6:$M$285,"Yes"))</x:f>
      </x:c>
      <x:c r="R255" s="25" t="str">
        <x:f>IF(A255="","",IF(ABS(Q255-1)&lt;0.0001,"Ready","Review Weight"))</x:f>
      </x:c>
    </x:row>
    <x:row r="256">
      <x:c r="A256" s="25" t="str">
        <x:f>IF(OR(B256="",C256="",E256=""),"",B256&amp;"|"&amp;C256&amp;"|"&amp;E256)</x:f>
      </x:c>
      <x:c r="B256" s="24"/>
      <x:c r="C256" s="24"/>
      <x:c r="D256" s="24"/>
      <x:c r="E256" s="24"/>
      <x:c r="F256" s="25" t="str">
        <x:f>IF(E256="","",IFERROR(VLOOKUP(E256,'02 Skill Catalogue'!$A$6:$K$95,4,FALSE),"Skill ID not found"))</x:f>
      </x:c>
      <x:c r="G256" s="25" t="str">
        <x:f>IF(E256="","",IFERROR(VLOOKUP(E256,'02 Skill Catalogue'!$A$6:$K$95,3,FALSE),""))</x:f>
      </x:c>
      <x:c r="H256" s="24"/>
      <x:c r="I256" s="28"/>
      <x:c r="J256" s="24"/>
      <x:c r="K256" s="24"/>
      <x:c r="L256" s="24"/>
      <x:c r="M256" s="24"/>
      <x:c r="N256" s="24"/>
      <x:c r="O256" s="26"/>
      <x:c r="P256" s="27"/>
      <x:c r="Q256" s="29" t="str">
        <x:f>IF(OR(B256="",C256=""),"",SUMIFS($I$6:$I$285,$B$6:$B$285,B256,$C$6:$C$285,C256,$M$6:$M$285,"Yes"))</x:f>
      </x:c>
      <x:c r="R256" s="25" t="str">
        <x:f>IF(A256="","",IF(ABS(Q256-1)&lt;0.0001,"Ready","Review Weight"))</x:f>
      </x:c>
    </x:row>
    <x:row r="257">
      <x:c r="A257" s="25" t="str">
        <x:f>IF(OR(B257="",C257="",E257=""),"",B257&amp;"|"&amp;C257&amp;"|"&amp;E257)</x:f>
      </x:c>
      <x:c r="B257" s="24"/>
      <x:c r="C257" s="24"/>
      <x:c r="D257" s="24"/>
      <x:c r="E257" s="24"/>
      <x:c r="F257" s="25" t="str">
        <x:f>IF(E257="","",IFERROR(VLOOKUP(E257,'02 Skill Catalogue'!$A$6:$K$95,4,FALSE),"Skill ID not found"))</x:f>
      </x:c>
      <x:c r="G257" s="25" t="str">
        <x:f>IF(E257="","",IFERROR(VLOOKUP(E257,'02 Skill Catalogue'!$A$6:$K$95,3,FALSE),""))</x:f>
      </x:c>
      <x:c r="H257" s="24"/>
      <x:c r="I257" s="28"/>
      <x:c r="J257" s="24"/>
      <x:c r="K257" s="24"/>
      <x:c r="L257" s="24"/>
      <x:c r="M257" s="24"/>
      <x:c r="N257" s="24"/>
      <x:c r="O257" s="26"/>
      <x:c r="P257" s="27"/>
      <x:c r="Q257" s="29" t="str">
        <x:f>IF(OR(B257="",C257=""),"",SUMIFS($I$6:$I$285,$B$6:$B$285,B257,$C$6:$C$285,C257,$M$6:$M$285,"Yes"))</x:f>
      </x:c>
      <x:c r="R257" s="25" t="str">
        <x:f>IF(A257="","",IF(ABS(Q257-1)&lt;0.0001,"Ready","Review Weight"))</x:f>
      </x:c>
    </x:row>
    <x:row r="258">
      <x:c r="A258" s="25" t="str">
        <x:f>IF(OR(B258="",C258="",E258=""),"",B258&amp;"|"&amp;C258&amp;"|"&amp;E258)</x:f>
      </x:c>
      <x:c r="B258" s="24"/>
      <x:c r="C258" s="24"/>
      <x:c r="D258" s="24"/>
      <x:c r="E258" s="24"/>
      <x:c r="F258" s="25" t="str">
        <x:f>IF(E258="","",IFERROR(VLOOKUP(E258,'02 Skill Catalogue'!$A$6:$K$95,4,FALSE),"Skill ID not found"))</x:f>
      </x:c>
      <x:c r="G258" s="25" t="str">
        <x:f>IF(E258="","",IFERROR(VLOOKUP(E258,'02 Skill Catalogue'!$A$6:$K$95,3,FALSE),""))</x:f>
      </x:c>
      <x:c r="H258" s="24"/>
      <x:c r="I258" s="28"/>
      <x:c r="J258" s="24"/>
      <x:c r="K258" s="24"/>
      <x:c r="L258" s="24"/>
      <x:c r="M258" s="24"/>
      <x:c r="N258" s="24"/>
      <x:c r="O258" s="26"/>
      <x:c r="P258" s="27"/>
      <x:c r="Q258" s="29" t="str">
        <x:f>IF(OR(B258="",C258=""),"",SUMIFS($I$6:$I$285,$B$6:$B$285,B258,$C$6:$C$285,C258,$M$6:$M$285,"Yes"))</x:f>
      </x:c>
      <x:c r="R258" s="25" t="str">
        <x:f>IF(A258="","",IF(ABS(Q258-1)&lt;0.0001,"Ready","Review Weight"))</x:f>
      </x:c>
    </x:row>
    <x:row r="259">
      <x:c r="A259" s="25" t="str">
        <x:f>IF(OR(B259="",C259="",E259=""),"",B259&amp;"|"&amp;C259&amp;"|"&amp;E259)</x:f>
      </x:c>
      <x:c r="B259" s="24"/>
      <x:c r="C259" s="24"/>
      <x:c r="D259" s="24"/>
      <x:c r="E259" s="24"/>
      <x:c r="F259" s="25" t="str">
        <x:f>IF(E259="","",IFERROR(VLOOKUP(E259,'02 Skill Catalogue'!$A$6:$K$95,4,FALSE),"Skill ID not found"))</x:f>
      </x:c>
      <x:c r="G259" s="25" t="str">
        <x:f>IF(E259="","",IFERROR(VLOOKUP(E259,'02 Skill Catalogue'!$A$6:$K$95,3,FALSE),""))</x:f>
      </x:c>
      <x:c r="H259" s="24"/>
      <x:c r="I259" s="28"/>
      <x:c r="J259" s="24"/>
      <x:c r="K259" s="24"/>
      <x:c r="L259" s="24"/>
      <x:c r="M259" s="24"/>
      <x:c r="N259" s="24"/>
      <x:c r="O259" s="26"/>
      <x:c r="P259" s="27"/>
      <x:c r="Q259" s="29" t="str">
        <x:f>IF(OR(B259="",C259=""),"",SUMIFS($I$6:$I$285,$B$6:$B$285,B259,$C$6:$C$285,C259,$M$6:$M$285,"Yes"))</x:f>
      </x:c>
      <x:c r="R259" s="25" t="str">
        <x:f>IF(A259="","",IF(ABS(Q259-1)&lt;0.0001,"Ready","Review Weight"))</x:f>
      </x:c>
    </x:row>
    <x:row r="260">
      <x:c r="A260" s="25" t="str">
        <x:f>IF(OR(B260="",C260="",E260=""),"",B260&amp;"|"&amp;C260&amp;"|"&amp;E260)</x:f>
      </x:c>
      <x:c r="B260" s="24"/>
      <x:c r="C260" s="24"/>
      <x:c r="D260" s="24"/>
      <x:c r="E260" s="24"/>
      <x:c r="F260" s="25" t="str">
        <x:f>IF(E260="","",IFERROR(VLOOKUP(E260,'02 Skill Catalogue'!$A$6:$K$95,4,FALSE),"Skill ID not found"))</x:f>
      </x:c>
      <x:c r="G260" s="25" t="str">
        <x:f>IF(E260="","",IFERROR(VLOOKUP(E260,'02 Skill Catalogue'!$A$6:$K$95,3,FALSE),""))</x:f>
      </x:c>
      <x:c r="H260" s="24"/>
      <x:c r="I260" s="28"/>
      <x:c r="J260" s="24"/>
      <x:c r="K260" s="24"/>
      <x:c r="L260" s="24"/>
      <x:c r="M260" s="24"/>
      <x:c r="N260" s="24"/>
      <x:c r="O260" s="26"/>
      <x:c r="P260" s="27"/>
      <x:c r="Q260" s="29" t="str">
        <x:f>IF(OR(B260="",C260=""),"",SUMIFS($I$6:$I$285,$B$6:$B$285,B260,$C$6:$C$285,C260,$M$6:$M$285,"Yes"))</x:f>
      </x:c>
      <x:c r="R260" s="25" t="str">
        <x:f>IF(A260="","",IF(ABS(Q260-1)&lt;0.0001,"Ready","Review Weight"))</x:f>
      </x:c>
    </x:row>
    <x:row r="261">
      <x:c r="A261" s="25" t="str">
        <x:f>IF(OR(B261="",C261="",E261=""),"",B261&amp;"|"&amp;C261&amp;"|"&amp;E261)</x:f>
      </x:c>
      <x:c r="B261" s="24"/>
      <x:c r="C261" s="24"/>
      <x:c r="D261" s="24"/>
      <x:c r="E261" s="24"/>
      <x:c r="F261" s="25" t="str">
        <x:f>IF(E261="","",IFERROR(VLOOKUP(E261,'02 Skill Catalogue'!$A$6:$K$95,4,FALSE),"Skill ID not found"))</x:f>
      </x:c>
      <x:c r="G261" s="25" t="str">
        <x:f>IF(E261="","",IFERROR(VLOOKUP(E261,'02 Skill Catalogue'!$A$6:$K$95,3,FALSE),""))</x:f>
      </x:c>
      <x:c r="H261" s="24"/>
      <x:c r="I261" s="28"/>
      <x:c r="J261" s="24"/>
      <x:c r="K261" s="24"/>
      <x:c r="L261" s="24"/>
      <x:c r="M261" s="24"/>
      <x:c r="N261" s="24"/>
      <x:c r="O261" s="26"/>
      <x:c r="P261" s="27"/>
      <x:c r="Q261" s="29" t="str">
        <x:f>IF(OR(B261="",C261=""),"",SUMIFS($I$6:$I$285,$B$6:$B$285,B261,$C$6:$C$285,C261,$M$6:$M$285,"Yes"))</x:f>
      </x:c>
      <x:c r="R261" s="25" t="str">
        <x:f>IF(A261="","",IF(ABS(Q261-1)&lt;0.0001,"Ready","Review Weight"))</x:f>
      </x:c>
    </x:row>
    <x:row r="262">
      <x:c r="A262" s="25" t="str">
        <x:f>IF(OR(B262="",C262="",E262=""),"",B262&amp;"|"&amp;C262&amp;"|"&amp;E262)</x:f>
      </x:c>
      <x:c r="B262" s="24"/>
      <x:c r="C262" s="24"/>
      <x:c r="D262" s="24"/>
      <x:c r="E262" s="24"/>
      <x:c r="F262" s="25" t="str">
        <x:f>IF(E262="","",IFERROR(VLOOKUP(E262,'02 Skill Catalogue'!$A$6:$K$95,4,FALSE),"Skill ID not found"))</x:f>
      </x:c>
      <x:c r="G262" s="25" t="str">
        <x:f>IF(E262="","",IFERROR(VLOOKUP(E262,'02 Skill Catalogue'!$A$6:$K$95,3,FALSE),""))</x:f>
      </x:c>
      <x:c r="H262" s="24"/>
      <x:c r="I262" s="28"/>
      <x:c r="J262" s="24"/>
      <x:c r="K262" s="24"/>
      <x:c r="L262" s="24"/>
      <x:c r="M262" s="24"/>
      <x:c r="N262" s="24"/>
      <x:c r="O262" s="26"/>
      <x:c r="P262" s="27"/>
      <x:c r="Q262" s="29" t="str">
        <x:f>IF(OR(B262="",C262=""),"",SUMIFS($I$6:$I$285,$B$6:$B$285,B262,$C$6:$C$285,C262,$M$6:$M$285,"Yes"))</x:f>
      </x:c>
      <x:c r="R262" s="25" t="str">
        <x:f>IF(A262="","",IF(ABS(Q262-1)&lt;0.0001,"Ready","Review Weight"))</x:f>
      </x:c>
    </x:row>
    <x:row r="263">
      <x:c r="A263" s="25" t="str">
        <x:f>IF(OR(B263="",C263="",E263=""),"",B263&amp;"|"&amp;C263&amp;"|"&amp;E263)</x:f>
      </x:c>
      <x:c r="B263" s="24"/>
      <x:c r="C263" s="24"/>
      <x:c r="D263" s="24"/>
      <x:c r="E263" s="24"/>
      <x:c r="F263" s="25" t="str">
        <x:f>IF(E263="","",IFERROR(VLOOKUP(E263,'02 Skill Catalogue'!$A$6:$K$95,4,FALSE),"Skill ID not found"))</x:f>
      </x:c>
      <x:c r="G263" s="25" t="str">
        <x:f>IF(E263="","",IFERROR(VLOOKUP(E263,'02 Skill Catalogue'!$A$6:$K$95,3,FALSE),""))</x:f>
      </x:c>
      <x:c r="H263" s="24"/>
      <x:c r="I263" s="28"/>
      <x:c r="J263" s="24"/>
      <x:c r="K263" s="24"/>
      <x:c r="L263" s="24"/>
      <x:c r="M263" s="24"/>
      <x:c r="N263" s="24"/>
      <x:c r="O263" s="26"/>
      <x:c r="P263" s="27"/>
      <x:c r="Q263" s="29" t="str">
        <x:f>IF(OR(B263="",C263=""),"",SUMIFS($I$6:$I$285,$B$6:$B$285,B263,$C$6:$C$285,C263,$M$6:$M$285,"Yes"))</x:f>
      </x:c>
      <x:c r="R263" s="25" t="str">
        <x:f>IF(A263="","",IF(ABS(Q263-1)&lt;0.0001,"Ready","Review Weight"))</x:f>
      </x:c>
    </x:row>
    <x:row r="264">
      <x:c r="A264" s="25" t="str">
        <x:f>IF(OR(B264="",C264="",E264=""),"",B264&amp;"|"&amp;C264&amp;"|"&amp;E264)</x:f>
      </x:c>
      <x:c r="B264" s="24"/>
      <x:c r="C264" s="24"/>
      <x:c r="D264" s="24"/>
      <x:c r="E264" s="24"/>
      <x:c r="F264" s="25" t="str">
        <x:f>IF(E264="","",IFERROR(VLOOKUP(E264,'02 Skill Catalogue'!$A$6:$K$95,4,FALSE),"Skill ID not found"))</x:f>
      </x:c>
      <x:c r="G264" s="25" t="str">
        <x:f>IF(E264="","",IFERROR(VLOOKUP(E264,'02 Skill Catalogue'!$A$6:$K$95,3,FALSE),""))</x:f>
      </x:c>
      <x:c r="H264" s="24"/>
      <x:c r="I264" s="28"/>
      <x:c r="J264" s="24"/>
      <x:c r="K264" s="24"/>
      <x:c r="L264" s="24"/>
      <x:c r="M264" s="24"/>
      <x:c r="N264" s="24"/>
      <x:c r="O264" s="26"/>
      <x:c r="P264" s="27"/>
      <x:c r="Q264" s="29" t="str">
        <x:f>IF(OR(B264="",C264=""),"",SUMIFS($I$6:$I$285,$B$6:$B$285,B264,$C$6:$C$285,C264,$M$6:$M$285,"Yes"))</x:f>
      </x:c>
      <x:c r="R264" s="25" t="str">
        <x:f>IF(A264="","",IF(ABS(Q264-1)&lt;0.0001,"Ready","Review Weight"))</x:f>
      </x:c>
    </x:row>
    <x:row r="265">
      <x:c r="A265" s="25" t="str">
        <x:f>IF(OR(B265="",C265="",E265=""),"",B265&amp;"|"&amp;C265&amp;"|"&amp;E265)</x:f>
      </x:c>
      <x:c r="B265" s="24"/>
      <x:c r="C265" s="24"/>
      <x:c r="D265" s="24"/>
      <x:c r="E265" s="24"/>
      <x:c r="F265" s="25" t="str">
        <x:f>IF(E265="","",IFERROR(VLOOKUP(E265,'02 Skill Catalogue'!$A$6:$K$95,4,FALSE),"Skill ID not found"))</x:f>
      </x:c>
      <x:c r="G265" s="25" t="str">
        <x:f>IF(E265="","",IFERROR(VLOOKUP(E265,'02 Skill Catalogue'!$A$6:$K$95,3,FALSE),""))</x:f>
      </x:c>
      <x:c r="H265" s="24"/>
      <x:c r="I265" s="28"/>
      <x:c r="J265" s="24"/>
      <x:c r="K265" s="24"/>
      <x:c r="L265" s="24"/>
      <x:c r="M265" s="24"/>
      <x:c r="N265" s="24"/>
      <x:c r="O265" s="26"/>
      <x:c r="P265" s="27"/>
      <x:c r="Q265" s="29" t="str">
        <x:f>IF(OR(B265="",C265=""),"",SUMIFS($I$6:$I$285,$B$6:$B$285,B265,$C$6:$C$285,C265,$M$6:$M$285,"Yes"))</x:f>
      </x:c>
      <x:c r="R265" s="25" t="str">
        <x:f>IF(A265="","",IF(ABS(Q265-1)&lt;0.0001,"Ready","Review Weight"))</x:f>
      </x:c>
    </x:row>
    <x:row r="266">
      <x:c r="A266" s="25" t="str">
        <x:f>IF(OR(B266="",C266="",E266=""),"",B266&amp;"|"&amp;C266&amp;"|"&amp;E266)</x:f>
      </x:c>
      <x:c r="B266" s="24"/>
      <x:c r="C266" s="24"/>
      <x:c r="D266" s="24"/>
      <x:c r="E266" s="24"/>
      <x:c r="F266" s="25" t="str">
        <x:f>IF(E266="","",IFERROR(VLOOKUP(E266,'02 Skill Catalogue'!$A$6:$K$95,4,FALSE),"Skill ID not found"))</x:f>
      </x:c>
      <x:c r="G266" s="25" t="str">
        <x:f>IF(E266="","",IFERROR(VLOOKUP(E266,'02 Skill Catalogue'!$A$6:$K$95,3,FALSE),""))</x:f>
      </x:c>
      <x:c r="H266" s="24"/>
      <x:c r="I266" s="28"/>
      <x:c r="J266" s="24"/>
      <x:c r="K266" s="24"/>
      <x:c r="L266" s="24"/>
      <x:c r="M266" s="24"/>
      <x:c r="N266" s="24"/>
      <x:c r="O266" s="26"/>
      <x:c r="P266" s="27"/>
      <x:c r="Q266" s="29" t="str">
        <x:f>IF(OR(B266="",C266=""),"",SUMIFS($I$6:$I$285,$B$6:$B$285,B266,$C$6:$C$285,C266,$M$6:$M$285,"Yes"))</x:f>
      </x:c>
      <x:c r="R266" s="25" t="str">
        <x:f>IF(A266="","",IF(ABS(Q266-1)&lt;0.0001,"Ready","Review Weight"))</x:f>
      </x:c>
    </x:row>
    <x:row r="267">
      <x:c r="A267" s="25" t="str">
        <x:f>IF(OR(B267="",C267="",E267=""),"",B267&amp;"|"&amp;C267&amp;"|"&amp;E267)</x:f>
      </x:c>
      <x:c r="B267" s="24"/>
      <x:c r="C267" s="24"/>
      <x:c r="D267" s="24"/>
      <x:c r="E267" s="24"/>
      <x:c r="F267" s="25" t="str">
        <x:f>IF(E267="","",IFERROR(VLOOKUP(E267,'02 Skill Catalogue'!$A$6:$K$95,4,FALSE),"Skill ID not found"))</x:f>
      </x:c>
      <x:c r="G267" s="25" t="str">
        <x:f>IF(E267="","",IFERROR(VLOOKUP(E267,'02 Skill Catalogue'!$A$6:$K$95,3,FALSE),""))</x:f>
      </x:c>
      <x:c r="H267" s="24"/>
      <x:c r="I267" s="28"/>
      <x:c r="J267" s="24"/>
      <x:c r="K267" s="24"/>
      <x:c r="L267" s="24"/>
      <x:c r="M267" s="24"/>
      <x:c r="N267" s="24"/>
      <x:c r="O267" s="26"/>
      <x:c r="P267" s="27"/>
      <x:c r="Q267" s="29" t="str">
        <x:f>IF(OR(B267="",C267=""),"",SUMIFS($I$6:$I$285,$B$6:$B$285,B267,$C$6:$C$285,C267,$M$6:$M$285,"Yes"))</x:f>
      </x:c>
      <x:c r="R267" s="25" t="str">
        <x:f>IF(A267="","",IF(ABS(Q267-1)&lt;0.0001,"Ready","Review Weight"))</x:f>
      </x:c>
    </x:row>
    <x:row r="268">
      <x:c r="A268" s="25" t="str">
        <x:f>IF(OR(B268="",C268="",E268=""),"",B268&amp;"|"&amp;C268&amp;"|"&amp;E268)</x:f>
      </x:c>
      <x:c r="B268" s="24"/>
      <x:c r="C268" s="24"/>
      <x:c r="D268" s="24"/>
      <x:c r="E268" s="24"/>
      <x:c r="F268" s="25" t="str">
        <x:f>IF(E268="","",IFERROR(VLOOKUP(E268,'02 Skill Catalogue'!$A$6:$K$95,4,FALSE),"Skill ID not found"))</x:f>
      </x:c>
      <x:c r="G268" s="25" t="str">
        <x:f>IF(E268="","",IFERROR(VLOOKUP(E268,'02 Skill Catalogue'!$A$6:$K$95,3,FALSE),""))</x:f>
      </x:c>
      <x:c r="H268" s="24"/>
      <x:c r="I268" s="28"/>
      <x:c r="J268" s="24"/>
      <x:c r="K268" s="24"/>
      <x:c r="L268" s="24"/>
      <x:c r="M268" s="24"/>
      <x:c r="N268" s="24"/>
      <x:c r="O268" s="26"/>
      <x:c r="P268" s="27"/>
      <x:c r="Q268" s="29" t="str">
        <x:f>IF(OR(B268="",C268=""),"",SUMIFS($I$6:$I$285,$B$6:$B$285,B268,$C$6:$C$285,C268,$M$6:$M$285,"Yes"))</x:f>
      </x:c>
      <x:c r="R268" s="25" t="str">
        <x:f>IF(A268="","",IF(ABS(Q268-1)&lt;0.0001,"Ready","Review Weight"))</x:f>
      </x:c>
    </x:row>
    <x:row r="269">
      <x:c r="A269" s="25" t="str">
        <x:f>IF(OR(B269="",C269="",E269=""),"",B269&amp;"|"&amp;C269&amp;"|"&amp;E269)</x:f>
      </x:c>
      <x:c r="B269" s="24"/>
      <x:c r="C269" s="24"/>
      <x:c r="D269" s="24"/>
      <x:c r="E269" s="24"/>
      <x:c r="F269" s="25" t="str">
        <x:f>IF(E269="","",IFERROR(VLOOKUP(E269,'02 Skill Catalogue'!$A$6:$K$95,4,FALSE),"Skill ID not found"))</x:f>
      </x:c>
      <x:c r="G269" s="25" t="str">
        <x:f>IF(E269="","",IFERROR(VLOOKUP(E269,'02 Skill Catalogue'!$A$6:$K$95,3,FALSE),""))</x:f>
      </x:c>
      <x:c r="H269" s="24"/>
      <x:c r="I269" s="28"/>
      <x:c r="J269" s="24"/>
      <x:c r="K269" s="24"/>
      <x:c r="L269" s="24"/>
      <x:c r="M269" s="24"/>
      <x:c r="N269" s="24"/>
      <x:c r="O269" s="26"/>
      <x:c r="P269" s="27"/>
      <x:c r="Q269" s="29" t="str">
        <x:f>IF(OR(B269="",C269=""),"",SUMIFS($I$6:$I$285,$B$6:$B$285,B269,$C$6:$C$285,C269,$M$6:$M$285,"Yes"))</x:f>
      </x:c>
      <x:c r="R269" s="25" t="str">
        <x:f>IF(A269="","",IF(ABS(Q269-1)&lt;0.0001,"Ready","Review Weight"))</x:f>
      </x:c>
    </x:row>
    <x:row r="270">
      <x:c r="A270" s="25" t="str">
        <x:f>IF(OR(B270="",C270="",E270=""),"",B270&amp;"|"&amp;C270&amp;"|"&amp;E270)</x:f>
      </x:c>
      <x:c r="B270" s="24"/>
      <x:c r="C270" s="24"/>
      <x:c r="D270" s="24"/>
      <x:c r="E270" s="24"/>
      <x:c r="F270" s="25" t="str">
        <x:f>IF(E270="","",IFERROR(VLOOKUP(E270,'02 Skill Catalogue'!$A$6:$K$95,4,FALSE),"Skill ID not found"))</x:f>
      </x:c>
      <x:c r="G270" s="25" t="str">
        <x:f>IF(E270="","",IFERROR(VLOOKUP(E270,'02 Skill Catalogue'!$A$6:$K$95,3,FALSE),""))</x:f>
      </x:c>
      <x:c r="H270" s="24"/>
      <x:c r="I270" s="28"/>
      <x:c r="J270" s="24"/>
      <x:c r="K270" s="24"/>
      <x:c r="L270" s="24"/>
      <x:c r="M270" s="24"/>
      <x:c r="N270" s="24"/>
      <x:c r="O270" s="26"/>
      <x:c r="P270" s="27"/>
      <x:c r="Q270" s="29" t="str">
        <x:f>IF(OR(B270="",C270=""),"",SUMIFS($I$6:$I$285,$B$6:$B$285,B270,$C$6:$C$285,C270,$M$6:$M$285,"Yes"))</x:f>
      </x:c>
      <x:c r="R270" s="25" t="str">
        <x:f>IF(A270="","",IF(ABS(Q270-1)&lt;0.0001,"Ready","Review Weight"))</x:f>
      </x:c>
    </x:row>
    <x:row r="271">
      <x:c r="A271" s="25" t="str">
        <x:f>IF(OR(B271="",C271="",E271=""),"",B271&amp;"|"&amp;C271&amp;"|"&amp;E271)</x:f>
      </x:c>
      <x:c r="B271" s="24"/>
      <x:c r="C271" s="24"/>
      <x:c r="D271" s="24"/>
      <x:c r="E271" s="24"/>
      <x:c r="F271" s="25" t="str">
        <x:f>IF(E271="","",IFERROR(VLOOKUP(E271,'02 Skill Catalogue'!$A$6:$K$95,4,FALSE),"Skill ID not found"))</x:f>
      </x:c>
      <x:c r="G271" s="25" t="str">
        <x:f>IF(E271="","",IFERROR(VLOOKUP(E271,'02 Skill Catalogue'!$A$6:$K$95,3,FALSE),""))</x:f>
      </x:c>
      <x:c r="H271" s="24"/>
      <x:c r="I271" s="28"/>
      <x:c r="J271" s="24"/>
      <x:c r="K271" s="24"/>
      <x:c r="L271" s="24"/>
      <x:c r="M271" s="24"/>
      <x:c r="N271" s="24"/>
      <x:c r="O271" s="26"/>
      <x:c r="P271" s="27"/>
      <x:c r="Q271" s="29" t="str">
        <x:f>IF(OR(B271="",C271=""),"",SUMIFS($I$6:$I$285,$B$6:$B$285,B271,$C$6:$C$285,C271,$M$6:$M$285,"Yes"))</x:f>
      </x:c>
      <x:c r="R271" s="25" t="str">
        <x:f>IF(A271="","",IF(ABS(Q271-1)&lt;0.0001,"Ready","Review Weight"))</x:f>
      </x:c>
    </x:row>
    <x:row r="272">
      <x:c r="A272" s="25" t="str">
        <x:f>IF(OR(B272="",C272="",E272=""),"",B272&amp;"|"&amp;C272&amp;"|"&amp;E272)</x:f>
      </x:c>
      <x:c r="B272" s="24"/>
      <x:c r="C272" s="24"/>
      <x:c r="D272" s="24"/>
      <x:c r="E272" s="24"/>
      <x:c r="F272" s="25" t="str">
        <x:f>IF(E272="","",IFERROR(VLOOKUP(E272,'02 Skill Catalogue'!$A$6:$K$95,4,FALSE),"Skill ID not found"))</x:f>
      </x:c>
      <x:c r="G272" s="25" t="str">
        <x:f>IF(E272="","",IFERROR(VLOOKUP(E272,'02 Skill Catalogue'!$A$6:$K$95,3,FALSE),""))</x:f>
      </x:c>
      <x:c r="H272" s="24"/>
      <x:c r="I272" s="28"/>
      <x:c r="J272" s="24"/>
      <x:c r="K272" s="24"/>
      <x:c r="L272" s="24"/>
      <x:c r="M272" s="24"/>
      <x:c r="N272" s="24"/>
      <x:c r="O272" s="26"/>
      <x:c r="P272" s="27"/>
      <x:c r="Q272" s="29" t="str">
        <x:f>IF(OR(B272="",C272=""),"",SUMIFS($I$6:$I$285,$B$6:$B$285,B272,$C$6:$C$285,C272,$M$6:$M$285,"Yes"))</x:f>
      </x:c>
      <x:c r="R272" s="25" t="str">
        <x:f>IF(A272="","",IF(ABS(Q272-1)&lt;0.0001,"Ready","Review Weight"))</x:f>
      </x:c>
    </x:row>
    <x:row r="273">
      <x:c r="A273" s="25" t="str">
        <x:f>IF(OR(B273="",C273="",E273=""),"",B273&amp;"|"&amp;C273&amp;"|"&amp;E273)</x:f>
      </x:c>
      <x:c r="B273" s="24"/>
      <x:c r="C273" s="24"/>
      <x:c r="D273" s="24"/>
      <x:c r="E273" s="24"/>
      <x:c r="F273" s="25" t="str">
        <x:f>IF(E273="","",IFERROR(VLOOKUP(E273,'02 Skill Catalogue'!$A$6:$K$95,4,FALSE),"Skill ID not found"))</x:f>
      </x:c>
      <x:c r="G273" s="25" t="str">
        <x:f>IF(E273="","",IFERROR(VLOOKUP(E273,'02 Skill Catalogue'!$A$6:$K$95,3,FALSE),""))</x:f>
      </x:c>
      <x:c r="H273" s="24"/>
      <x:c r="I273" s="28"/>
      <x:c r="J273" s="24"/>
      <x:c r="K273" s="24"/>
      <x:c r="L273" s="24"/>
      <x:c r="M273" s="24"/>
      <x:c r="N273" s="24"/>
      <x:c r="O273" s="26"/>
      <x:c r="P273" s="27"/>
      <x:c r="Q273" s="29" t="str">
        <x:f>IF(OR(B273="",C273=""),"",SUMIFS($I$6:$I$285,$B$6:$B$285,B273,$C$6:$C$285,C273,$M$6:$M$285,"Yes"))</x:f>
      </x:c>
      <x:c r="R273" s="25" t="str">
        <x:f>IF(A273="","",IF(ABS(Q273-1)&lt;0.0001,"Ready","Review Weight"))</x:f>
      </x:c>
    </x:row>
    <x:row r="274">
      <x:c r="A274" s="25" t="str">
        <x:f>IF(OR(B274="",C274="",E274=""),"",B274&amp;"|"&amp;C274&amp;"|"&amp;E274)</x:f>
      </x:c>
      <x:c r="B274" s="24"/>
      <x:c r="C274" s="24"/>
      <x:c r="D274" s="24"/>
      <x:c r="E274" s="24"/>
      <x:c r="F274" s="25" t="str">
        <x:f>IF(E274="","",IFERROR(VLOOKUP(E274,'02 Skill Catalogue'!$A$6:$K$95,4,FALSE),"Skill ID not found"))</x:f>
      </x:c>
      <x:c r="G274" s="25" t="str">
        <x:f>IF(E274="","",IFERROR(VLOOKUP(E274,'02 Skill Catalogue'!$A$6:$K$95,3,FALSE),""))</x:f>
      </x:c>
      <x:c r="H274" s="24"/>
      <x:c r="I274" s="28"/>
      <x:c r="J274" s="24"/>
      <x:c r="K274" s="24"/>
      <x:c r="L274" s="24"/>
      <x:c r="M274" s="24"/>
      <x:c r="N274" s="24"/>
      <x:c r="O274" s="26"/>
      <x:c r="P274" s="27"/>
      <x:c r="Q274" s="29" t="str">
        <x:f>IF(OR(B274="",C274=""),"",SUMIFS($I$6:$I$285,$B$6:$B$285,B274,$C$6:$C$285,C274,$M$6:$M$285,"Yes"))</x:f>
      </x:c>
      <x:c r="R274" s="25" t="str">
        <x:f>IF(A274="","",IF(ABS(Q274-1)&lt;0.0001,"Ready","Review Weight"))</x:f>
      </x:c>
    </x:row>
    <x:row r="275">
      <x:c r="A275" s="25" t="str">
        <x:f>IF(OR(B275="",C275="",E275=""),"",B275&amp;"|"&amp;C275&amp;"|"&amp;E275)</x:f>
      </x:c>
      <x:c r="B275" s="24"/>
      <x:c r="C275" s="24"/>
      <x:c r="D275" s="24"/>
      <x:c r="E275" s="24"/>
      <x:c r="F275" s="25" t="str">
        <x:f>IF(E275="","",IFERROR(VLOOKUP(E275,'02 Skill Catalogue'!$A$6:$K$95,4,FALSE),"Skill ID not found"))</x:f>
      </x:c>
      <x:c r="G275" s="25" t="str">
        <x:f>IF(E275="","",IFERROR(VLOOKUP(E275,'02 Skill Catalogue'!$A$6:$K$95,3,FALSE),""))</x:f>
      </x:c>
      <x:c r="H275" s="24"/>
      <x:c r="I275" s="28"/>
      <x:c r="J275" s="24"/>
      <x:c r="K275" s="24"/>
      <x:c r="L275" s="24"/>
      <x:c r="M275" s="24"/>
      <x:c r="N275" s="24"/>
      <x:c r="O275" s="26"/>
      <x:c r="P275" s="27"/>
      <x:c r="Q275" s="29" t="str">
        <x:f>IF(OR(B275="",C275=""),"",SUMIFS($I$6:$I$285,$B$6:$B$285,B275,$C$6:$C$285,C275,$M$6:$M$285,"Yes"))</x:f>
      </x:c>
      <x:c r="R275" s="25" t="str">
        <x:f>IF(A275="","",IF(ABS(Q275-1)&lt;0.0001,"Ready","Review Weight"))</x:f>
      </x:c>
    </x:row>
    <x:row r="276">
      <x:c r="A276" s="25" t="str">
        <x:f>IF(OR(B276="",C276="",E276=""),"",B276&amp;"|"&amp;C276&amp;"|"&amp;E276)</x:f>
      </x:c>
      <x:c r="B276" s="24"/>
      <x:c r="C276" s="24"/>
      <x:c r="D276" s="24"/>
      <x:c r="E276" s="24"/>
      <x:c r="F276" s="25" t="str">
        <x:f>IF(E276="","",IFERROR(VLOOKUP(E276,'02 Skill Catalogue'!$A$6:$K$95,4,FALSE),"Skill ID not found"))</x:f>
      </x:c>
      <x:c r="G276" s="25" t="str">
        <x:f>IF(E276="","",IFERROR(VLOOKUP(E276,'02 Skill Catalogue'!$A$6:$K$95,3,FALSE),""))</x:f>
      </x:c>
      <x:c r="H276" s="24"/>
      <x:c r="I276" s="28"/>
      <x:c r="J276" s="24"/>
      <x:c r="K276" s="24"/>
      <x:c r="L276" s="24"/>
      <x:c r="M276" s="24"/>
      <x:c r="N276" s="24"/>
      <x:c r="O276" s="26"/>
      <x:c r="P276" s="27"/>
      <x:c r="Q276" s="29" t="str">
        <x:f>IF(OR(B276="",C276=""),"",SUMIFS($I$6:$I$285,$B$6:$B$285,B276,$C$6:$C$285,C276,$M$6:$M$285,"Yes"))</x:f>
      </x:c>
      <x:c r="R276" s="25" t="str">
        <x:f>IF(A276="","",IF(ABS(Q276-1)&lt;0.0001,"Ready","Review Weight"))</x:f>
      </x:c>
    </x:row>
    <x:row r="277">
      <x:c r="A277" s="25" t="str">
        <x:f>IF(OR(B277="",C277="",E277=""),"",B277&amp;"|"&amp;C277&amp;"|"&amp;E277)</x:f>
      </x:c>
      <x:c r="B277" s="24"/>
      <x:c r="C277" s="24"/>
      <x:c r="D277" s="24"/>
      <x:c r="E277" s="24"/>
      <x:c r="F277" s="25" t="str">
        <x:f>IF(E277="","",IFERROR(VLOOKUP(E277,'02 Skill Catalogue'!$A$6:$K$95,4,FALSE),"Skill ID not found"))</x:f>
      </x:c>
      <x:c r="G277" s="25" t="str">
        <x:f>IF(E277="","",IFERROR(VLOOKUP(E277,'02 Skill Catalogue'!$A$6:$K$95,3,FALSE),""))</x:f>
      </x:c>
      <x:c r="H277" s="24"/>
      <x:c r="I277" s="28"/>
      <x:c r="J277" s="24"/>
      <x:c r="K277" s="24"/>
      <x:c r="L277" s="24"/>
      <x:c r="M277" s="24"/>
      <x:c r="N277" s="24"/>
      <x:c r="O277" s="26"/>
      <x:c r="P277" s="27"/>
      <x:c r="Q277" s="29" t="str">
        <x:f>IF(OR(B277="",C277=""),"",SUMIFS($I$6:$I$285,$B$6:$B$285,B277,$C$6:$C$285,C277,$M$6:$M$285,"Yes"))</x:f>
      </x:c>
      <x:c r="R277" s="25" t="str">
        <x:f>IF(A277="","",IF(ABS(Q277-1)&lt;0.0001,"Ready","Review Weight"))</x:f>
      </x:c>
    </x:row>
    <x:row r="278">
      <x:c r="A278" s="25" t="str">
        <x:f>IF(OR(B278="",C278="",E278=""),"",B278&amp;"|"&amp;C278&amp;"|"&amp;E278)</x:f>
      </x:c>
      <x:c r="B278" s="24"/>
      <x:c r="C278" s="24"/>
      <x:c r="D278" s="24"/>
      <x:c r="E278" s="24"/>
      <x:c r="F278" s="25" t="str">
        <x:f>IF(E278="","",IFERROR(VLOOKUP(E278,'02 Skill Catalogue'!$A$6:$K$95,4,FALSE),"Skill ID not found"))</x:f>
      </x:c>
      <x:c r="G278" s="25" t="str">
        <x:f>IF(E278="","",IFERROR(VLOOKUP(E278,'02 Skill Catalogue'!$A$6:$K$95,3,FALSE),""))</x:f>
      </x:c>
      <x:c r="H278" s="24"/>
      <x:c r="I278" s="28"/>
      <x:c r="J278" s="24"/>
      <x:c r="K278" s="24"/>
      <x:c r="L278" s="24"/>
      <x:c r="M278" s="24"/>
      <x:c r="N278" s="24"/>
      <x:c r="O278" s="26"/>
      <x:c r="P278" s="27"/>
      <x:c r="Q278" s="29" t="str">
        <x:f>IF(OR(B278="",C278=""),"",SUMIFS($I$6:$I$285,$B$6:$B$285,B278,$C$6:$C$285,C278,$M$6:$M$285,"Yes"))</x:f>
      </x:c>
      <x:c r="R278" s="25" t="str">
        <x:f>IF(A278="","",IF(ABS(Q278-1)&lt;0.0001,"Ready","Review Weight"))</x:f>
      </x:c>
    </x:row>
    <x:row r="279">
      <x:c r="A279" s="25" t="str">
        <x:f>IF(OR(B279="",C279="",E279=""),"",B279&amp;"|"&amp;C279&amp;"|"&amp;E279)</x:f>
      </x:c>
      <x:c r="B279" s="24"/>
      <x:c r="C279" s="24"/>
      <x:c r="D279" s="24"/>
      <x:c r="E279" s="24"/>
      <x:c r="F279" s="25" t="str">
        <x:f>IF(E279="","",IFERROR(VLOOKUP(E279,'02 Skill Catalogue'!$A$6:$K$95,4,FALSE),"Skill ID not found"))</x:f>
      </x:c>
      <x:c r="G279" s="25" t="str">
        <x:f>IF(E279="","",IFERROR(VLOOKUP(E279,'02 Skill Catalogue'!$A$6:$K$95,3,FALSE),""))</x:f>
      </x:c>
      <x:c r="H279" s="24"/>
      <x:c r="I279" s="28"/>
      <x:c r="J279" s="24"/>
      <x:c r="K279" s="24"/>
      <x:c r="L279" s="24"/>
      <x:c r="M279" s="24"/>
      <x:c r="N279" s="24"/>
      <x:c r="O279" s="26"/>
      <x:c r="P279" s="27"/>
      <x:c r="Q279" s="29" t="str">
        <x:f>IF(OR(B279="",C279=""),"",SUMIFS($I$6:$I$285,$B$6:$B$285,B279,$C$6:$C$285,C279,$M$6:$M$285,"Yes"))</x:f>
      </x:c>
      <x:c r="R279" s="25" t="str">
        <x:f>IF(A279="","",IF(ABS(Q279-1)&lt;0.0001,"Ready","Review Weight"))</x:f>
      </x:c>
    </x:row>
    <x:row r="280">
      <x:c r="A280" s="25" t="str">
        <x:f>IF(OR(B280="",C280="",E280=""),"",B280&amp;"|"&amp;C280&amp;"|"&amp;E280)</x:f>
      </x:c>
      <x:c r="B280" s="24"/>
      <x:c r="C280" s="24"/>
      <x:c r="D280" s="24"/>
      <x:c r="E280" s="24"/>
      <x:c r="F280" s="25" t="str">
        <x:f>IF(E280="","",IFERROR(VLOOKUP(E280,'02 Skill Catalogue'!$A$6:$K$95,4,FALSE),"Skill ID not found"))</x:f>
      </x:c>
      <x:c r="G280" s="25" t="str">
        <x:f>IF(E280="","",IFERROR(VLOOKUP(E280,'02 Skill Catalogue'!$A$6:$K$95,3,FALSE),""))</x:f>
      </x:c>
      <x:c r="H280" s="24"/>
      <x:c r="I280" s="28"/>
      <x:c r="J280" s="24"/>
      <x:c r="K280" s="24"/>
      <x:c r="L280" s="24"/>
      <x:c r="M280" s="24"/>
      <x:c r="N280" s="24"/>
      <x:c r="O280" s="26"/>
      <x:c r="P280" s="27"/>
      <x:c r="Q280" s="29" t="str">
        <x:f>IF(OR(B280="",C280=""),"",SUMIFS($I$6:$I$285,$B$6:$B$285,B280,$C$6:$C$285,C280,$M$6:$M$285,"Yes"))</x:f>
      </x:c>
      <x:c r="R280" s="25" t="str">
        <x:f>IF(A280="","",IF(ABS(Q280-1)&lt;0.0001,"Ready","Review Weight"))</x:f>
      </x:c>
    </x:row>
    <x:row r="281">
      <x:c r="A281" s="25" t="str">
        <x:f>IF(OR(B281="",C281="",E281=""),"",B281&amp;"|"&amp;C281&amp;"|"&amp;E281)</x:f>
      </x:c>
      <x:c r="B281" s="24"/>
      <x:c r="C281" s="24"/>
      <x:c r="D281" s="24"/>
      <x:c r="E281" s="24"/>
      <x:c r="F281" s="25" t="str">
        <x:f>IF(E281="","",IFERROR(VLOOKUP(E281,'02 Skill Catalogue'!$A$6:$K$95,4,FALSE),"Skill ID not found"))</x:f>
      </x:c>
      <x:c r="G281" s="25" t="str">
        <x:f>IF(E281="","",IFERROR(VLOOKUP(E281,'02 Skill Catalogue'!$A$6:$K$95,3,FALSE),""))</x:f>
      </x:c>
      <x:c r="H281" s="24"/>
      <x:c r="I281" s="28"/>
      <x:c r="J281" s="24"/>
      <x:c r="K281" s="24"/>
      <x:c r="L281" s="24"/>
      <x:c r="M281" s="24"/>
      <x:c r="N281" s="24"/>
      <x:c r="O281" s="26"/>
      <x:c r="P281" s="27"/>
      <x:c r="Q281" s="29" t="str">
        <x:f>IF(OR(B281="",C281=""),"",SUMIFS($I$6:$I$285,$B$6:$B$285,B281,$C$6:$C$285,C281,$M$6:$M$285,"Yes"))</x:f>
      </x:c>
      <x:c r="R281" s="25" t="str">
        <x:f>IF(A281="","",IF(ABS(Q281-1)&lt;0.0001,"Ready","Review Weight"))</x:f>
      </x:c>
    </x:row>
    <x:row r="282">
      <x:c r="A282" s="25" t="str">
        <x:f>IF(OR(B282="",C282="",E282=""),"",B282&amp;"|"&amp;C282&amp;"|"&amp;E282)</x:f>
      </x:c>
      <x:c r="B282" s="24"/>
      <x:c r="C282" s="24"/>
      <x:c r="D282" s="24"/>
      <x:c r="E282" s="24"/>
      <x:c r="F282" s="25" t="str">
        <x:f>IF(E282="","",IFERROR(VLOOKUP(E282,'02 Skill Catalogue'!$A$6:$K$95,4,FALSE),"Skill ID not found"))</x:f>
      </x:c>
      <x:c r="G282" s="25" t="str">
        <x:f>IF(E282="","",IFERROR(VLOOKUP(E282,'02 Skill Catalogue'!$A$6:$K$95,3,FALSE),""))</x:f>
      </x:c>
      <x:c r="H282" s="24"/>
      <x:c r="I282" s="28"/>
      <x:c r="J282" s="24"/>
      <x:c r="K282" s="24"/>
      <x:c r="L282" s="24"/>
      <x:c r="M282" s="24"/>
      <x:c r="N282" s="24"/>
      <x:c r="O282" s="26"/>
      <x:c r="P282" s="27"/>
      <x:c r="Q282" s="29" t="str">
        <x:f>IF(OR(B282="",C282=""),"",SUMIFS($I$6:$I$285,$B$6:$B$285,B282,$C$6:$C$285,C282,$M$6:$M$285,"Yes"))</x:f>
      </x:c>
      <x:c r="R282" s="25" t="str">
        <x:f>IF(A282="","",IF(ABS(Q282-1)&lt;0.0001,"Ready","Review Weight"))</x:f>
      </x:c>
    </x:row>
    <x:row r="283">
      <x:c r="A283" s="25" t="str">
        <x:f>IF(OR(B283="",C283="",E283=""),"",B283&amp;"|"&amp;C283&amp;"|"&amp;E283)</x:f>
      </x:c>
      <x:c r="B283" s="24"/>
      <x:c r="C283" s="24"/>
      <x:c r="D283" s="24"/>
      <x:c r="E283" s="24"/>
      <x:c r="F283" s="25" t="str">
        <x:f>IF(E283="","",IFERROR(VLOOKUP(E283,'02 Skill Catalogue'!$A$6:$K$95,4,FALSE),"Skill ID not found"))</x:f>
      </x:c>
      <x:c r="G283" s="25" t="str">
        <x:f>IF(E283="","",IFERROR(VLOOKUP(E283,'02 Skill Catalogue'!$A$6:$K$95,3,FALSE),""))</x:f>
      </x:c>
      <x:c r="H283" s="24"/>
      <x:c r="I283" s="28"/>
      <x:c r="J283" s="24"/>
      <x:c r="K283" s="24"/>
      <x:c r="L283" s="24"/>
      <x:c r="M283" s="24"/>
      <x:c r="N283" s="24"/>
      <x:c r="O283" s="26"/>
      <x:c r="P283" s="27"/>
      <x:c r="Q283" s="29" t="str">
        <x:f>IF(OR(B283="",C283=""),"",SUMIFS($I$6:$I$285,$B$6:$B$285,B283,$C$6:$C$285,C283,$M$6:$M$285,"Yes"))</x:f>
      </x:c>
      <x:c r="R283" s="25" t="str">
        <x:f>IF(A283="","",IF(ABS(Q283-1)&lt;0.0001,"Ready","Review Weight"))</x:f>
      </x:c>
    </x:row>
    <x:row r="284">
      <x:c r="A284" s="25" t="str">
        <x:f>IF(OR(B284="",C284="",E284=""),"",B284&amp;"|"&amp;C284&amp;"|"&amp;E284)</x:f>
      </x:c>
      <x:c r="B284" s="24"/>
      <x:c r="C284" s="24"/>
      <x:c r="D284" s="24"/>
      <x:c r="E284" s="24"/>
      <x:c r="F284" s="25" t="str">
        <x:f>IF(E284="","",IFERROR(VLOOKUP(E284,'02 Skill Catalogue'!$A$6:$K$95,4,FALSE),"Skill ID not found"))</x:f>
      </x:c>
      <x:c r="G284" s="25" t="str">
        <x:f>IF(E284="","",IFERROR(VLOOKUP(E284,'02 Skill Catalogue'!$A$6:$K$95,3,FALSE),""))</x:f>
      </x:c>
      <x:c r="H284" s="24"/>
      <x:c r="I284" s="28"/>
      <x:c r="J284" s="24"/>
      <x:c r="K284" s="24"/>
      <x:c r="L284" s="24"/>
      <x:c r="M284" s="24"/>
      <x:c r="N284" s="24"/>
      <x:c r="O284" s="26"/>
      <x:c r="P284" s="27"/>
      <x:c r="Q284" s="29" t="str">
        <x:f>IF(OR(B284="",C284=""),"",SUMIFS($I$6:$I$285,$B$6:$B$285,B284,$C$6:$C$285,C284,$M$6:$M$285,"Yes"))</x:f>
      </x:c>
      <x:c r="R284" s="25" t="str">
        <x:f>IF(A284="","",IF(ABS(Q284-1)&lt;0.0001,"Ready","Review Weight"))</x:f>
      </x:c>
    </x:row>
    <x:row r="285">
      <x:c r="A285" s="25" t="str">
        <x:f>IF(OR(B285="",C285="",E285=""),"",B285&amp;"|"&amp;C285&amp;"|"&amp;E285)</x:f>
      </x:c>
      <x:c r="B285" s="24"/>
      <x:c r="C285" s="24"/>
      <x:c r="D285" s="24"/>
      <x:c r="E285" s="24"/>
      <x:c r="F285" s="25" t="str">
        <x:f>IF(E285="","",IFERROR(VLOOKUP(E285,'02 Skill Catalogue'!$A$6:$K$95,4,FALSE),"Skill ID not found"))</x:f>
      </x:c>
      <x:c r="G285" s="25" t="str">
        <x:f>IF(E285="","",IFERROR(VLOOKUP(E285,'02 Skill Catalogue'!$A$6:$K$95,3,FALSE),""))</x:f>
      </x:c>
      <x:c r="H285" s="24"/>
      <x:c r="I285" s="28"/>
      <x:c r="J285" s="24"/>
      <x:c r="K285" s="24"/>
      <x:c r="L285" s="24"/>
      <x:c r="M285" s="24"/>
      <x:c r="N285" s="24"/>
      <x:c r="O285" s="26"/>
      <x:c r="P285" s="27"/>
      <x:c r="Q285" s="29" t="str">
        <x:f>IF(OR(B285="",C285=""),"",SUMIFS($I$6:$I$285,$B$6:$B$285,B285,$C$6:$C$285,C285,$M$6:$M$285,"Yes"))</x:f>
      </x:c>
      <x:c r="R285" s="25" t="str">
        <x:f>IF(A285="","",IF(ABS(Q285-1)&lt;0.0001,"Ready","Review Weight"))</x:f>
      </x:c>
    </x:row>
  </x:sheetData>
  <x:mergeCells>
    <x:mergeCell ref="A1:R1"/>
    <x:mergeCell ref="A2:R2"/>
  </x:mergeCells>
  <x:conditionalFormatting sqref="R6:R285">
    <x:cfRule type="containsText" dxfId="2" priority="1" operator="containsText" text="Review"/>
    <x:cfRule type="containsText" dxfId="3" priority="2" operator="containsText" text="Ready"/>
  </x:conditionalFormatting>
  <x:dataValidations count="8">
    <x:dataValidation type="list" sqref="B6:B285">
      <x:formula1>"Production,Engineering,QAC/R&amp;D,Planning,IT,Procurement,Logistics,Sales,Marketing,Finance,HR/Admin"</x:formula1>
    </x:dataValidation>
    <x:dataValidation type="list" sqref="D6:D285">
      <x:formula1>"Leader,Technologist/Executive,Operator/Technician,Inspector,Packer/Assistant,Helper/Trainee"</x:formula1>
    </x:dataValidation>
    <x:dataValidation type="list" sqref="H6:H285">
      <x:formula1>"Critical,Essential,Development"</x:formula1>
    </x:dataValidation>
    <x:dataValidation type="decimal" operator="between" sqref="I6:I285">
      <x:formula1>0</x:formula1>
      <x:formula2>1</x:formula2>
    </x:dataValidation>
    <x:dataValidation type="whole" operator="between" sqref="J6:J285">
      <x:formula1>0</x:formula1>
      <x:formula2>5</x:formula2>
    </x:dataValidation>
    <x:dataValidation type="list" sqref="K6:K285">
      <x:formula1>"Yes,No"</x:formula1>
    </x:dataValidation>
    <x:dataValidation type="whole" operator="between" sqref="L6:L285">
      <x:formula1>1</x:formula1>
      <x:formula2>60</x:formula2>
    </x:dataValidation>
    <x:dataValidation type="list" sqref="M6:M285">
      <x:formula1>"Yes,No"</x:formula1>
    </x:dataValidation>
  </x:dataValidations>
  <x:pageMargins left="0.7" right="0.7" top="0.75" bottom="0.75" header="0.3" footer="0.3"/>
  <x:legacyDrawing xmlns:r="http://schemas.openxmlformats.org/officeDocument/2006/relationships" r:id="R7cd1e0ea64f24e4a"/>
  <x:tableParts count="1">
    <x:tablePart xmlns:r="http://schemas.openxmlformats.org/officeDocument/2006/relationships" r:id="R24478a3bd60d46d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14" hidden="0" customWidth="1"/>
    <x:col min="5" max="5" width="24" hidden="0" customWidth="1"/>
    <x:col min="6" max="6" width="17" hidden="0" customWidth="1"/>
    <x:col min="7" max="7" width="34" hidden="0" customWidth="1"/>
    <x:col min="8" max="8" width="23" hidden="0" customWidth="1"/>
    <x:col min="9" max="9" width="50" hidden="0" customWidth="1"/>
    <x:col min="10" max="10" width="18" hidden="0" customWidth="1"/>
    <x:col min="11" max="11" width="36" hidden="0" customWidth="1"/>
    <x:col min="12" max="12" width="14" hidden="0" customWidth="1"/>
    <x:col min="13" max="13" width="11" hidden="0" customWidth="1"/>
    <x:col min="14" max="14" width="13" hidden="0" customWidth="1"/>
    <x:col min="15" max="15" width="14" hidden="0" customWidth="1"/>
    <x:col min="16" max="16" width="9" hidden="0" customWidth="1"/>
    <x:col min="17" max="17" width="13" hidden="0" customWidth="1"/>
    <x:col min="18" max="18" width="13" hidden="0" customWidth="1"/>
    <x:col min="19" max="19" width="19" hidden="0" customWidth="1"/>
    <x:col min="20" max="20" width="23" hidden="0" customWidth="1"/>
    <x:col min="21" max="21" width="58" hidden="0" customWidth="1"/>
    <x:col min="22" max="22" width="22" hidden="0" customWidth="1"/>
    <x:col min="23" max="23" width="18" hidden="0" customWidth="1"/>
    <x:col min="24" max="24" width="22" hidden="0" customWidth="1"/>
    <x:col min="25" max="25" width="14" hidden="0" customWidth="1"/>
    <x:col min="26" max="26" width="17" hidden="0" customWidth="1"/>
    <x:col min="27" max="27" width="10" hidden="0" customWidth="1"/>
    <x:col min="28" max="28" width="16" hidden="0" customWidth="1"/>
    <x:col min="29" max="29" width="12" hidden="0" customWidth="1"/>
    <x:col min="30" max="30" width="16" hidden="0" customWidth="1"/>
    <x:col min="31" max="31" width="36" hidden="0" customWidth="1"/>
  </x:cols>
  <x:sheetData>
    <x:row r="1" ht="30" customHeight="1">
      <x:c r="A1" s="3" t="str">
        <x:v>04 — Assessment Log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ht="36" customHeight="1">
      <x:c r="A2" s="7" t="str">
        <x:v>Official historical record. Yellow columns are entered by assessor/HOD; blue columns calculate requirement, gap, priority, validity and latest status. Add a new row after training—never overwrite history.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</x:row>
    <x:row r="5" ht="34" customHeight="1">
      <x:c r="A5" s="13" t="str">
        <x:v>Assessment ID</x:v>
      </x:c>
      <x:c r="B5" s="13" t="str">
        <x:v>Assessment Date</x:v>
      </x:c>
      <x:c r="C5" s="13" t="str">
        <x:v>Assessment Cycle</x:v>
      </x:c>
      <x:c r="D5" s="13" t="str">
        <x:v>Staff ID</x:v>
      </x:c>
      <x:c r="E5" s="13" t="str">
        <x:v>Staff Name</x:v>
      </x:c>
      <x:c r="F5" s="13" t="str">
        <x:v>Department</x:v>
      </x:c>
      <x:c r="G5" s="13" t="str">
        <x:v>Position</x:v>
      </x:c>
      <x:c r="H5" s="13" t="str">
        <x:v>Tier</x:v>
      </x:c>
      <x:c r="I5" s="13" t="str">
        <x:v>Requirement Key</x:v>
      </x:c>
      <x:c r="J5" s="13" t="str">
        <x:v>Skill ID</x:v>
      </x:c>
      <x:c r="K5" s="13" t="str">
        <x:v>Skill Name</x:v>
      </x:c>
      <x:c r="L5" s="13" t="str">
        <x:v>Criticality</x:v>
      </x:c>
      <x:c r="M5" s="13" t="str">
        <x:v>Weight %</x:v>
      </x:c>
      <x:c r="N5" s="13" t="str">
        <x:v>Required Level</x:v>
      </x:c>
      <x:c r="O5" s="13" t="str">
        <x:v>Evaluated Level</x:v>
      </x:c>
      <x:c r="P5" s="13" t="str">
        <x:v>Gap</x:v>
      </x:c>
      <x:c r="Q5" s="13" t="str">
        <x:v>Weighted Gap</x:v>
      </x:c>
      <x:c r="R5" s="13" t="str">
        <x:v>Priority Score</x:v>
      </x:c>
      <x:c r="S5" s="13" t="str">
        <x:v>Result</x:v>
      </x:c>
      <x:c r="T5" s="13" t="str">
        <x:v>Assessment Method</x:v>
      </x:c>
      <x:c r="U5" s="13" t="str">
        <x:v>Evidence / Observation</x:v>
      </x:c>
      <x:c r="V5" s="13" t="str">
        <x:v>Assessor</x:v>
      </x:c>
      <x:c r="W5" s="13" t="str">
        <x:v>HOD Verification</x:v>
      </x:c>
      <x:c r="X5" s="13" t="str">
        <x:v>Certificate / Licence No.</x:v>
      </x:c>
      <x:c r="Y5" s="13" t="str">
        <x:v>Valid Until</x:v>
      </x:c>
      <x:c r="Z5" s="13" t="str">
        <x:v>Next Assessment Due</x:v>
      </x:c>
      <x:c r="AA5" s="13" t="str">
        <x:v>Latest?</x:v>
      </x:c>
      <x:c r="AB5" s="13" t="str">
        <x:v>Action Required?</x:v>
      </x:c>
      <x:c r="AC5" s="13" t="str">
        <x:v>Days to Due</x:v>
      </x:c>
      <x:c r="AD5" s="13" t="str">
        <x:v>Current Status</x:v>
      </x:c>
      <x:c r="AE5" s="13" t="str">
        <x:v>Notes</x:v>
      </x:c>
    </x:row>
    <x:row r="6">
      <x:c r="A6" s="24"/>
      <x:c r="B6" s="26"/>
      <x:c r="C6" s="24"/>
      <x:c r="D6" s="24"/>
      <x:c r="E6" s="25" t="str">
        <x:f>IF(D6="","",IFERROR(VLOOKUP(D6,'01 Staff Master'!$A$6:$M$105,2,FALSE),"Staff ID not found"))</x:f>
      </x:c>
      <x:c r="F6" s="25" t="str">
        <x:f>IF(D6="","",IFERROR(VLOOKUP(D6,'01 Staff Master'!$A$6:$M$105,3,FALSE),""))</x:f>
      </x:c>
      <x:c r="G6" s="25" t="str">
        <x:f>IF(D6="","",IFERROR(VLOOKUP(D6,'01 Staff Master'!$A$6:$M$105,5,FALSE),""))</x:f>
      </x:c>
      <x:c r="H6" s="25" t="str">
        <x:f>IF(D6="","",IFERROR(VLOOKUP(D6,'01 Staff Master'!$A$6:$M$105,6,FALSE),""))</x:f>
      </x:c>
      <x:c r="I6" s="25" t="str">
        <x:f>IF(OR(F6="",G6="",J6=""),"",F6&amp;"|"&amp;G6&amp;"|"&amp;J6)</x:f>
      </x:c>
      <x:c r="J6" s="24"/>
      <x:c r="K6" s="25" t="str">
        <x:f>IF(J6="","",IFERROR(VLOOKUP(J6,'02 Skill Catalogue'!$A$6:$K$95,4,FALSE),"Skill ID not found"))</x:f>
      </x:c>
      <x:c r="L6" s="25" t="str">
        <x:f>IF(I6="","",IFERROR(VLOOKUP(I6,'03 Position Requirements'!$A$6:$R$285,8,FALSE),"No Requirement"))</x:f>
      </x:c>
      <x:c r="M6" s="29" t="str">
        <x:f>IF(I6="","",IFERROR(VLOOKUP(I6,'03 Position Requirements'!$A$6:$R$285,9,FALSE),""))</x:f>
      </x:c>
      <x:c r="N6" s="25" t="str">
        <x:f>IF(I6="","",IFERROR(VLOOKUP(I6,'03 Position Requirements'!$A$6:$R$285,10,FALSE),""))</x:f>
      </x:c>
      <x:c r="O6" s="24"/>
      <x:c r="P6" s="25" t="str">
        <x:f>IF(OR(N6="",O6=""),"",MAX(N6-O6,0))</x:f>
      </x:c>
      <x:c r="Q6" s="30" t="str">
        <x:f>IF(P6="","",P6*M6)</x:f>
      </x:c>
      <x:c r="R6" s="30" t="str">
        <x:f>IF(OR(P6="",L6=""),"",P6*M6*IFERROR(VLOOKUP(L6,'99 Lists'!$A$19:$B$21,2,FALSE),1))</x:f>
      </x:c>
      <x:c r="S6" s="25" t="str">
        <x:f>IF(A6="","",IF(O6="","Not Assessed",IF(P6=0,"Meets / Exceeds",IF(P6=1,"Minor Gap",IF(P6=2,"Major Gap","Critical Gap")))))</x:f>
      </x:c>
      <x:c r="T6" s="24"/>
      <x:c r="U6" s="27"/>
      <x:c r="V6" s="24"/>
      <x:c r="W6" s="24"/>
      <x:c r="X6" s="24"/>
      <x:c r="Y6" s="26"/>
      <x:c r="Z6" s="31" t="str">
        <x:f>IF(B6="","",IF(Y6&lt;&gt;"",Y6,EDATE(B6,IFERROR(VLOOKUP(I6,'03 Position Requirements'!$A$6:$R$285,12,FALSE),12))))</x:f>
      </x:c>
      <x:c r="AA6" s="25" t="str">
        <x:f>IF(OR(B6="",D6="",J6=""),"",IF(COUNTIFS($D$6:$D$155,D6,$J$6:$J$155,J6,$B$6:$B$155,"&gt;"&amp;B6)=0,"Yes","No"))</x:f>
      </x:c>
      <x:c r="AB6" s="25" t="str">
        <x:f>IF(AA6="","",IF(AND(AA6="Yes",OR(P6&gt;0,AD6="Expired")),"Yes","No"))</x:f>
      </x:c>
      <x:c r="AC6" s="25" t="str">
        <x:f>IF(Z6="","",Z6-TODAY())</x:f>
      </x:c>
      <x:c r="AD6" s="25" t="str">
        <x:f>IF(A6="","",IF(O6="","Not Assessed",IF(Z6&lt;TODAY(),"Expired",IF(Z6&lt;=TODAY()+30,"Due Soon","Current"))))</x:f>
      </x:c>
      <x:c r="AE6" s="24"/>
    </x:row>
    <x:row r="7">
      <x:c r="A7" s="24"/>
      <x:c r="B7" s="26"/>
      <x:c r="C7" s="24"/>
      <x:c r="D7" s="24"/>
      <x:c r="E7" s="25" t="str">
        <x:f>IF(D7="","",IFERROR(VLOOKUP(D7,'01 Staff Master'!$A$6:$M$105,2,FALSE),"Staff ID not found"))</x:f>
      </x:c>
      <x:c r="F7" s="25" t="str">
        <x:f>IF(D7="","",IFERROR(VLOOKUP(D7,'01 Staff Master'!$A$6:$M$105,3,FALSE),""))</x:f>
      </x:c>
      <x:c r="G7" s="25" t="str">
        <x:f>IF(D7="","",IFERROR(VLOOKUP(D7,'01 Staff Master'!$A$6:$M$105,5,FALSE),""))</x:f>
      </x:c>
      <x:c r="H7" s="25" t="str">
        <x:f>IF(D7="","",IFERROR(VLOOKUP(D7,'01 Staff Master'!$A$6:$M$105,6,FALSE),""))</x:f>
      </x:c>
      <x:c r="I7" s="25" t="str">
        <x:f>IF(OR(F7="",G7="",J7=""),"",F7&amp;"|"&amp;G7&amp;"|"&amp;J7)</x:f>
      </x:c>
      <x:c r="J7" s="24"/>
      <x:c r="K7" s="25" t="str">
        <x:f>IF(J7="","",IFERROR(VLOOKUP(J7,'02 Skill Catalogue'!$A$6:$K$95,4,FALSE),"Skill ID not found"))</x:f>
      </x:c>
      <x:c r="L7" s="25" t="str">
        <x:f>IF(I7="","",IFERROR(VLOOKUP(I7,'03 Position Requirements'!$A$6:$R$285,8,FALSE),"No Requirement"))</x:f>
      </x:c>
      <x:c r="M7" s="29" t="str">
        <x:f>IF(I7="","",IFERROR(VLOOKUP(I7,'03 Position Requirements'!$A$6:$R$285,9,FALSE),""))</x:f>
      </x:c>
      <x:c r="N7" s="25" t="str">
        <x:f>IF(I7="","",IFERROR(VLOOKUP(I7,'03 Position Requirements'!$A$6:$R$285,10,FALSE),""))</x:f>
      </x:c>
      <x:c r="O7" s="24"/>
      <x:c r="P7" s="25" t="str">
        <x:f>IF(OR(N7="",O7=""),"",MAX(N7-O7,0))</x:f>
      </x:c>
      <x:c r="Q7" s="30" t="str">
        <x:f>IF(P7="","",P7*M7)</x:f>
      </x:c>
      <x:c r="R7" s="30" t="str">
        <x:f>IF(OR(P7="",L7=""),"",P7*M7*IFERROR(VLOOKUP(L7,'99 Lists'!$A$19:$B$21,2,FALSE),1))</x:f>
      </x:c>
      <x:c r="S7" s="25" t="str">
        <x:f>IF(A7="","",IF(O7="","Not Assessed",IF(P7=0,"Meets / Exceeds",IF(P7=1,"Minor Gap",IF(P7=2,"Major Gap","Critical Gap")))))</x:f>
      </x:c>
      <x:c r="T7" s="24"/>
      <x:c r="U7" s="27"/>
      <x:c r="V7" s="24"/>
      <x:c r="W7" s="24"/>
      <x:c r="X7" s="24"/>
      <x:c r="Y7" s="26"/>
      <x:c r="Z7" s="31" t="str">
        <x:f>IF(B7="","",IF(Y7&lt;&gt;"",Y7,EDATE(B7,IFERROR(VLOOKUP(I7,'03 Position Requirements'!$A$6:$R$285,12,FALSE),12))))</x:f>
      </x:c>
      <x:c r="AA7" s="25" t="str">
        <x:f>IF(OR(B7="",D7="",J7=""),"",IF(COUNTIFS($D$6:$D$155,D7,$J$6:$J$155,J7,$B$6:$B$155,"&gt;"&amp;B7)=0,"Yes","No"))</x:f>
      </x:c>
      <x:c r="AB7" s="25" t="str">
        <x:f>IF(AA7="","",IF(AND(AA7="Yes",OR(P7&gt;0,AD7="Expired")),"Yes","No"))</x:f>
      </x:c>
      <x:c r="AC7" s="25" t="str">
        <x:f>IF(Z7="","",Z7-TODAY())</x:f>
      </x:c>
      <x:c r="AD7" s="25" t="str">
        <x:f>IF(A7="","",IF(O7="","Not Assessed",IF(Z7&lt;TODAY(),"Expired",IF(Z7&lt;=TODAY()+30,"Due Soon","Current"))))</x:f>
      </x:c>
      <x:c r="AE7" s="24"/>
    </x:row>
    <x:row r="8">
      <x:c r="A8" s="24"/>
      <x:c r="B8" s="26"/>
      <x:c r="C8" s="24"/>
      <x:c r="D8" s="24"/>
      <x:c r="E8" s="25" t="str">
        <x:f>IF(D8="","",IFERROR(VLOOKUP(D8,'01 Staff Master'!$A$6:$M$105,2,FALSE),"Staff ID not found"))</x:f>
      </x:c>
      <x:c r="F8" s="25" t="str">
        <x:f>IF(D8="","",IFERROR(VLOOKUP(D8,'01 Staff Master'!$A$6:$M$105,3,FALSE),""))</x:f>
      </x:c>
      <x:c r="G8" s="25" t="str">
        <x:f>IF(D8="","",IFERROR(VLOOKUP(D8,'01 Staff Master'!$A$6:$M$105,5,FALSE),""))</x:f>
      </x:c>
      <x:c r="H8" s="25" t="str">
        <x:f>IF(D8="","",IFERROR(VLOOKUP(D8,'01 Staff Master'!$A$6:$M$105,6,FALSE),""))</x:f>
      </x:c>
      <x:c r="I8" s="25" t="str">
        <x:f>IF(OR(F8="",G8="",J8=""),"",F8&amp;"|"&amp;G8&amp;"|"&amp;J8)</x:f>
      </x:c>
      <x:c r="J8" s="24"/>
      <x:c r="K8" s="25" t="str">
        <x:f>IF(J8="","",IFERROR(VLOOKUP(J8,'02 Skill Catalogue'!$A$6:$K$95,4,FALSE),"Skill ID not found"))</x:f>
      </x:c>
      <x:c r="L8" s="25" t="str">
        <x:f>IF(I8="","",IFERROR(VLOOKUP(I8,'03 Position Requirements'!$A$6:$R$285,8,FALSE),"No Requirement"))</x:f>
      </x:c>
      <x:c r="M8" s="29" t="str">
        <x:f>IF(I8="","",IFERROR(VLOOKUP(I8,'03 Position Requirements'!$A$6:$R$285,9,FALSE),""))</x:f>
      </x:c>
      <x:c r="N8" s="25" t="str">
        <x:f>IF(I8="","",IFERROR(VLOOKUP(I8,'03 Position Requirements'!$A$6:$R$285,10,FALSE),""))</x:f>
      </x:c>
      <x:c r="O8" s="24"/>
      <x:c r="P8" s="25" t="str">
        <x:f>IF(OR(N8="",O8=""),"",MAX(N8-O8,0))</x:f>
      </x:c>
      <x:c r="Q8" s="30" t="str">
        <x:f>IF(P8="","",P8*M8)</x:f>
      </x:c>
      <x:c r="R8" s="30" t="str">
        <x:f>IF(OR(P8="",L8=""),"",P8*M8*IFERROR(VLOOKUP(L8,'99 Lists'!$A$19:$B$21,2,FALSE),1))</x:f>
      </x:c>
      <x:c r="S8" s="25" t="str">
        <x:f>IF(A8="","",IF(O8="","Not Assessed",IF(P8=0,"Meets / Exceeds",IF(P8=1,"Minor Gap",IF(P8=2,"Major Gap","Critical Gap")))))</x:f>
      </x:c>
      <x:c r="T8" s="24"/>
      <x:c r="U8" s="27"/>
      <x:c r="V8" s="24"/>
      <x:c r="W8" s="24"/>
      <x:c r="X8" s="24"/>
      <x:c r="Y8" s="26"/>
      <x:c r="Z8" s="31" t="str">
        <x:f>IF(B8="","",IF(Y8&lt;&gt;"",Y8,EDATE(B8,IFERROR(VLOOKUP(I8,'03 Position Requirements'!$A$6:$R$285,12,FALSE),12))))</x:f>
      </x:c>
      <x:c r="AA8" s="25" t="str">
        <x:f>IF(OR(B8="",D8="",J8=""),"",IF(COUNTIFS($D$6:$D$155,D8,$J$6:$J$155,J8,$B$6:$B$155,"&gt;"&amp;B8)=0,"Yes","No"))</x:f>
      </x:c>
      <x:c r="AB8" s="25" t="str">
        <x:f>IF(AA8="","",IF(AND(AA8="Yes",OR(P8&gt;0,AD8="Expired")),"Yes","No"))</x:f>
      </x:c>
      <x:c r="AC8" s="25" t="str">
        <x:f>IF(Z8="","",Z8-TODAY())</x:f>
      </x:c>
      <x:c r="AD8" s="25" t="str">
        <x:f>IF(A8="","",IF(O8="","Not Assessed",IF(Z8&lt;TODAY(),"Expired",IF(Z8&lt;=TODAY()+30,"Due Soon","Current"))))</x:f>
      </x:c>
      <x:c r="AE8" s="24"/>
    </x:row>
    <x:row r="9">
      <x:c r="A9" s="24"/>
      <x:c r="B9" s="26"/>
      <x:c r="C9" s="24"/>
      <x:c r="D9" s="24"/>
      <x:c r="E9" s="25" t="str">
        <x:f>IF(D9="","",IFERROR(VLOOKUP(D9,'01 Staff Master'!$A$6:$M$105,2,FALSE),"Staff ID not found"))</x:f>
      </x:c>
      <x:c r="F9" s="25" t="str">
        <x:f>IF(D9="","",IFERROR(VLOOKUP(D9,'01 Staff Master'!$A$6:$M$105,3,FALSE),""))</x:f>
      </x:c>
      <x:c r="G9" s="25" t="str">
        <x:f>IF(D9="","",IFERROR(VLOOKUP(D9,'01 Staff Master'!$A$6:$M$105,5,FALSE),""))</x:f>
      </x:c>
      <x:c r="H9" s="25" t="str">
        <x:f>IF(D9="","",IFERROR(VLOOKUP(D9,'01 Staff Master'!$A$6:$M$105,6,FALSE),""))</x:f>
      </x:c>
      <x:c r="I9" s="25" t="str">
        <x:f>IF(OR(F9="",G9="",J9=""),"",F9&amp;"|"&amp;G9&amp;"|"&amp;J9)</x:f>
      </x:c>
      <x:c r="J9" s="24"/>
      <x:c r="K9" s="25" t="str">
        <x:f>IF(J9="","",IFERROR(VLOOKUP(J9,'02 Skill Catalogue'!$A$6:$K$95,4,FALSE),"Skill ID not found"))</x:f>
      </x:c>
      <x:c r="L9" s="25" t="str">
        <x:f>IF(I9="","",IFERROR(VLOOKUP(I9,'03 Position Requirements'!$A$6:$R$285,8,FALSE),"No Requirement"))</x:f>
      </x:c>
      <x:c r="M9" s="29" t="str">
        <x:f>IF(I9="","",IFERROR(VLOOKUP(I9,'03 Position Requirements'!$A$6:$R$285,9,FALSE),""))</x:f>
      </x:c>
      <x:c r="N9" s="25" t="str">
        <x:f>IF(I9="","",IFERROR(VLOOKUP(I9,'03 Position Requirements'!$A$6:$R$285,10,FALSE),""))</x:f>
      </x:c>
      <x:c r="O9" s="24"/>
      <x:c r="P9" s="25" t="str">
        <x:f>IF(OR(N9="",O9=""),"",MAX(N9-O9,0))</x:f>
      </x:c>
      <x:c r="Q9" s="30" t="str">
        <x:f>IF(P9="","",P9*M9)</x:f>
      </x:c>
      <x:c r="R9" s="30" t="str">
        <x:f>IF(OR(P9="",L9=""),"",P9*M9*IFERROR(VLOOKUP(L9,'99 Lists'!$A$19:$B$21,2,FALSE),1))</x:f>
      </x:c>
      <x:c r="S9" s="25" t="str">
        <x:f>IF(A9="","",IF(O9="","Not Assessed",IF(P9=0,"Meets / Exceeds",IF(P9=1,"Minor Gap",IF(P9=2,"Major Gap","Critical Gap")))))</x:f>
      </x:c>
      <x:c r="T9" s="24"/>
      <x:c r="U9" s="27"/>
      <x:c r="V9" s="24"/>
      <x:c r="W9" s="24"/>
      <x:c r="X9" s="24"/>
      <x:c r="Y9" s="26"/>
      <x:c r="Z9" s="31" t="str">
        <x:f>IF(B9="","",IF(Y9&lt;&gt;"",Y9,EDATE(B9,IFERROR(VLOOKUP(I9,'03 Position Requirements'!$A$6:$R$285,12,FALSE),12))))</x:f>
      </x:c>
      <x:c r="AA9" s="25" t="str">
        <x:f>IF(OR(B9="",D9="",J9=""),"",IF(COUNTIFS($D$6:$D$155,D9,$J$6:$J$155,J9,$B$6:$B$155,"&gt;"&amp;B9)=0,"Yes","No"))</x:f>
      </x:c>
      <x:c r="AB9" s="25" t="str">
        <x:f>IF(AA9="","",IF(AND(AA9="Yes",OR(P9&gt;0,AD9="Expired")),"Yes","No"))</x:f>
      </x:c>
      <x:c r="AC9" s="25" t="str">
        <x:f>IF(Z9="","",Z9-TODAY())</x:f>
      </x:c>
      <x:c r="AD9" s="25" t="str">
        <x:f>IF(A9="","",IF(O9="","Not Assessed",IF(Z9&lt;TODAY(),"Expired",IF(Z9&lt;=TODAY()+30,"Due Soon","Current"))))</x:f>
      </x:c>
      <x:c r="AE9" s="24"/>
    </x:row>
    <x:row r="10">
      <x:c r="A10" s="24"/>
      <x:c r="B10" s="26"/>
      <x:c r="C10" s="24"/>
      <x:c r="D10" s="24"/>
      <x:c r="E10" s="25" t="str">
        <x:f>IF(D10="","",IFERROR(VLOOKUP(D10,'01 Staff Master'!$A$6:$M$105,2,FALSE),"Staff ID not found"))</x:f>
      </x:c>
      <x:c r="F10" s="25" t="str">
        <x:f>IF(D10="","",IFERROR(VLOOKUP(D10,'01 Staff Master'!$A$6:$M$105,3,FALSE),""))</x:f>
      </x:c>
      <x:c r="G10" s="25" t="str">
        <x:f>IF(D10="","",IFERROR(VLOOKUP(D10,'01 Staff Master'!$A$6:$M$105,5,FALSE),""))</x:f>
      </x:c>
      <x:c r="H10" s="25" t="str">
        <x:f>IF(D10="","",IFERROR(VLOOKUP(D10,'01 Staff Master'!$A$6:$M$105,6,FALSE),""))</x:f>
      </x:c>
      <x:c r="I10" s="25" t="str">
        <x:f>IF(OR(F10="",G10="",J10=""),"",F10&amp;"|"&amp;G10&amp;"|"&amp;J10)</x:f>
      </x:c>
      <x:c r="J10" s="24"/>
      <x:c r="K10" s="25" t="str">
        <x:f>IF(J10="","",IFERROR(VLOOKUP(J10,'02 Skill Catalogue'!$A$6:$K$95,4,FALSE),"Skill ID not found"))</x:f>
      </x:c>
      <x:c r="L10" s="25" t="str">
        <x:f>IF(I10="","",IFERROR(VLOOKUP(I10,'03 Position Requirements'!$A$6:$R$285,8,FALSE),"No Requirement"))</x:f>
      </x:c>
      <x:c r="M10" s="29" t="str">
        <x:f>IF(I10="","",IFERROR(VLOOKUP(I10,'03 Position Requirements'!$A$6:$R$285,9,FALSE),""))</x:f>
      </x:c>
      <x:c r="N10" s="25" t="str">
        <x:f>IF(I10="","",IFERROR(VLOOKUP(I10,'03 Position Requirements'!$A$6:$R$285,10,FALSE),""))</x:f>
      </x:c>
      <x:c r="O10" s="24"/>
      <x:c r="P10" s="25" t="str">
        <x:f>IF(OR(N10="",O10=""),"",MAX(N10-O10,0))</x:f>
      </x:c>
      <x:c r="Q10" s="30" t="str">
        <x:f>IF(P10="","",P10*M10)</x:f>
      </x:c>
      <x:c r="R10" s="30" t="str">
        <x:f>IF(OR(P10="",L10=""),"",P10*M10*IFERROR(VLOOKUP(L10,'99 Lists'!$A$19:$B$21,2,FALSE),1))</x:f>
      </x:c>
      <x:c r="S10" s="25" t="str">
        <x:f>IF(A10="","",IF(O10="","Not Assessed",IF(P10=0,"Meets / Exceeds",IF(P10=1,"Minor Gap",IF(P10=2,"Major Gap","Critical Gap")))))</x:f>
      </x:c>
      <x:c r="T10" s="24"/>
      <x:c r="U10" s="27"/>
      <x:c r="V10" s="24"/>
      <x:c r="W10" s="24"/>
      <x:c r="X10" s="24"/>
      <x:c r="Y10" s="26"/>
      <x:c r="Z10" s="31" t="str">
        <x:f>IF(B10="","",IF(Y10&lt;&gt;"",Y10,EDATE(B10,IFERROR(VLOOKUP(I10,'03 Position Requirements'!$A$6:$R$285,12,FALSE),12))))</x:f>
      </x:c>
      <x:c r="AA10" s="25" t="str">
        <x:f>IF(OR(B10="",D10="",J10=""),"",IF(COUNTIFS($D$6:$D$155,D10,$J$6:$J$155,J10,$B$6:$B$155,"&gt;"&amp;B10)=0,"Yes","No"))</x:f>
      </x:c>
      <x:c r="AB10" s="25" t="str">
        <x:f>IF(AA10="","",IF(AND(AA10="Yes",OR(P10&gt;0,AD10="Expired")),"Yes","No"))</x:f>
      </x:c>
      <x:c r="AC10" s="25" t="str">
        <x:f>IF(Z10="","",Z10-TODAY())</x:f>
      </x:c>
      <x:c r="AD10" s="25" t="str">
        <x:f>IF(A10="","",IF(O10="","Not Assessed",IF(Z10&lt;TODAY(),"Expired",IF(Z10&lt;=TODAY()+30,"Due Soon","Current"))))</x:f>
      </x:c>
      <x:c r="AE10" s="24"/>
    </x:row>
    <x:row r="11">
      <x:c r="A11" s="24"/>
      <x:c r="B11" s="26"/>
      <x:c r="C11" s="24"/>
      <x:c r="D11" s="24"/>
      <x:c r="E11" s="25" t="str">
        <x:f>IF(D11="","",IFERROR(VLOOKUP(D11,'01 Staff Master'!$A$6:$M$105,2,FALSE),"Staff ID not found"))</x:f>
      </x:c>
      <x:c r="F11" s="25" t="str">
        <x:f>IF(D11="","",IFERROR(VLOOKUP(D11,'01 Staff Master'!$A$6:$M$105,3,FALSE),""))</x:f>
      </x:c>
      <x:c r="G11" s="25" t="str">
        <x:f>IF(D11="","",IFERROR(VLOOKUP(D11,'01 Staff Master'!$A$6:$M$105,5,FALSE),""))</x:f>
      </x:c>
      <x:c r="H11" s="25" t="str">
        <x:f>IF(D11="","",IFERROR(VLOOKUP(D11,'01 Staff Master'!$A$6:$M$105,6,FALSE),""))</x:f>
      </x:c>
      <x:c r="I11" s="25" t="str">
        <x:f>IF(OR(F11="",G11="",J11=""),"",F11&amp;"|"&amp;G11&amp;"|"&amp;J11)</x:f>
      </x:c>
      <x:c r="J11" s="24"/>
      <x:c r="K11" s="25" t="str">
        <x:f>IF(J11="","",IFERROR(VLOOKUP(J11,'02 Skill Catalogue'!$A$6:$K$95,4,FALSE),"Skill ID not found"))</x:f>
      </x:c>
      <x:c r="L11" s="25" t="str">
        <x:f>IF(I11="","",IFERROR(VLOOKUP(I11,'03 Position Requirements'!$A$6:$R$285,8,FALSE),"No Requirement"))</x:f>
      </x:c>
      <x:c r="M11" s="29" t="str">
        <x:f>IF(I11="","",IFERROR(VLOOKUP(I11,'03 Position Requirements'!$A$6:$R$285,9,FALSE),""))</x:f>
      </x:c>
      <x:c r="N11" s="25" t="str">
        <x:f>IF(I11="","",IFERROR(VLOOKUP(I11,'03 Position Requirements'!$A$6:$R$285,10,FALSE),""))</x:f>
      </x:c>
      <x:c r="O11" s="24"/>
      <x:c r="P11" s="25" t="str">
        <x:f>IF(OR(N11="",O11=""),"",MAX(N11-O11,0))</x:f>
      </x:c>
      <x:c r="Q11" s="30" t="str">
        <x:f>IF(P11="","",P11*M11)</x:f>
      </x:c>
      <x:c r="R11" s="30" t="str">
        <x:f>IF(OR(P11="",L11=""),"",P11*M11*IFERROR(VLOOKUP(L11,'99 Lists'!$A$19:$B$21,2,FALSE),1))</x:f>
      </x:c>
      <x:c r="S11" s="25" t="str">
        <x:f>IF(A11="","",IF(O11="","Not Assessed",IF(P11=0,"Meets / Exceeds",IF(P11=1,"Minor Gap",IF(P11=2,"Major Gap","Critical Gap")))))</x:f>
      </x:c>
      <x:c r="T11" s="24"/>
      <x:c r="U11" s="27"/>
      <x:c r="V11" s="24"/>
      <x:c r="W11" s="24"/>
      <x:c r="X11" s="24"/>
      <x:c r="Y11" s="26"/>
      <x:c r="Z11" s="31" t="str">
        <x:f>IF(B11="","",IF(Y11&lt;&gt;"",Y11,EDATE(B11,IFERROR(VLOOKUP(I11,'03 Position Requirements'!$A$6:$R$285,12,FALSE),12))))</x:f>
      </x:c>
      <x:c r="AA11" s="25" t="str">
        <x:f>IF(OR(B11="",D11="",J11=""),"",IF(COUNTIFS($D$6:$D$155,D11,$J$6:$J$155,J11,$B$6:$B$155,"&gt;"&amp;B11)=0,"Yes","No"))</x:f>
      </x:c>
      <x:c r="AB11" s="25" t="str">
        <x:f>IF(AA11="","",IF(AND(AA11="Yes",OR(P11&gt;0,AD11="Expired")),"Yes","No"))</x:f>
      </x:c>
      <x:c r="AC11" s="25" t="str">
        <x:f>IF(Z11="","",Z11-TODAY())</x:f>
      </x:c>
      <x:c r="AD11" s="25" t="str">
        <x:f>IF(A11="","",IF(O11="","Not Assessed",IF(Z11&lt;TODAY(),"Expired",IF(Z11&lt;=TODAY()+30,"Due Soon","Current"))))</x:f>
      </x:c>
      <x:c r="AE11" s="24"/>
    </x:row>
    <x:row r="12">
      <x:c r="A12" s="24"/>
      <x:c r="B12" s="26"/>
      <x:c r="C12" s="24"/>
      <x:c r="D12" s="24"/>
      <x:c r="E12" s="25" t="str">
        <x:f>IF(D12="","",IFERROR(VLOOKUP(D12,'01 Staff Master'!$A$6:$M$105,2,FALSE),"Staff ID not found"))</x:f>
      </x:c>
      <x:c r="F12" s="25" t="str">
        <x:f>IF(D12="","",IFERROR(VLOOKUP(D12,'01 Staff Master'!$A$6:$M$105,3,FALSE),""))</x:f>
      </x:c>
      <x:c r="G12" s="25" t="str">
        <x:f>IF(D12="","",IFERROR(VLOOKUP(D12,'01 Staff Master'!$A$6:$M$105,5,FALSE),""))</x:f>
      </x:c>
      <x:c r="H12" s="25" t="str">
        <x:f>IF(D12="","",IFERROR(VLOOKUP(D12,'01 Staff Master'!$A$6:$M$105,6,FALSE),""))</x:f>
      </x:c>
      <x:c r="I12" s="25" t="str">
        <x:f>IF(OR(F12="",G12="",J12=""),"",F12&amp;"|"&amp;G12&amp;"|"&amp;J12)</x:f>
      </x:c>
      <x:c r="J12" s="24"/>
      <x:c r="K12" s="25" t="str">
        <x:f>IF(J12="","",IFERROR(VLOOKUP(J12,'02 Skill Catalogue'!$A$6:$K$95,4,FALSE),"Skill ID not found"))</x:f>
      </x:c>
      <x:c r="L12" s="25" t="str">
        <x:f>IF(I12="","",IFERROR(VLOOKUP(I12,'03 Position Requirements'!$A$6:$R$285,8,FALSE),"No Requirement"))</x:f>
      </x:c>
      <x:c r="M12" s="29" t="str">
        <x:f>IF(I12="","",IFERROR(VLOOKUP(I12,'03 Position Requirements'!$A$6:$R$285,9,FALSE),""))</x:f>
      </x:c>
      <x:c r="N12" s="25" t="str">
        <x:f>IF(I12="","",IFERROR(VLOOKUP(I12,'03 Position Requirements'!$A$6:$R$285,10,FALSE),""))</x:f>
      </x:c>
      <x:c r="O12" s="24"/>
      <x:c r="P12" s="25" t="str">
        <x:f>IF(OR(N12="",O12=""),"",MAX(N12-O12,0))</x:f>
      </x:c>
      <x:c r="Q12" s="30" t="str">
        <x:f>IF(P12="","",P12*M12)</x:f>
      </x:c>
      <x:c r="R12" s="30" t="str">
        <x:f>IF(OR(P12="",L12=""),"",P12*M12*IFERROR(VLOOKUP(L12,'99 Lists'!$A$19:$B$21,2,FALSE),1))</x:f>
      </x:c>
      <x:c r="S12" s="25" t="str">
        <x:f>IF(A12="","",IF(O12="","Not Assessed",IF(P12=0,"Meets / Exceeds",IF(P12=1,"Minor Gap",IF(P12=2,"Major Gap","Critical Gap")))))</x:f>
      </x:c>
      <x:c r="T12" s="24"/>
      <x:c r="U12" s="27"/>
      <x:c r="V12" s="24"/>
      <x:c r="W12" s="24"/>
      <x:c r="X12" s="24"/>
      <x:c r="Y12" s="26"/>
      <x:c r="Z12" s="31" t="str">
        <x:f>IF(B12="","",IF(Y12&lt;&gt;"",Y12,EDATE(B12,IFERROR(VLOOKUP(I12,'03 Position Requirements'!$A$6:$R$285,12,FALSE),12))))</x:f>
      </x:c>
      <x:c r="AA12" s="25" t="str">
        <x:f>IF(OR(B12="",D12="",J12=""),"",IF(COUNTIFS($D$6:$D$155,D12,$J$6:$J$155,J12,$B$6:$B$155,"&gt;"&amp;B12)=0,"Yes","No"))</x:f>
      </x:c>
      <x:c r="AB12" s="25" t="str">
        <x:f>IF(AA12="","",IF(AND(AA12="Yes",OR(P12&gt;0,AD12="Expired")),"Yes","No"))</x:f>
      </x:c>
      <x:c r="AC12" s="25" t="str">
        <x:f>IF(Z12="","",Z12-TODAY())</x:f>
      </x:c>
      <x:c r="AD12" s="25" t="str">
        <x:f>IF(A12="","",IF(O12="","Not Assessed",IF(Z12&lt;TODAY(),"Expired",IF(Z12&lt;=TODAY()+30,"Due Soon","Current"))))</x:f>
      </x:c>
      <x:c r="AE12" s="24"/>
    </x:row>
    <x:row r="13">
      <x:c r="A13" s="24"/>
      <x:c r="B13" s="26"/>
      <x:c r="C13" s="24"/>
      <x:c r="D13" s="24"/>
      <x:c r="E13" s="25" t="str">
        <x:f>IF(D13="","",IFERROR(VLOOKUP(D13,'01 Staff Master'!$A$6:$M$105,2,FALSE),"Staff ID not found"))</x:f>
      </x:c>
      <x:c r="F13" s="25" t="str">
        <x:f>IF(D13="","",IFERROR(VLOOKUP(D13,'01 Staff Master'!$A$6:$M$105,3,FALSE),""))</x:f>
      </x:c>
      <x:c r="G13" s="25" t="str">
        <x:f>IF(D13="","",IFERROR(VLOOKUP(D13,'01 Staff Master'!$A$6:$M$105,5,FALSE),""))</x:f>
      </x:c>
      <x:c r="H13" s="25" t="str">
        <x:f>IF(D13="","",IFERROR(VLOOKUP(D13,'01 Staff Master'!$A$6:$M$105,6,FALSE),""))</x:f>
      </x:c>
      <x:c r="I13" s="25" t="str">
        <x:f>IF(OR(F13="",G13="",J13=""),"",F13&amp;"|"&amp;G13&amp;"|"&amp;J13)</x:f>
      </x:c>
      <x:c r="J13" s="24"/>
      <x:c r="K13" s="25" t="str">
        <x:f>IF(J13="","",IFERROR(VLOOKUP(J13,'02 Skill Catalogue'!$A$6:$K$95,4,FALSE),"Skill ID not found"))</x:f>
      </x:c>
      <x:c r="L13" s="25" t="str">
        <x:f>IF(I13="","",IFERROR(VLOOKUP(I13,'03 Position Requirements'!$A$6:$R$285,8,FALSE),"No Requirement"))</x:f>
      </x:c>
      <x:c r="M13" s="29" t="str">
        <x:f>IF(I13="","",IFERROR(VLOOKUP(I13,'03 Position Requirements'!$A$6:$R$285,9,FALSE),""))</x:f>
      </x:c>
      <x:c r="N13" s="25" t="str">
        <x:f>IF(I13="","",IFERROR(VLOOKUP(I13,'03 Position Requirements'!$A$6:$R$285,10,FALSE),""))</x:f>
      </x:c>
      <x:c r="O13" s="24"/>
      <x:c r="P13" s="25" t="str">
        <x:f>IF(OR(N13="",O13=""),"",MAX(N13-O13,0))</x:f>
      </x:c>
      <x:c r="Q13" s="30" t="str">
        <x:f>IF(P13="","",P13*M13)</x:f>
      </x:c>
      <x:c r="R13" s="30" t="str">
        <x:f>IF(OR(P13="",L13=""),"",P13*M13*IFERROR(VLOOKUP(L13,'99 Lists'!$A$19:$B$21,2,FALSE),1))</x:f>
      </x:c>
      <x:c r="S13" s="25" t="str">
        <x:f>IF(A13="","",IF(O13="","Not Assessed",IF(P13=0,"Meets / Exceeds",IF(P13=1,"Minor Gap",IF(P13=2,"Major Gap","Critical Gap")))))</x:f>
      </x:c>
      <x:c r="T13" s="24"/>
      <x:c r="U13" s="27"/>
      <x:c r="V13" s="24"/>
      <x:c r="W13" s="24"/>
      <x:c r="X13" s="24"/>
      <x:c r="Y13" s="26"/>
      <x:c r="Z13" s="31" t="str">
        <x:f>IF(B13="","",IF(Y13&lt;&gt;"",Y13,EDATE(B13,IFERROR(VLOOKUP(I13,'03 Position Requirements'!$A$6:$R$285,12,FALSE),12))))</x:f>
      </x:c>
      <x:c r="AA13" s="25" t="str">
        <x:f>IF(OR(B13="",D13="",J13=""),"",IF(COUNTIFS($D$6:$D$155,D13,$J$6:$J$155,J13,$B$6:$B$155,"&gt;"&amp;B13)=0,"Yes","No"))</x:f>
      </x:c>
      <x:c r="AB13" s="25" t="str">
        <x:f>IF(AA13="","",IF(AND(AA13="Yes",OR(P13&gt;0,AD13="Expired")),"Yes","No"))</x:f>
      </x:c>
      <x:c r="AC13" s="25" t="str">
        <x:f>IF(Z13="","",Z13-TODAY())</x:f>
      </x:c>
      <x:c r="AD13" s="25" t="str">
        <x:f>IF(A13="","",IF(O13="","Not Assessed",IF(Z13&lt;TODAY(),"Expired",IF(Z13&lt;=TODAY()+30,"Due Soon","Current"))))</x:f>
      </x:c>
      <x:c r="AE13" s="24"/>
    </x:row>
    <x:row r="14">
      <x:c r="A14" s="24"/>
      <x:c r="B14" s="26"/>
      <x:c r="C14" s="24"/>
      <x:c r="D14" s="24"/>
      <x:c r="E14" s="25" t="str">
        <x:f>IF(D14="","",IFERROR(VLOOKUP(D14,'01 Staff Master'!$A$6:$M$105,2,FALSE),"Staff ID not found"))</x:f>
      </x:c>
      <x:c r="F14" s="25" t="str">
        <x:f>IF(D14="","",IFERROR(VLOOKUP(D14,'01 Staff Master'!$A$6:$M$105,3,FALSE),""))</x:f>
      </x:c>
      <x:c r="G14" s="25" t="str">
        <x:f>IF(D14="","",IFERROR(VLOOKUP(D14,'01 Staff Master'!$A$6:$M$105,5,FALSE),""))</x:f>
      </x:c>
      <x:c r="H14" s="25" t="str">
        <x:f>IF(D14="","",IFERROR(VLOOKUP(D14,'01 Staff Master'!$A$6:$M$105,6,FALSE),""))</x:f>
      </x:c>
      <x:c r="I14" s="25" t="str">
        <x:f>IF(OR(F14="",G14="",J14=""),"",F14&amp;"|"&amp;G14&amp;"|"&amp;J14)</x:f>
      </x:c>
      <x:c r="J14" s="24"/>
      <x:c r="K14" s="25" t="str">
        <x:f>IF(J14="","",IFERROR(VLOOKUP(J14,'02 Skill Catalogue'!$A$6:$K$95,4,FALSE),"Skill ID not found"))</x:f>
      </x:c>
      <x:c r="L14" s="25" t="str">
        <x:f>IF(I14="","",IFERROR(VLOOKUP(I14,'03 Position Requirements'!$A$6:$R$285,8,FALSE),"No Requirement"))</x:f>
      </x:c>
      <x:c r="M14" s="29" t="str">
        <x:f>IF(I14="","",IFERROR(VLOOKUP(I14,'03 Position Requirements'!$A$6:$R$285,9,FALSE),""))</x:f>
      </x:c>
      <x:c r="N14" s="25" t="str">
        <x:f>IF(I14="","",IFERROR(VLOOKUP(I14,'03 Position Requirements'!$A$6:$R$285,10,FALSE),""))</x:f>
      </x:c>
      <x:c r="O14" s="24"/>
      <x:c r="P14" s="25" t="str">
        <x:f>IF(OR(N14="",O14=""),"",MAX(N14-O14,0))</x:f>
      </x:c>
      <x:c r="Q14" s="30" t="str">
        <x:f>IF(P14="","",P14*M14)</x:f>
      </x:c>
      <x:c r="R14" s="30" t="str">
        <x:f>IF(OR(P14="",L14=""),"",P14*M14*IFERROR(VLOOKUP(L14,'99 Lists'!$A$19:$B$21,2,FALSE),1))</x:f>
      </x:c>
      <x:c r="S14" s="25" t="str">
        <x:f>IF(A14="","",IF(O14="","Not Assessed",IF(P14=0,"Meets / Exceeds",IF(P14=1,"Minor Gap",IF(P14=2,"Major Gap","Critical Gap")))))</x:f>
      </x:c>
      <x:c r="T14" s="24"/>
      <x:c r="U14" s="27"/>
      <x:c r="V14" s="24"/>
      <x:c r="W14" s="24"/>
      <x:c r="X14" s="24"/>
      <x:c r="Y14" s="26"/>
      <x:c r="Z14" s="31" t="str">
        <x:f>IF(B14="","",IF(Y14&lt;&gt;"",Y14,EDATE(B14,IFERROR(VLOOKUP(I14,'03 Position Requirements'!$A$6:$R$285,12,FALSE),12))))</x:f>
      </x:c>
      <x:c r="AA14" s="25" t="str">
        <x:f>IF(OR(B14="",D14="",J14=""),"",IF(COUNTIFS($D$6:$D$155,D14,$J$6:$J$155,J14,$B$6:$B$155,"&gt;"&amp;B14)=0,"Yes","No"))</x:f>
      </x:c>
      <x:c r="AB14" s="25" t="str">
        <x:f>IF(AA14="","",IF(AND(AA14="Yes",OR(P14&gt;0,AD14="Expired")),"Yes","No"))</x:f>
      </x:c>
      <x:c r="AC14" s="25" t="str">
        <x:f>IF(Z14="","",Z14-TODAY())</x:f>
      </x:c>
      <x:c r="AD14" s="25" t="str">
        <x:f>IF(A14="","",IF(O14="","Not Assessed",IF(Z14&lt;TODAY(),"Expired",IF(Z14&lt;=TODAY()+30,"Due Soon","Current"))))</x:f>
      </x:c>
      <x:c r="AE14" s="24"/>
    </x:row>
    <x:row r="15">
      <x:c r="A15" s="24"/>
      <x:c r="B15" s="26"/>
      <x:c r="C15" s="24"/>
      <x:c r="D15" s="24"/>
      <x:c r="E15" s="25" t="str">
        <x:f>IF(D15="","",IFERROR(VLOOKUP(D15,'01 Staff Master'!$A$6:$M$105,2,FALSE),"Staff ID not found"))</x:f>
      </x:c>
      <x:c r="F15" s="25" t="str">
        <x:f>IF(D15="","",IFERROR(VLOOKUP(D15,'01 Staff Master'!$A$6:$M$105,3,FALSE),""))</x:f>
      </x:c>
      <x:c r="G15" s="25" t="str">
        <x:f>IF(D15="","",IFERROR(VLOOKUP(D15,'01 Staff Master'!$A$6:$M$105,5,FALSE),""))</x:f>
      </x:c>
      <x:c r="H15" s="25" t="str">
        <x:f>IF(D15="","",IFERROR(VLOOKUP(D15,'01 Staff Master'!$A$6:$M$105,6,FALSE),""))</x:f>
      </x:c>
      <x:c r="I15" s="25" t="str">
        <x:f>IF(OR(F15="",G15="",J15=""),"",F15&amp;"|"&amp;G15&amp;"|"&amp;J15)</x:f>
      </x:c>
      <x:c r="J15" s="24"/>
      <x:c r="K15" s="25" t="str">
        <x:f>IF(J15="","",IFERROR(VLOOKUP(J15,'02 Skill Catalogue'!$A$6:$K$95,4,FALSE),"Skill ID not found"))</x:f>
      </x:c>
      <x:c r="L15" s="25" t="str">
        <x:f>IF(I15="","",IFERROR(VLOOKUP(I15,'03 Position Requirements'!$A$6:$R$285,8,FALSE),"No Requirement"))</x:f>
      </x:c>
      <x:c r="M15" s="29" t="str">
        <x:f>IF(I15="","",IFERROR(VLOOKUP(I15,'03 Position Requirements'!$A$6:$R$285,9,FALSE),""))</x:f>
      </x:c>
      <x:c r="N15" s="25" t="str">
        <x:f>IF(I15="","",IFERROR(VLOOKUP(I15,'03 Position Requirements'!$A$6:$R$285,10,FALSE),""))</x:f>
      </x:c>
      <x:c r="O15" s="24"/>
      <x:c r="P15" s="25" t="str">
        <x:f>IF(OR(N15="",O15=""),"",MAX(N15-O15,0))</x:f>
      </x:c>
      <x:c r="Q15" s="30" t="str">
        <x:f>IF(P15="","",P15*M15)</x:f>
      </x:c>
      <x:c r="R15" s="30" t="str">
        <x:f>IF(OR(P15="",L15=""),"",P15*M15*IFERROR(VLOOKUP(L15,'99 Lists'!$A$19:$B$21,2,FALSE),1))</x:f>
      </x:c>
      <x:c r="S15" s="25" t="str">
        <x:f>IF(A15="","",IF(O15="","Not Assessed",IF(P15=0,"Meets / Exceeds",IF(P15=1,"Minor Gap",IF(P15=2,"Major Gap","Critical Gap")))))</x:f>
      </x:c>
      <x:c r="T15" s="24"/>
      <x:c r="U15" s="27"/>
      <x:c r="V15" s="24"/>
      <x:c r="W15" s="24"/>
      <x:c r="X15" s="24"/>
      <x:c r="Y15" s="26"/>
      <x:c r="Z15" s="31" t="str">
        <x:f>IF(B15="","",IF(Y15&lt;&gt;"",Y15,EDATE(B15,IFERROR(VLOOKUP(I15,'03 Position Requirements'!$A$6:$R$285,12,FALSE),12))))</x:f>
      </x:c>
      <x:c r="AA15" s="25" t="str">
        <x:f>IF(OR(B15="",D15="",J15=""),"",IF(COUNTIFS($D$6:$D$155,D15,$J$6:$J$155,J15,$B$6:$B$155,"&gt;"&amp;B15)=0,"Yes","No"))</x:f>
      </x:c>
      <x:c r="AB15" s="25" t="str">
        <x:f>IF(AA15="","",IF(AND(AA15="Yes",OR(P15&gt;0,AD15="Expired")),"Yes","No"))</x:f>
      </x:c>
      <x:c r="AC15" s="25" t="str">
        <x:f>IF(Z15="","",Z15-TODAY())</x:f>
      </x:c>
      <x:c r="AD15" s="25" t="str">
        <x:f>IF(A15="","",IF(O15="","Not Assessed",IF(Z15&lt;TODAY(),"Expired",IF(Z15&lt;=TODAY()+30,"Due Soon","Current"))))</x:f>
      </x:c>
      <x:c r="AE15" s="24"/>
    </x:row>
    <x:row r="16">
      <x:c r="A16" s="24"/>
      <x:c r="B16" s="26"/>
      <x:c r="C16" s="24"/>
      <x:c r="D16" s="24"/>
      <x:c r="E16" s="25" t="str">
        <x:f>IF(D16="","",IFERROR(VLOOKUP(D16,'01 Staff Master'!$A$6:$M$105,2,FALSE),"Staff ID not found"))</x:f>
      </x:c>
      <x:c r="F16" s="25" t="str">
        <x:f>IF(D16="","",IFERROR(VLOOKUP(D16,'01 Staff Master'!$A$6:$M$105,3,FALSE),""))</x:f>
      </x:c>
      <x:c r="G16" s="25" t="str">
        <x:f>IF(D16="","",IFERROR(VLOOKUP(D16,'01 Staff Master'!$A$6:$M$105,5,FALSE),""))</x:f>
      </x:c>
      <x:c r="H16" s="25" t="str">
        <x:f>IF(D16="","",IFERROR(VLOOKUP(D16,'01 Staff Master'!$A$6:$M$105,6,FALSE),""))</x:f>
      </x:c>
      <x:c r="I16" s="25" t="str">
        <x:f>IF(OR(F16="",G16="",J16=""),"",F16&amp;"|"&amp;G16&amp;"|"&amp;J16)</x:f>
      </x:c>
      <x:c r="J16" s="24"/>
      <x:c r="K16" s="25" t="str">
        <x:f>IF(J16="","",IFERROR(VLOOKUP(J16,'02 Skill Catalogue'!$A$6:$K$95,4,FALSE),"Skill ID not found"))</x:f>
      </x:c>
      <x:c r="L16" s="25" t="str">
        <x:f>IF(I16="","",IFERROR(VLOOKUP(I16,'03 Position Requirements'!$A$6:$R$285,8,FALSE),"No Requirement"))</x:f>
      </x:c>
      <x:c r="M16" s="29" t="str">
        <x:f>IF(I16="","",IFERROR(VLOOKUP(I16,'03 Position Requirements'!$A$6:$R$285,9,FALSE),""))</x:f>
      </x:c>
      <x:c r="N16" s="25" t="str">
        <x:f>IF(I16="","",IFERROR(VLOOKUP(I16,'03 Position Requirements'!$A$6:$R$285,10,FALSE),""))</x:f>
      </x:c>
      <x:c r="O16" s="24"/>
      <x:c r="P16" s="25" t="str">
        <x:f>IF(OR(N16="",O16=""),"",MAX(N16-O16,0))</x:f>
      </x:c>
      <x:c r="Q16" s="30" t="str">
        <x:f>IF(P16="","",P16*M16)</x:f>
      </x:c>
      <x:c r="R16" s="30" t="str">
        <x:f>IF(OR(P16="",L16=""),"",P16*M16*IFERROR(VLOOKUP(L16,'99 Lists'!$A$19:$B$21,2,FALSE),1))</x:f>
      </x:c>
      <x:c r="S16" s="25" t="str">
        <x:f>IF(A16="","",IF(O16="","Not Assessed",IF(P16=0,"Meets / Exceeds",IF(P16=1,"Minor Gap",IF(P16=2,"Major Gap","Critical Gap")))))</x:f>
      </x:c>
      <x:c r="T16" s="24"/>
      <x:c r="U16" s="27"/>
      <x:c r="V16" s="24"/>
      <x:c r="W16" s="24"/>
      <x:c r="X16" s="24"/>
      <x:c r="Y16" s="26"/>
      <x:c r="Z16" s="31" t="str">
        <x:f>IF(B16="","",IF(Y16&lt;&gt;"",Y16,EDATE(B16,IFERROR(VLOOKUP(I16,'03 Position Requirements'!$A$6:$R$285,12,FALSE),12))))</x:f>
      </x:c>
      <x:c r="AA16" s="25" t="str">
        <x:f>IF(OR(B16="",D16="",J16=""),"",IF(COUNTIFS($D$6:$D$155,D16,$J$6:$J$155,J16,$B$6:$B$155,"&gt;"&amp;B16)=0,"Yes","No"))</x:f>
      </x:c>
      <x:c r="AB16" s="25" t="str">
        <x:f>IF(AA16="","",IF(AND(AA16="Yes",OR(P16&gt;0,AD16="Expired")),"Yes","No"))</x:f>
      </x:c>
      <x:c r="AC16" s="25" t="str">
        <x:f>IF(Z16="","",Z16-TODAY())</x:f>
      </x:c>
      <x:c r="AD16" s="25" t="str">
        <x:f>IF(A16="","",IF(O16="","Not Assessed",IF(Z16&lt;TODAY(),"Expired",IF(Z16&lt;=TODAY()+30,"Due Soon","Current"))))</x:f>
      </x:c>
      <x:c r="AE16" s="24"/>
    </x:row>
    <x:row r="17">
      <x:c r="A17" s="24"/>
      <x:c r="B17" s="26"/>
      <x:c r="C17" s="24"/>
      <x:c r="D17" s="24"/>
      <x:c r="E17" s="25" t="str">
        <x:f>IF(D17="","",IFERROR(VLOOKUP(D17,'01 Staff Master'!$A$6:$M$105,2,FALSE),"Staff ID not found"))</x:f>
      </x:c>
      <x:c r="F17" s="25" t="str">
        <x:f>IF(D17="","",IFERROR(VLOOKUP(D17,'01 Staff Master'!$A$6:$M$105,3,FALSE),""))</x:f>
      </x:c>
      <x:c r="G17" s="25" t="str">
        <x:f>IF(D17="","",IFERROR(VLOOKUP(D17,'01 Staff Master'!$A$6:$M$105,5,FALSE),""))</x:f>
      </x:c>
      <x:c r="H17" s="25" t="str">
        <x:f>IF(D17="","",IFERROR(VLOOKUP(D17,'01 Staff Master'!$A$6:$M$105,6,FALSE),""))</x:f>
      </x:c>
      <x:c r="I17" s="25" t="str">
        <x:f>IF(OR(F17="",G17="",J17=""),"",F17&amp;"|"&amp;G17&amp;"|"&amp;J17)</x:f>
      </x:c>
      <x:c r="J17" s="24"/>
      <x:c r="K17" s="25" t="str">
        <x:f>IF(J17="","",IFERROR(VLOOKUP(J17,'02 Skill Catalogue'!$A$6:$K$95,4,FALSE),"Skill ID not found"))</x:f>
      </x:c>
      <x:c r="L17" s="25" t="str">
        <x:f>IF(I17="","",IFERROR(VLOOKUP(I17,'03 Position Requirements'!$A$6:$R$285,8,FALSE),"No Requirement"))</x:f>
      </x:c>
      <x:c r="M17" s="29" t="str">
        <x:f>IF(I17="","",IFERROR(VLOOKUP(I17,'03 Position Requirements'!$A$6:$R$285,9,FALSE),""))</x:f>
      </x:c>
      <x:c r="N17" s="25" t="str">
        <x:f>IF(I17="","",IFERROR(VLOOKUP(I17,'03 Position Requirements'!$A$6:$R$285,10,FALSE),""))</x:f>
      </x:c>
      <x:c r="O17" s="24"/>
      <x:c r="P17" s="25" t="str">
        <x:f>IF(OR(N17="",O17=""),"",MAX(N17-O17,0))</x:f>
      </x:c>
      <x:c r="Q17" s="30" t="str">
        <x:f>IF(P17="","",P17*M17)</x:f>
      </x:c>
      <x:c r="R17" s="30" t="str">
        <x:f>IF(OR(P17="",L17=""),"",P17*M17*IFERROR(VLOOKUP(L17,'99 Lists'!$A$19:$B$21,2,FALSE),1))</x:f>
      </x:c>
      <x:c r="S17" s="25" t="str">
        <x:f>IF(A17="","",IF(O17="","Not Assessed",IF(P17=0,"Meets / Exceeds",IF(P17=1,"Minor Gap",IF(P17=2,"Major Gap","Critical Gap")))))</x:f>
      </x:c>
      <x:c r="T17" s="24"/>
      <x:c r="U17" s="27"/>
      <x:c r="V17" s="24"/>
      <x:c r="W17" s="24"/>
      <x:c r="X17" s="24"/>
      <x:c r="Y17" s="26"/>
      <x:c r="Z17" s="31" t="str">
        <x:f>IF(B17="","",IF(Y17&lt;&gt;"",Y17,EDATE(B17,IFERROR(VLOOKUP(I17,'03 Position Requirements'!$A$6:$R$285,12,FALSE),12))))</x:f>
      </x:c>
      <x:c r="AA17" s="25" t="str">
        <x:f>IF(OR(B17="",D17="",J17=""),"",IF(COUNTIFS($D$6:$D$155,D17,$J$6:$J$155,J17,$B$6:$B$155,"&gt;"&amp;B17)=0,"Yes","No"))</x:f>
      </x:c>
      <x:c r="AB17" s="25" t="str">
        <x:f>IF(AA17="","",IF(AND(AA17="Yes",OR(P17&gt;0,AD17="Expired")),"Yes","No"))</x:f>
      </x:c>
      <x:c r="AC17" s="25" t="str">
        <x:f>IF(Z17="","",Z17-TODAY())</x:f>
      </x:c>
      <x:c r="AD17" s="25" t="str">
        <x:f>IF(A17="","",IF(O17="","Not Assessed",IF(Z17&lt;TODAY(),"Expired",IF(Z17&lt;=TODAY()+30,"Due Soon","Current"))))</x:f>
      </x:c>
      <x:c r="AE17" s="24"/>
    </x:row>
    <x:row r="18">
      <x:c r="A18" s="24"/>
      <x:c r="B18" s="26"/>
      <x:c r="C18" s="24"/>
      <x:c r="D18" s="24"/>
      <x:c r="E18" s="25" t="str">
        <x:f>IF(D18="","",IFERROR(VLOOKUP(D18,'01 Staff Master'!$A$6:$M$105,2,FALSE),"Staff ID not found"))</x:f>
      </x:c>
      <x:c r="F18" s="25" t="str">
        <x:f>IF(D18="","",IFERROR(VLOOKUP(D18,'01 Staff Master'!$A$6:$M$105,3,FALSE),""))</x:f>
      </x:c>
      <x:c r="G18" s="25" t="str">
        <x:f>IF(D18="","",IFERROR(VLOOKUP(D18,'01 Staff Master'!$A$6:$M$105,5,FALSE),""))</x:f>
      </x:c>
      <x:c r="H18" s="25" t="str">
        <x:f>IF(D18="","",IFERROR(VLOOKUP(D18,'01 Staff Master'!$A$6:$M$105,6,FALSE),""))</x:f>
      </x:c>
      <x:c r="I18" s="25" t="str">
        <x:f>IF(OR(F18="",G18="",J18=""),"",F18&amp;"|"&amp;G18&amp;"|"&amp;J18)</x:f>
      </x:c>
      <x:c r="J18" s="24"/>
      <x:c r="K18" s="25" t="str">
        <x:f>IF(J18="","",IFERROR(VLOOKUP(J18,'02 Skill Catalogue'!$A$6:$K$95,4,FALSE),"Skill ID not found"))</x:f>
      </x:c>
      <x:c r="L18" s="25" t="str">
        <x:f>IF(I18="","",IFERROR(VLOOKUP(I18,'03 Position Requirements'!$A$6:$R$285,8,FALSE),"No Requirement"))</x:f>
      </x:c>
      <x:c r="M18" s="29" t="str">
        <x:f>IF(I18="","",IFERROR(VLOOKUP(I18,'03 Position Requirements'!$A$6:$R$285,9,FALSE),""))</x:f>
      </x:c>
      <x:c r="N18" s="25" t="str">
        <x:f>IF(I18="","",IFERROR(VLOOKUP(I18,'03 Position Requirements'!$A$6:$R$285,10,FALSE),""))</x:f>
      </x:c>
      <x:c r="O18" s="24"/>
      <x:c r="P18" s="25" t="str">
        <x:f>IF(OR(N18="",O18=""),"",MAX(N18-O18,0))</x:f>
      </x:c>
      <x:c r="Q18" s="30" t="str">
        <x:f>IF(P18="","",P18*M18)</x:f>
      </x:c>
      <x:c r="R18" s="30" t="str">
        <x:f>IF(OR(P18="",L18=""),"",P18*M18*IFERROR(VLOOKUP(L18,'99 Lists'!$A$19:$B$21,2,FALSE),1))</x:f>
      </x:c>
      <x:c r="S18" s="25" t="str">
        <x:f>IF(A18="","",IF(O18="","Not Assessed",IF(P18=0,"Meets / Exceeds",IF(P18=1,"Minor Gap",IF(P18=2,"Major Gap","Critical Gap")))))</x:f>
      </x:c>
      <x:c r="T18" s="24"/>
      <x:c r="U18" s="27"/>
      <x:c r="V18" s="24"/>
      <x:c r="W18" s="24"/>
      <x:c r="X18" s="24"/>
      <x:c r="Y18" s="26"/>
      <x:c r="Z18" s="31" t="str">
        <x:f>IF(B18="","",IF(Y18&lt;&gt;"",Y18,EDATE(B18,IFERROR(VLOOKUP(I18,'03 Position Requirements'!$A$6:$R$285,12,FALSE),12))))</x:f>
      </x:c>
      <x:c r="AA18" s="25" t="str">
        <x:f>IF(OR(B18="",D18="",J18=""),"",IF(COUNTIFS($D$6:$D$155,D18,$J$6:$J$155,J18,$B$6:$B$155,"&gt;"&amp;B18)=0,"Yes","No"))</x:f>
      </x:c>
      <x:c r="AB18" s="25" t="str">
        <x:f>IF(AA18="","",IF(AND(AA18="Yes",OR(P18&gt;0,AD18="Expired")),"Yes","No"))</x:f>
      </x:c>
      <x:c r="AC18" s="25" t="str">
        <x:f>IF(Z18="","",Z18-TODAY())</x:f>
      </x:c>
      <x:c r="AD18" s="25" t="str">
        <x:f>IF(A18="","",IF(O18="","Not Assessed",IF(Z18&lt;TODAY(),"Expired",IF(Z18&lt;=TODAY()+30,"Due Soon","Current"))))</x:f>
      </x:c>
      <x:c r="AE18" s="24"/>
    </x:row>
    <x:row r="19">
      <x:c r="A19" s="24"/>
      <x:c r="B19" s="26"/>
      <x:c r="C19" s="24"/>
      <x:c r="D19" s="24"/>
      <x:c r="E19" s="25" t="str">
        <x:f>IF(D19="","",IFERROR(VLOOKUP(D19,'01 Staff Master'!$A$6:$M$105,2,FALSE),"Staff ID not found"))</x:f>
      </x:c>
      <x:c r="F19" s="25" t="str">
        <x:f>IF(D19="","",IFERROR(VLOOKUP(D19,'01 Staff Master'!$A$6:$M$105,3,FALSE),""))</x:f>
      </x:c>
      <x:c r="G19" s="25" t="str">
        <x:f>IF(D19="","",IFERROR(VLOOKUP(D19,'01 Staff Master'!$A$6:$M$105,5,FALSE),""))</x:f>
      </x:c>
      <x:c r="H19" s="25" t="str">
        <x:f>IF(D19="","",IFERROR(VLOOKUP(D19,'01 Staff Master'!$A$6:$M$105,6,FALSE),""))</x:f>
      </x:c>
      <x:c r="I19" s="25" t="str">
        <x:f>IF(OR(F19="",G19="",J19=""),"",F19&amp;"|"&amp;G19&amp;"|"&amp;J19)</x:f>
      </x:c>
      <x:c r="J19" s="24"/>
      <x:c r="K19" s="25" t="str">
        <x:f>IF(J19="","",IFERROR(VLOOKUP(J19,'02 Skill Catalogue'!$A$6:$K$95,4,FALSE),"Skill ID not found"))</x:f>
      </x:c>
      <x:c r="L19" s="25" t="str">
        <x:f>IF(I19="","",IFERROR(VLOOKUP(I19,'03 Position Requirements'!$A$6:$R$285,8,FALSE),"No Requirement"))</x:f>
      </x:c>
      <x:c r="M19" s="29" t="str">
        <x:f>IF(I19="","",IFERROR(VLOOKUP(I19,'03 Position Requirements'!$A$6:$R$285,9,FALSE),""))</x:f>
      </x:c>
      <x:c r="N19" s="25" t="str">
        <x:f>IF(I19="","",IFERROR(VLOOKUP(I19,'03 Position Requirements'!$A$6:$R$285,10,FALSE),""))</x:f>
      </x:c>
      <x:c r="O19" s="24"/>
      <x:c r="P19" s="25" t="str">
        <x:f>IF(OR(N19="",O19=""),"",MAX(N19-O19,0))</x:f>
      </x:c>
      <x:c r="Q19" s="30" t="str">
        <x:f>IF(P19="","",P19*M19)</x:f>
      </x:c>
      <x:c r="R19" s="30" t="str">
        <x:f>IF(OR(P19="",L19=""),"",P19*M19*IFERROR(VLOOKUP(L19,'99 Lists'!$A$19:$B$21,2,FALSE),1))</x:f>
      </x:c>
      <x:c r="S19" s="25" t="str">
        <x:f>IF(A19="","",IF(O19="","Not Assessed",IF(P19=0,"Meets / Exceeds",IF(P19=1,"Minor Gap",IF(P19=2,"Major Gap","Critical Gap")))))</x:f>
      </x:c>
      <x:c r="T19" s="24"/>
      <x:c r="U19" s="27"/>
      <x:c r="V19" s="24"/>
      <x:c r="W19" s="24"/>
      <x:c r="X19" s="24"/>
      <x:c r="Y19" s="26"/>
      <x:c r="Z19" s="31" t="str">
        <x:f>IF(B19="","",IF(Y19&lt;&gt;"",Y19,EDATE(B19,IFERROR(VLOOKUP(I19,'03 Position Requirements'!$A$6:$R$285,12,FALSE),12))))</x:f>
      </x:c>
      <x:c r="AA19" s="25" t="str">
        <x:f>IF(OR(B19="",D19="",J19=""),"",IF(COUNTIFS($D$6:$D$155,D19,$J$6:$J$155,J19,$B$6:$B$155,"&gt;"&amp;B19)=0,"Yes","No"))</x:f>
      </x:c>
      <x:c r="AB19" s="25" t="str">
        <x:f>IF(AA19="","",IF(AND(AA19="Yes",OR(P19&gt;0,AD19="Expired")),"Yes","No"))</x:f>
      </x:c>
      <x:c r="AC19" s="25" t="str">
        <x:f>IF(Z19="","",Z19-TODAY())</x:f>
      </x:c>
      <x:c r="AD19" s="25" t="str">
        <x:f>IF(A19="","",IF(O19="","Not Assessed",IF(Z19&lt;TODAY(),"Expired",IF(Z19&lt;=TODAY()+30,"Due Soon","Current"))))</x:f>
      </x:c>
      <x:c r="AE19" s="24"/>
    </x:row>
    <x:row r="20">
      <x:c r="A20" s="24"/>
      <x:c r="B20" s="26"/>
      <x:c r="C20" s="24"/>
      <x:c r="D20" s="24"/>
      <x:c r="E20" s="25" t="str">
        <x:f>IF(D20="","",IFERROR(VLOOKUP(D20,'01 Staff Master'!$A$6:$M$105,2,FALSE),"Staff ID not found"))</x:f>
      </x:c>
      <x:c r="F20" s="25" t="str">
        <x:f>IF(D20="","",IFERROR(VLOOKUP(D20,'01 Staff Master'!$A$6:$M$105,3,FALSE),""))</x:f>
      </x:c>
      <x:c r="G20" s="25" t="str">
        <x:f>IF(D20="","",IFERROR(VLOOKUP(D20,'01 Staff Master'!$A$6:$M$105,5,FALSE),""))</x:f>
      </x:c>
      <x:c r="H20" s="25" t="str">
        <x:f>IF(D20="","",IFERROR(VLOOKUP(D20,'01 Staff Master'!$A$6:$M$105,6,FALSE),""))</x:f>
      </x:c>
      <x:c r="I20" s="25" t="str">
        <x:f>IF(OR(F20="",G20="",J20=""),"",F20&amp;"|"&amp;G20&amp;"|"&amp;J20)</x:f>
      </x:c>
      <x:c r="J20" s="24"/>
      <x:c r="K20" s="25" t="str">
        <x:f>IF(J20="","",IFERROR(VLOOKUP(J20,'02 Skill Catalogue'!$A$6:$K$95,4,FALSE),"Skill ID not found"))</x:f>
      </x:c>
      <x:c r="L20" s="25" t="str">
        <x:f>IF(I20="","",IFERROR(VLOOKUP(I20,'03 Position Requirements'!$A$6:$R$285,8,FALSE),"No Requirement"))</x:f>
      </x:c>
      <x:c r="M20" s="29" t="str">
        <x:f>IF(I20="","",IFERROR(VLOOKUP(I20,'03 Position Requirements'!$A$6:$R$285,9,FALSE),""))</x:f>
      </x:c>
      <x:c r="N20" s="25" t="str">
        <x:f>IF(I20="","",IFERROR(VLOOKUP(I20,'03 Position Requirements'!$A$6:$R$285,10,FALSE),""))</x:f>
      </x:c>
      <x:c r="O20" s="24"/>
      <x:c r="P20" s="25" t="str">
        <x:f>IF(OR(N20="",O20=""),"",MAX(N20-O20,0))</x:f>
      </x:c>
      <x:c r="Q20" s="30" t="str">
        <x:f>IF(P20="","",P20*M20)</x:f>
      </x:c>
      <x:c r="R20" s="30" t="str">
        <x:f>IF(OR(P20="",L20=""),"",P20*M20*IFERROR(VLOOKUP(L20,'99 Lists'!$A$19:$B$21,2,FALSE),1))</x:f>
      </x:c>
      <x:c r="S20" s="25" t="str">
        <x:f>IF(A20="","",IF(O20="","Not Assessed",IF(P20=0,"Meets / Exceeds",IF(P20=1,"Minor Gap",IF(P20=2,"Major Gap","Critical Gap")))))</x:f>
      </x:c>
      <x:c r="T20" s="24"/>
      <x:c r="U20" s="27"/>
      <x:c r="V20" s="24"/>
      <x:c r="W20" s="24"/>
      <x:c r="X20" s="24"/>
      <x:c r="Y20" s="26"/>
      <x:c r="Z20" s="31" t="str">
        <x:f>IF(B20="","",IF(Y20&lt;&gt;"",Y20,EDATE(B20,IFERROR(VLOOKUP(I20,'03 Position Requirements'!$A$6:$R$285,12,FALSE),12))))</x:f>
      </x:c>
      <x:c r="AA20" s="25" t="str">
        <x:f>IF(OR(B20="",D20="",J20=""),"",IF(COUNTIFS($D$6:$D$155,D20,$J$6:$J$155,J20,$B$6:$B$155,"&gt;"&amp;B20)=0,"Yes","No"))</x:f>
      </x:c>
      <x:c r="AB20" s="25" t="str">
        <x:f>IF(AA20="","",IF(AND(AA20="Yes",OR(P20&gt;0,AD20="Expired")),"Yes","No"))</x:f>
      </x:c>
      <x:c r="AC20" s="25" t="str">
        <x:f>IF(Z20="","",Z20-TODAY())</x:f>
      </x:c>
      <x:c r="AD20" s="25" t="str">
        <x:f>IF(A20="","",IF(O20="","Not Assessed",IF(Z20&lt;TODAY(),"Expired",IF(Z20&lt;=TODAY()+30,"Due Soon","Current"))))</x:f>
      </x:c>
      <x:c r="AE20" s="24"/>
    </x:row>
    <x:row r="21">
      <x:c r="A21" s="24"/>
      <x:c r="B21" s="26"/>
      <x:c r="C21" s="24"/>
      <x:c r="D21" s="24"/>
      <x:c r="E21" s="25" t="str">
        <x:f>IF(D21="","",IFERROR(VLOOKUP(D21,'01 Staff Master'!$A$6:$M$105,2,FALSE),"Staff ID not found"))</x:f>
      </x:c>
      <x:c r="F21" s="25" t="str">
        <x:f>IF(D21="","",IFERROR(VLOOKUP(D21,'01 Staff Master'!$A$6:$M$105,3,FALSE),""))</x:f>
      </x:c>
      <x:c r="G21" s="25" t="str">
        <x:f>IF(D21="","",IFERROR(VLOOKUP(D21,'01 Staff Master'!$A$6:$M$105,5,FALSE),""))</x:f>
      </x:c>
      <x:c r="H21" s="25" t="str">
        <x:f>IF(D21="","",IFERROR(VLOOKUP(D21,'01 Staff Master'!$A$6:$M$105,6,FALSE),""))</x:f>
      </x:c>
      <x:c r="I21" s="25" t="str">
        <x:f>IF(OR(F21="",G21="",J21=""),"",F21&amp;"|"&amp;G21&amp;"|"&amp;J21)</x:f>
      </x:c>
      <x:c r="J21" s="24"/>
      <x:c r="K21" s="25" t="str">
        <x:f>IF(J21="","",IFERROR(VLOOKUP(J21,'02 Skill Catalogue'!$A$6:$K$95,4,FALSE),"Skill ID not found"))</x:f>
      </x:c>
      <x:c r="L21" s="25" t="str">
        <x:f>IF(I21="","",IFERROR(VLOOKUP(I21,'03 Position Requirements'!$A$6:$R$285,8,FALSE),"No Requirement"))</x:f>
      </x:c>
      <x:c r="M21" s="29" t="str">
        <x:f>IF(I21="","",IFERROR(VLOOKUP(I21,'03 Position Requirements'!$A$6:$R$285,9,FALSE),""))</x:f>
      </x:c>
      <x:c r="N21" s="25" t="str">
        <x:f>IF(I21="","",IFERROR(VLOOKUP(I21,'03 Position Requirements'!$A$6:$R$285,10,FALSE),""))</x:f>
      </x:c>
      <x:c r="O21" s="24"/>
      <x:c r="P21" s="25" t="str">
        <x:f>IF(OR(N21="",O21=""),"",MAX(N21-O21,0))</x:f>
      </x:c>
      <x:c r="Q21" s="30" t="str">
        <x:f>IF(P21="","",P21*M21)</x:f>
      </x:c>
      <x:c r="R21" s="30" t="str">
        <x:f>IF(OR(P21="",L21=""),"",P21*M21*IFERROR(VLOOKUP(L21,'99 Lists'!$A$19:$B$21,2,FALSE),1))</x:f>
      </x:c>
      <x:c r="S21" s="25" t="str">
        <x:f>IF(A21="","",IF(O21="","Not Assessed",IF(P21=0,"Meets / Exceeds",IF(P21=1,"Minor Gap",IF(P21=2,"Major Gap","Critical Gap")))))</x:f>
      </x:c>
      <x:c r="T21" s="24"/>
      <x:c r="U21" s="27"/>
      <x:c r="V21" s="24"/>
      <x:c r="W21" s="24"/>
      <x:c r="X21" s="24"/>
      <x:c r="Y21" s="26"/>
      <x:c r="Z21" s="31" t="str">
        <x:f>IF(B21="","",IF(Y21&lt;&gt;"",Y21,EDATE(B21,IFERROR(VLOOKUP(I21,'03 Position Requirements'!$A$6:$R$285,12,FALSE),12))))</x:f>
      </x:c>
      <x:c r="AA21" s="25" t="str">
        <x:f>IF(OR(B21="",D21="",J21=""),"",IF(COUNTIFS($D$6:$D$155,D21,$J$6:$J$155,J21,$B$6:$B$155,"&gt;"&amp;B21)=0,"Yes","No"))</x:f>
      </x:c>
      <x:c r="AB21" s="25" t="str">
        <x:f>IF(AA21="","",IF(AND(AA21="Yes",OR(P21&gt;0,AD21="Expired")),"Yes","No"))</x:f>
      </x:c>
      <x:c r="AC21" s="25" t="str">
        <x:f>IF(Z21="","",Z21-TODAY())</x:f>
      </x:c>
      <x:c r="AD21" s="25" t="str">
        <x:f>IF(A21="","",IF(O21="","Not Assessed",IF(Z21&lt;TODAY(),"Expired",IF(Z21&lt;=TODAY()+30,"Due Soon","Current"))))</x:f>
      </x:c>
      <x:c r="AE21" s="24"/>
    </x:row>
    <x:row r="22">
      <x:c r="A22" s="24"/>
      <x:c r="B22" s="26"/>
      <x:c r="C22" s="24"/>
      <x:c r="D22" s="24"/>
      <x:c r="E22" s="25" t="str">
        <x:f>IF(D22="","",IFERROR(VLOOKUP(D22,'01 Staff Master'!$A$6:$M$105,2,FALSE),"Staff ID not found"))</x:f>
      </x:c>
      <x:c r="F22" s="25" t="str">
        <x:f>IF(D22="","",IFERROR(VLOOKUP(D22,'01 Staff Master'!$A$6:$M$105,3,FALSE),""))</x:f>
      </x:c>
      <x:c r="G22" s="25" t="str">
        <x:f>IF(D22="","",IFERROR(VLOOKUP(D22,'01 Staff Master'!$A$6:$M$105,5,FALSE),""))</x:f>
      </x:c>
      <x:c r="H22" s="25" t="str">
        <x:f>IF(D22="","",IFERROR(VLOOKUP(D22,'01 Staff Master'!$A$6:$M$105,6,FALSE),""))</x:f>
      </x:c>
      <x:c r="I22" s="25" t="str">
        <x:f>IF(OR(F22="",G22="",J22=""),"",F22&amp;"|"&amp;G22&amp;"|"&amp;J22)</x:f>
      </x:c>
      <x:c r="J22" s="24"/>
      <x:c r="K22" s="25" t="str">
        <x:f>IF(J22="","",IFERROR(VLOOKUP(J22,'02 Skill Catalogue'!$A$6:$K$95,4,FALSE),"Skill ID not found"))</x:f>
      </x:c>
      <x:c r="L22" s="25" t="str">
        <x:f>IF(I22="","",IFERROR(VLOOKUP(I22,'03 Position Requirements'!$A$6:$R$285,8,FALSE),"No Requirement"))</x:f>
      </x:c>
      <x:c r="M22" s="29" t="str">
        <x:f>IF(I22="","",IFERROR(VLOOKUP(I22,'03 Position Requirements'!$A$6:$R$285,9,FALSE),""))</x:f>
      </x:c>
      <x:c r="N22" s="25" t="str">
        <x:f>IF(I22="","",IFERROR(VLOOKUP(I22,'03 Position Requirements'!$A$6:$R$285,10,FALSE),""))</x:f>
      </x:c>
      <x:c r="O22" s="24"/>
      <x:c r="P22" s="25" t="str">
        <x:f>IF(OR(N22="",O22=""),"",MAX(N22-O22,0))</x:f>
      </x:c>
      <x:c r="Q22" s="30" t="str">
        <x:f>IF(P22="","",P22*M22)</x:f>
      </x:c>
      <x:c r="R22" s="30" t="str">
        <x:f>IF(OR(P22="",L22=""),"",P22*M22*IFERROR(VLOOKUP(L22,'99 Lists'!$A$19:$B$21,2,FALSE),1))</x:f>
      </x:c>
      <x:c r="S22" s="25" t="str">
        <x:f>IF(A22="","",IF(O22="","Not Assessed",IF(P22=0,"Meets / Exceeds",IF(P22=1,"Minor Gap",IF(P22=2,"Major Gap","Critical Gap")))))</x:f>
      </x:c>
      <x:c r="T22" s="24"/>
      <x:c r="U22" s="27"/>
      <x:c r="V22" s="24"/>
      <x:c r="W22" s="24"/>
      <x:c r="X22" s="24"/>
      <x:c r="Y22" s="26"/>
      <x:c r="Z22" s="31" t="str">
        <x:f>IF(B22="","",IF(Y22&lt;&gt;"",Y22,EDATE(B22,IFERROR(VLOOKUP(I22,'03 Position Requirements'!$A$6:$R$285,12,FALSE),12))))</x:f>
      </x:c>
      <x:c r="AA22" s="25" t="str">
        <x:f>IF(OR(B22="",D22="",J22=""),"",IF(COUNTIFS($D$6:$D$155,D22,$J$6:$J$155,J22,$B$6:$B$155,"&gt;"&amp;B22)=0,"Yes","No"))</x:f>
      </x:c>
      <x:c r="AB22" s="25" t="str">
        <x:f>IF(AA22="","",IF(AND(AA22="Yes",OR(P22&gt;0,AD22="Expired")),"Yes","No"))</x:f>
      </x:c>
      <x:c r="AC22" s="25" t="str">
        <x:f>IF(Z22="","",Z22-TODAY())</x:f>
      </x:c>
      <x:c r="AD22" s="25" t="str">
        <x:f>IF(A22="","",IF(O22="","Not Assessed",IF(Z22&lt;TODAY(),"Expired",IF(Z22&lt;=TODAY()+30,"Due Soon","Current"))))</x:f>
      </x:c>
      <x:c r="AE22" s="24"/>
    </x:row>
    <x:row r="23">
      <x:c r="A23" s="24"/>
      <x:c r="B23" s="26"/>
      <x:c r="C23" s="24"/>
      <x:c r="D23" s="24"/>
      <x:c r="E23" s="25" t="str">
        <x:f>IF(D23="","",IFERROR(VLOOKUP(D23,'01 Staff Master'!$A$6:$M$105,2,FALSE),"Staff ID not found"))</x:f>
      </x:c>
      <x:c r="F23" s="25" t="str">
        <x:f>IF(D23="","",IFERROR(VLOOKUP(D23,'01 Staff Master'!$A$6:$M$105,3,FALSE),""))</x:f>
      </x:c>
      <x:c r="G23" s="25" t="str">
        <x:f>IF(D23="","",IFERROR(VLOOKUP(D23,'01 Staff Master'!$A$6:$M$105,5,FALSE),""))</x:f>
      </x:c>
      <x:c r="H23" s="25" t="str">
        <x:f>IF(D23="","",IFERROR(VLOOKUP(D23,'01 Staff Master'!$A$6:$M$105,6,FALSE),""))</x:f>
      </x:c>
      <x:c r="I23" s="25" t="str">
        <x:f>IF(OR(F23="",G23="",J23=""),"",F23&amp;"|"&amp;G23&amp;"|"&amp;J23)</x:f>
      </x:c>
      <x:c r="J23" s="24"/>
      <x:c r="K23" s="25" t="str">
        <x:f>IF(J23="","",IFERROR(VLOOKUP(J23,'02 Skill Catalogue'!$A$6:$K$95,4,FALSE),"Skill ID not found"))</x:f>
      </x:c>
      <x:c r="L23" s="25" t="str">
        <x:f>IF(I23="","",IFERROR(VLOOKUP(I23,'03 Position Requirements'!$A$6:$R$285,8,FALSE),"No Requirement"))</x:f>
      </x:c>
      <x:c r="M23" s="29" t="str">
        <x:f>IF(I23="","",IFERROR(VLOOKUP(I23,'03 Position Requirements'!$A$6:$R$285,9,FALSE),""))</x:f>
      </x:c>
      <x:c r="N23" s="25" t="str">
        <x:f>IF(I23="","",IFERROR(VLOOKUP(I23,'03 Position Requirements'!$A$6:$R$285,10,FALSE),""))</x:f>
      </x:c>
      <x:c r="O23" s="24"/>
      <x:c r="P23" s="25" t="str">
        <x:f>IF(OR(N23="",O23=""),"",MAX(N23-O23,0))</x:f>
      </x:c>
      <x:c r="Q23" s="30" t="str">
        <x:f>IF(P23="","",P23*M23)</x:f>
      </x:c>
      <x:c r="R23" s="30" t="str">
        <x:f>IF(OR(P23="",L23=""),"",P23*M23*IFERROR(VLOOKUP(L23,'99 Lists'!$A$19:$B$21,2,FALSE),1))</x:f>
      </x:c>
      <x:c r="S23" s="25" t="str">
        <x:f>IF(A23="","",IF(O23="","Not Assessed",IF(P23=0,"Meets / Exceeds",IF(P23=1,"Minor Gap",IF(P23=2,"Major Gap","Critical Gap")))))</x:f>
      </x:c>
      <x:c r="T23" s="24"/>
      <x:c r="U23" s="27"/>
      <x:c r="V23" s="24"/>
      <x:c r="W23" s="24"/>
      <x:c r="X23" s="24"/>
      <x:c r="Y23" s="26"/>
      <x:c r="Z23" s="31" t="str">
        <x:f>IF(B23="","",IF(Y23&lt;&gt;"",Y23,EDATE(B23,IFERROR(VLOOKUP(I23,'03 Position Requirements'!$A$6:$R$285,12,FALSE),12))))</x:f>
      </x:c>
      <x:c r="AA23" s="25" t="str">
        <x:f>IF(OR(B23="",D23="",J23=""),"",IF(COUNTIFS($D$6:$D$155,D23,$J$6:$J$155,J23,$B$6:$B$155,"&gt;"&amp;B23)=0,"Yes","No"))</x:f>
      </x:c>
      <x:c r="AB23" s="25" t="str">
        <x:f>IF(AA23="","",IF(AND(AA23="Yes",OR(P23&gt;0,AD23="Expired")),"Yes","No"))</x:f>
      </x:c>
      <x:c r="AC23" s="25" t="str">
        <x:f>IF(Z23="","",Z23-TODAY())</x:f>
      </x:c>
      <x:c r="AD23" s="25" t="str">
        <x:f>IF(A23="","",IF(O23="","Not Assessed",IF(Z23&lt;TODAY(),"Expired",IF(Z23&lt;=TODAY()+30,"Due Soon","Current"))))</x:f>
      </x:c>
      <x:c r="AE23" s="24"/>
    </x:row>
    <x:row r="24">
      <x:c r="A24" s="24"/>
      <x:c r="B24" s="26"/>
      <x:c r="C24" s="24"/>
      <x:c r="D24" s="24"/>
      <x:c r="E24" s="25" t="str">
        <x:f>IF(D24="","",IFERROR(VLOOKUP(D24,'01 Staff Master'!$A$6:$M$105,2,FALSE),"Staff ID not found"))</x:f>
      </x:c>
      <x:c r="F24" s="25" t="str">
        <x:f>IF(D24="","",IFERROR(VLOOKUP(D24,'01 Staff Master'!$A$6:$M$105,3,FALSE),""))</x:f>
      </x:c>
      <x:c r="G24" s="25" t="str">
        <x:f>IF(D24="","",IFERROR(VLOOKUP(D24,'01 Staff Master'!$A$6:$M$105,5,FALSE),""))</x:f>
      </x:c>
      <x:c r="H24" s="25" t="str">
        <x:f>IF(D24="","",IFERROR(VLOOKUP(D24,'01 Staff Master'!$A$6:$M$105,6,FALSE),""))</x:f>
      </x:c>
      <x:c r="I24" s="25" t="str">
        <x:f>IF(OR(F24="",G24="",J24=""),"",F24&amp;"|"&amp;G24&amp;"|"&amp;J24)</x:f>
      </x:c>
      <x:c r="J24" s="24"/>
      <x:c r="K24" s="25" t="str">
        <x:f>IF(J24="","",IFERROR(VLOOKUP(J24,'02 Skill Catalogue'!$A$6:$K$95,4,FALSE),"Skill ID not found"))</x:f>
      </x:c>
      <x:c r="L24" s="25" t="str">
        <x:f>IF(I24="","",IFERROR(VLOOKUP(I24,'03 Position Requirements'!$A$6:$R$285,8,FALSE),"No Requirement"))</x:f>
      </x:c>
      <x:c r="M24" s="29" t="str">
        <x:f>IF(I24="","",IFERROR(VLOOKUP(I24,'03 Position Requirements'!$A$6:$R$285,9,FALSE),""))</x:f>
      </x:c>
      <x:c r="N24" s="25" t="str">
        <x:f>IF(I24="","",IFERROR(VLOOKUP(I24,'03 Position Requirements'!$A$6:$R$285,10,FALSE),""))</x:f>
      </x:c>
      <x:c r="O24" s="24"/>
      <x:c r="P24" s="25" t="str">
        <x:f>IF(OR(N24="",O24=""),"",MAX(N24-O24,0))</x:f>
      </x:c>
      <x:c r="Q24" s="30" t="str">
        <x:f>IF(P24="","",P24*M24)</x:f>
      </x:c>
      <x:c r="R24" s="30" t="str">
        <x:f>IF(OR(P24="",L24=""),"",P24*M24*IFERROR(VLOOKUP(L24,'99 Lists'!$A$19:$B$21,2,FALSE),1))</x:f>
      </x:c>
      <x:c r="S24" s="25" t="str">
        <x:f>IF(A24="","",IF(O24="","Not Assessed",IF(P24=0,"Meets / Exceeds",IF(P24=1,"Minor Gap",IF(P24=2,"Major Gap","Critical Gap")))))</x:f>
      </x:c>
      <x:c r="T24" s="24"/>
      <x:c r="U24" s="27"/>
      <x:c r="V24" s="24"/>
      <x:c r="W24" s="24"/>
      <x:c r="X24" s="24"/>
      <x:c r="Y24" s="26"/>
      <x:c r="Z24" s="31" t="str">
        <x:f>IF(B24="","",IF(Y24&lt;&gt;"",Y24,EDATE(B24,IFERROR(VLOOKUP(I24,'03 Position Requirements'!$A$6:$R$285,12,FALSE),12))))</x:f>
      </x:c>
      <x:c r="AA24" s="25" t="str">
        <x:f>IF(OR(B24="",D24="",J24=""),"",IF(COUNTIFS($D$6:$D$155,D24,$J$6:$J$155,J24,$B$6:$B$155,"&gt;"&amp;B24)=0,"Yes","No"))</x:f>
      </x:c>
      <x:c r="AB24" s="25" t="str">
        <x:f>IF(AA24="","",IF(AND(AA24="Yes",OR(P24&gt;0,AD24="Expired")),"Yes","No"))</x:f>
      </x:c>
      <x:c r="AC24" s="25" t="str">
        <x:f>IF(Z24="","",Z24-TODAY())</x:f>
      </x:c>
      <x:c r="AD24" s="25" t="str">
        <x:f>IF(A24="","",IF(O24="","Not Assessed",IF(Z24&lt;TODAY(),"Expired",IF(Z24&lt;=TODAY()+30,"Due Soon","Current"))))</x:f>
      </x:c>
      <x:c r="AE24" s="24"/>
    </x:row>
    <x:row r="25">
      <x:c r="A25" s="24"/>
      <x:c r="B25" s="26"/>
      <x:c r="C25" s="24"/>
      <x:c r="D25" s="24"/>
      <x:c r="E25" s="25" t="str">
        <x:f>IF(D25="","",IFERROR(VLOOKUP(D25,'01 Staff Master'!$A$6:$M$105,2,FALSE),"Staff ID not found"))</x:f>
      </x:c>
      <x:c r="F25" s="25" t="str">
        <x:f>IF(D25="","",IFERROR(VLOOKUP(D25,'01 Staff Master'!$A$6:$M$105,3,FALSE),""))</x:f>
      </x:c>
      <x:c r="G25" s="25" t="str">
        <x:f>IF(D25="","",IFERROR(VLOOKUP(D25,'01 Staff Master'!$A$6:$M$105,5,FALSE),""))</x:f>
      </x:c>
      <x:c r="H25" s="25" t="str">
        <x:f>IF(D25="","",IFERROR(VLOOKUP(D25,'01 Staff Master'!$A$6:$M$105,6,FALSE),""))</x:f>
      </x:c>
      <x:c r="I25" s="25" t="str">
        <x:f>IF(OR(F25="",G25="",J25=""),"",F25&amp;"|"&amp;G25&amp;"|"&amp;J25)</x:f>
      </x:c>
      <x:c r="J25" s="24"/>
      <x:c r="K25" s="25" t="str">
        <x:f>IF(J25="","",IFERROR(VLOOKUP(J25,'02 Skill Catalogue'!$A$6:$K$95,4,FALSE),"Skill ID not found"))</x:f>
      </x:c>
      <x:c r="L25" s="25" t="str">
        <x:f>IF(I25="","",IFERROR(VLOOKUP(I25,'03 Position Requirements'!$A$6:$R$285,8,FALSE),"No Requirement"))</x:f>
      </x:c>
      <x:c r="M25" s="29" t="str">
        <x:f>IF(I25="","",IFERROR(VLOOKUP(I25,'03 Position Requirements'!$A$6:$R$285,9,FALSE),""))</x:f>
      </x:c>
      <x:c r="N25" s="25" t="str">
        <x:f>IF(I25="","",IFERROR(VLOOKUP(I25,'03 Position Requirements'!$A$6:$R$285,10,FALSE),""))</x:f>
      </x:c>
      <x:c r="O25" s="24"/>
      <x:c r="P25" s="25" t="str">
        <x:f>IF(OR(N25="",O25=""),"",MAX(N25-O25,0))</x:f>
      </x:c>
      <x:c r="Q25" s="30" t="str">
        <x:f>IF(P25="","",P25*M25)</x:f>
      </x:c>
      <x:c r="R25" s="30" t="str">
        <x:f>IF(OR(P25="",L25=""),"",P25*M25*IFERROR(VLOOKUP(L25,'99 Lists'!$A$19:$B$21,2,FALSE),1))</x:f>
      </x:c>
      <x:c r="S25" s="25" t="str">
        <x:f>IF(A25="","",IF(O25="","Not Assessed",IF(P25=0,"Meets / Exceeds",IF(P25=1,"Minor Gap",IF(P25=2,"Major Gap","Critical Gap")))))</x:f>
      </x:c>
      <x:c r="T25" s="24"/>
      <x:c r="U25" s="27"/>
      <x:c r="V25" s="24"/>
      <x:c r="W25" s="24"/>
      <x:c r="X25" s="24"/>
      <x:c r="Y25" s="26"/>
      <x:c r="Z25" s="31" t="str">
        <x:f>IF(B25="","",IF(Y25&lt;&gt;"",Y25,EDATE(B25,IFERROR(VLOOKUP(I25,'03 Position Requirements'!$A$6:$R$285,12,FALSE),12))))</x:f>
      </x:c>
      <x:c r="AA25" s="25" t="str">
        <x:f>IF(OR(B25="",D25="",J25=""),"",IF(COUNTIFS($D$6:$D$155,D25,$J$6:$J$155,J25,$B$6:$B$155,"&gt;"&amp;B25)=0,"Yes","No"))</x:f>
      </x:c>
      <x:c r="AB25" s="25" t="str">
        <x:f>IF(AA25="","",IF(AND(AA25="Yes",OR(P25&gt;0,AD25="Expired")),"Yes","No"))</x:f>
      </x:c>
      <x:c r="AC25" s="25" t="str">
        <x:f>IF(Z25="","",Z25-TODAY())</x:f>
      </x:c>
      <x:c r="AD25" s="25" t="str">
        <x:f>IF(A25="","",IF(O25="","Not Assessed",IF(Z25&lt;TODAY(),"Expired",IF(Z25&lt;=TODAY()+30,"Due Soon","Current"))))</x:f>
      </x:c>
      <x:c r="AE25" s="24"/>
    </x:row>
    <x:row r="26">
      <x:c r="A26" s="24"/>
      <x:c r="B26" s="26"/>
      <x:c r="C26" s="24"/>
      <x:c r="D26" s="24"/>
      <x:c r="E26" s="25" t="str">
        <x:f>IF(D26="","",IFERROR(VLOOKUP(D26,'01 Staff Master'!$A$6:$M$105,2,FALSE),"Staff ID not found"))</x:f>
      </x:c>
      <x:c r="F26" s="25" t="str">
        <x:f>IF(D26="","",IFERROR(VLOOKUP(D26,'01 Staff Master'!$A$6:$M$105,3,FALSE),""))</x:f>
      </x:c>
      <x:c r="G26" s="25" t="str">
        <x:f>IF(D26="","",IFERROR(VLOOKUP(D26,'01 Staff Master'!$A$6:$M$105,5,FALSE),""))</x:f>
      </x:c>
      <x:c r="H26" s="25" t="str">
        <x:f>IF(D26="","",IFERROR(VLOOKUP(D26,'01 Staff Master'!$A$6:$M$105,6,FALSE),""))</x:f>
      </x:c>
      <x:c r="I26" s="25" t="str">
        <x:f>IF(OR(F26="",G26="",J26=""),"",F26&amp;"|"&amp;G26&amp;"|"&amp;J26)</x:f>
      </x:c>
      <x:c r="J26" s="24"/>
      <x:c r="K26" s="25" t="str">
        <x:f>IF(J26="","",IFERROR(VLOOKUP(J26,'02 Skill Catalogue'!$A$6:$K$95,4,FALSE),"Skill ID not found"))</x:f>
      </x:c>
      <x:c r="L26" s="25" t="str">
        <x:f>IF(I26="","",IFERROR(VLOOKUP(I26,'03 Position Requirements'!$A$6:$R$285,8,FALSE),"No Requirement"))</x:f>
      </x:c>
      <x:c r="M26" s="29" t="str">
        <x:f>IF(I26="","",IFERROR(VLOOKUP(I26,'03 Position Requirements'!$A$6:$R$285,9,FALSE),""))</x:f>
      </x:c>
      <x:c r="N26" s="25" t="str">
        <x:f>IF(I26="","",IFERROR(VLOOKUP(I26,'03 Position Requirements'!$A$6:$R$285,10,FALSE),""))</x:f>
      </x:c>
      <x:c r="O26" s="24"/>
      <x:c r="P26" s="25" t="str">
        <x:f>IF(OR(N26="",O26=""),"",MAX(N26-O26,0))</x:f>
      </x:c>
      <x:c r="Q26" s="30" t="str">
        <x:f>IF(P26="","",P26*M26)</x:f>
      </x:c>
      <x:c r="R26" s="30" t="str">
        <x:f>IF(OR(P26="",L26=""),"",P26*M26*IFERROR(VLOOKUP(L26,'99 Lists'!$A$19:$B$21,2,FALSE),1))</x:f>
      </x:c>
      <x:c r="S26" s="25" t="str">
        <x:f>IF(A26="","",IF(O26="","Not Assessed",IF(P26=0,"Meets / Exceeds",IF(P26=1,"Minor Gap",IF(P26=2,"Major Gap","Critical Gap")))))</x:f>
      </x:c>
      <x:c r="T26" s="24"/>
      <x:c r="U26" s="27"/>
      <x:c r="V26" s="24"/>
      <x:c r="W26" s="24"/>
      <x:c r="X26" s="24"/>
      <x:c r="Y26" s="26"/>
      <x:c r="Z26" s="31" t="str">
        <x:f>IF(B26="","",IF(Y26&lt;&gt;"",Y26,EDATE(B26,IFERROR(VLOOKUP(I26,'03 Position Requirements'!$A$6:$R$285,12,FALSE),12))))</x:f>
      </x:c>
      <x:c r="AA26" s="25" t="str">
        <x:f>IF(OR(B26="",D26="",J26=""),"",IF(COUNTIFS($D$6:$D$155,D26,$J$6:$J$155,J26,$B$6:$B$155,"&gt;"&amp;B26)=0,"Yes","No"))</x:f>
      </x:c>
      <x:c r="AB26" s="25" t="str">
        <x:f>IF(AA26="","",IF(AND(AA26="Yes",OR(P26&gt;0,AD26="Expired")),"Yes","No"))</x:f>
      </x:c>
      <x:c r="AC26" s="25" t="str">
        <x:f>IF(Z26="","",Z26-TODAY())</x:f>
      </x:c>
      <x:c r="AD26" s="25" t="str">
        <x:f>IF(A26="","",IF(O26="","Not Assessed",IF(Z26&lt;TODAY(),"Expired",IF(Z26&lt;=TODAY()+30,"Due Soon","Current"))))</x:f>
      </x:c>
      <x:c r="AE26" s="24"/>
    </x:row>
    <x:row r="27">
      <x:c r="A27" s="24"/>
      <x:c r="B27" s="26"/>
      <x:c r="C27" s="24"/>
      <x:c r="D27" s="24"/>
      <x:c r="E27" s="25" t="str">
        <x:f>IF(D27="","",IFERROR(VLOOKUP(D27,'01 Staff Master'!$A$6:$M$105,2,FALSE),"Staff ID not found"))</x:f>
      </x:c>
      <x:c r="F27" s="25" t="str">
        <x:f>IF(D27="","",IFERROR(VLOOKUP(D27,'01 Staff Master'!$A$6:$M$105,3,FALSE),""))</x:f>
      </x:c>
      <x:c r="G27" s="25" t="str">
        <x:f>IF(D27="","",IFERROR(VLOOKUP(D27,'01 Staff Master'!$A$6:$M$105,5,FALSE),""))</x:f>
      </x:c>
      <x:c r="H27" s="25" t="str">
        <x:f>IF(D27="","",IFERROR(VLOOKUP(D27,'01 Staff Master'!$A$6:$M$105,6,FALSE),""))</x:f>
      </x:c>
      <x:c r="I27" s="25" t="str">
        <x:f>IF(OR(F27="",G27="",J27=""),"",F27&amp;"|"&amp;G27&amp;"|"&amp;J27)</x:f>
      </x:c>
      <x:c r="J27" s="24"/>
      <x:c r="K27" s="25" t="str">
        <x:f>IF(J27="","",IFERROR(VLOOKUP(J27,'02 Skill Catalogue'!$A$6:$K$95,4,FALSE),"Skill ID not found"))</x:f>
      </x:c>
      <x:c r="L27" s="25" t="str">
        <x:f>IF(I27="","",IFERROR(VLOOKUP(I27,'03 Position Requirements'!$A$6:$R$285,8,FALSE),"No Requirement"))</x:f>
      </x:c>
      <x:c r="M27" s="29" t="str">
        <x:f>IF(I27="","",IFERROR(VLOOKUP(I27,'03 Position Requirements'!$A$6:$R$285,9,FALSE),""))</x:f>
      </x:c>
      <x:c r="N27" s="25" t="str">
        <x:f>IF(I27="","",IFERROR(VLOOKUP(I27,'03 Position Requirements'!$A$6:$R$285,10,FALSE),""))</x:f>
      </x:c>
      <x:c r="O27" s="24"/>
      <x:c r="P27" s="25" t="str">
        <x:f>IF(OR(N27="",O27=""),"",MAX(N27-O27,0))</x:f>
      </x:c>
      <x:c r="Q27" s="30" t="str">
        <x:f>IF(P27="","",P27*M27)</x:f>
      </x:c>
      <x:c r="R27" s="30" t="str">
        <x:f>IF(OR(P27="",L27=""),"",P27*M27*IFERROR(VLOOKUP(L27,'99 Lists'!$A$19:$B$21,2,FALSE),1))</x:f>
      </x:c>
      <x:c r="S27" s="25" t="str">
        <x:f>IF(A27="","",IF(O27="","Not Assessed",IF(P27=0,"Meets / Exceeds",IF(P27=1,"Minor Gap",IF(P27=2,"Major Gap","Critical Gap")))))</x:f>
      </x:c>
      <x:c r="T27" s="24"/>
      <x:c r="U27" s="27"/>
      <x:c r="V27" s="24"/>
      <x:c r="W27" s="24"/>
      <x:c r="X27" s="24"/>
      <x:c r="Y27" s="26"/>
      <x:c r="Z27" s="31" t="str">
        <x:f>IF(B27="","",IF(Y27&lt;&gt;"",Y27,EDATE(B27,IFERROR(VLOOKUP(I27,'03 Position Requirements'!$A$6:$R$285,12,FALSE),12))))</x:f>
      </x:c>
      <x:c r="AA27" s="25" t="str">
        <x:f>IF(OR(B27="",D27="",J27=""),"",IF(COUNTIFS($D$6:$D$155,D27,$J$6:$J$155,J27,$B$6:$B$155,"&gt;"&amp;B27)=0,"Yes","No"))</x:f>
      </x:c>
      <x:c r="AB27" s="25" t="str">
        <x:f>IF(AA27="","",IF(AND(AA27="Yes",OR(P27&gt;0,AD27="Expired")),"Yes","No"))</x:f>
      </x:c>
      <x:c r="AC27" s="25" t="str">
        <x:f>IF(Z27="","",Z27-TODAY())</x:f>
      </x:c>
      <x:c r="AD27" s="25" t="str">
        <x:f>IF(A27="","",IF(O27="","Not Assessed",IF(Z27&lt;TODAY(),"Expired",IF(Z27&lt;=TODAY()+30,"Due Soon","Current"))))</x:f>
      </x:c>
      <x:c r="AE27" s="24"/>
    </x:row>
    <x:row r="28">
      <x:c r="A28" s="24"/>
      <x:c r="B28" s="26"/>
      <x:c r="C28" s="24"/>
      <x:c r="D28" s="24"/>
      <x:c r="E28" s="25" t="str">
        <x:f>IF(D28="","",IFERROR(VLOOKUP(D28,'01 Staff Master'!$A$6:$M$105,2,FALSE),"Staff ID not found"))</x:f>
      </x:c>
      <x:c r="F28" s="25" t="str">
        <x:f>IF(D28="","",IFERROR(VLOOKUP(D28,'01 Staff Master'!$A$6:$M$105,3,FALSE),""))</x:f>
      </x:c>
      <x:c r="G28" s="25" t="str">
        <x:f>IF(D28="","",IFERROR(VLOOKUP(D28,'01 Staff Master'!$A$6:$M$105,5,FALSE),""))</x:f>
      </x:c>
      <x:c r="H28" s="25" t="str">
        <x:f>IF(D28="","",IFERROR(VLOOKUP(D28,'01 Staff Master'!$A$6:$M$105,6,FALSE),""))</x:f>
      </x:c>
      <x:c r="I28" s="25" t="str">
        <x:f>IF(OR(F28="",G28="",J28=""),"",F28&amp;"|"&amp;G28&amp;"|"&amp;J28)</x:f>
      </x:c>
      <x:c r="J28" s="24"/>
      <x:c r="K28" s="25" t="str">
        <x:f>IF(J28="","",IFERROR(VLOOKUP(J28,'02 Skill Catalogue'!$A$6:$K$95,4,FALSE),"Skill ID not found"))</x:f>
      </x:c>
      <x:c r="L28" s="25" t="str">
        <x:f>IF(I28="","",IFERROR(VLOOKUP(I28,'03 Position Requirements'!$A$6:$R$285,8,FALSE),"No Requirement"))</x:f>
      </x:c>
      <x:c r="M28" s="29" t="str">
        <x:f>IF(I28="","",IFERROR(VLOOKUP(I28,'03 Position Requirements'!$A$6:$R$285,9,FALSE),""))</x:f>
      </x:c>
      <x:c r="N28" s="25" t="str">
        <x:f>IF(I28="","",IFERROR(VLOOKUP(I28,'03 Position Requirements'!$A$6:$R$285,10,FALSE),""))</x:f>
      </x:c>
      <x:c r="O28" s="24"/>
      <x:c r="P28" s="25" t="str">
        <x:f>IF(OR(N28="",O28=""),"",MAX(N28-O28,0))</x:f>
      </x:c>
      <x:c r="Q28" s="30" t="str">
        <x:f>IF(P28="","",P28*M28)</x:f>
      </x:c>
      <x:c r="R28" s="30" t="str">
        <x:f>IF(OR(P28="",L28=""),"",P28*M28*IFERROR(VLOOKUP(L28,'99 Lists'!$A$19:$B$21,2,FALSE),1))</x:f>
      </x:c>
      <x:c r="S28" s="25" t="str">
        <x:f>IF(A28="","",IF(O28="","Not Assessed",IF(P28=0,"Meets / Exceeds",IF(P28=1,"Minor Gap",IF(P28=2,"Major Gap","Critical Gap")))))</x:f>
      </x:c>
      <x:c r="T28" s="24"/>
      <x:c r="U28" s="27"/>
      <x:c r="V28" s="24"/>
      <x:c r="W28" s="24"/>
      <x:c r="X28" s="24"/>
      <x:c r="Y28" s="26"/>
      <x:c r="Z28" s="31" t="str">
        <x:f>IF(B28="","",IF(Y28&lt;&gt;"",Y28,EDATE(B28,IFERROR(VLOOKUP(I28,'03 Position Requirements'!$A$6:$R$285,12,FALSE),12))))</x:f>
      </x:c>
      <x:c r="AA28" s="25" t="str">
        <x:f>IF(OR(B28="",D28="",J28=""),"",IF(COUNTIFS($D$6:$D$155,D28,$J$6:$J$155,J28,$B$6:$B$155,"&gt;"&amp;B28)=0,"Yes","No"))</x:f>
      </x:c>
      <x:c r="AB28" s="25" t="str">
        <x:f>IF(AA28="","",IF(AND(AA28="Yes",OR(P28&gt;0,AD28="Expired")),"Yes","No"))</x:f>
      </x:c>
      <x:c r="AC28" s="25" t="str">
        <x:f>IF(Z28="","",Z28-TODAY())</x:f>
      </x:c>
      <x:c r="AD28" s="25" t="str">
        <x:f>IF(A28="","",IF(O28="","Not Assessed",IF(Z28&lt;TODAY(),"Expired",IF(Z28&lt;=TODAY()+30,"Due Soon","Current"))))</x:f>
      </x:c>
      <x:c r="AE28" s="24"/>
    </x:row>
    <x:row r="29">
      <x:c r="A29" s="24"/>
      <x:c r="B29" s="26"/>
      <x:c r="C29" s="24"/>
      <x:c r="D29" s="24"/>
      <x:c r="E29" s="25" t="str">
        <x:f>IF(D29="","",IFERROR(VLOOKUP(D29,'01 Staff Master'!$A$6:$M$105,2,FALSE),"Staff ID not found"))</x:f>
      </x:c>
      <x:c r="F29" s="25" t="str">
        <x:f>IF(D29="","",IFERROR(VLOOKUP(D29,'01 Staff Master'!$A$6:$M$105,3,FALSE),""))</x:f>
      </x:c>
      <x:c r="G29" s="25" t="str">
        <x:f>IF(D29="","",IFERROR(VLOOKUP(D29,'01 Staff Master'!$A$6:$M$105,5,FALSE),""))</x:f>
      </x:c>
      <x:c r="H29" s="25" t="str">
        <x:f>IF(D29="","",IFERROR(VLOOKUP(D29,'01 Staff Master'!$A$6:$M$105,6,FALSE),""))</x:f>
      </x:c>
      <x:c r="I29" s="25" t="str">
        <x:f>IF(OR(F29="",G29="",J29=""),"",F29&amp;"|"&amp;G29&amp;"|"&amp;J29)</x:f>
      </x:c>
      <x:c r="J29" s="24"/>
      <x:c r="K29" s="25" t="str">
        <x:f>IF(J29="","",IFERROR(VLOOKUP(J29,'02 Skill Catalogue'!$A$6:$K$95,4,FALSE),"Skill ID not found"))</x:f>
      </x:c>
      <x:c r="L29" s="25" t="str">
        <x:f>IF(I29="","",IFERROR(VLOOKUP(I29,'03 Position Requirements'!$A$6:$R$285,8,FALSE),"No Requirement"))</x:f>
      </x:c>
      <x:c r="M29" s="29" t="str">
        <x:f>IF(I29="","",IFERROR(VLOOKUP(I29,'03 Position Requirements'!$A$6:$R$285,9,FALSE),""))</x:f>
      </x:c>
      <x:c r="N29" s="25" t="str">
        <x:f>IF(I29="","",IFERROR(VLOOKUP(I29,'03 Position Requirements'!$A$6:$R$285,10,FALSE),""))</x:f>
      </x:c>
      <x:c r="O29" s="24"/>
      <x:c r="P29" s="25" t="str">
        <x:f>IF(OR(N29="",O29=""),"",MAX(N29-O29,0))</x:f>
      </x:c>
      <x:c r="Q29" s="30" t="str">
        <x:f>IF(P29="","",P29*M29)</x:f>
      </x:c>
      <x:c r="R29" s="30" t="str">
        <x:f>IF(OR(P29="",L29=""),"",P29*M29*IFERROR(VLOOKUP(L29,'99 Lists'!$A$19:$B$21,2,FALSE),1))</x:f>
      </x:c>
      <x:c r="S29" s="25" t="str">
        <x:f>IF(A29="","",IF(O29="","Not Assessed",IF(P29=0,"Meets / Exceeds",IF(P29=1,"Minor Gap",IF(P29=2,"Major Gap","Critical Gap")))))</x:f>
      </x:c>
      <x:c r="T29" s="24"/>
      <x:c r="U29" s="27"/>
      <x:c r="V29" s="24"/>
      <x:c r="W29" s="24"/>
      <x:c r="X29" s="24"/>
      <x:c r="Y29" s="26"/>
      <x:c r="Z29" s="31" t="str">
        <x:f>IF(B29="","",IF(Y29&lt;&gt;"",Y29,EDATE(B29,IFERROR(VLOOKUP(I29,'03 Position Requirements'!$A$6:$R$285,12,FALSE),12))))</x:f>
      </x:c>
      <x:c r="AA29" s="25" t="str">
        <x:f>IF(OR(B29="",D29="",J29=""),"",IF(COUNTIFS($D$6:$D$155,D29,$J$6:$J$155,J29,$B$6:$B$155,"&gt;"&amp;B29)=0,"Yes","No"))</x:f>
      </x:c>
      <x:c r="AB29" s="25" t="str">
        <x:f>IF(AA29="","",IF(AND(AA29="Yes",OR(P29&gt;0,AD29="Expired")),"Yes","No"))</x:f>
      </x:c>
      <x:c r="AC29" s="25" t="str">
        <x:f>IF(Z29="","",Z29-TODAY())</x:f>
      </x:c>
      <x:c r="AD29" s="25" t="str">
        <x:f>IF(A29="","",IF(O29="","Not Assessed",IF(Z29&lt;TODAY(),"Expired",IF(Z29&lt;=TODAY()+30,"Due Soon","Current"))))</x:f>
      </x:c>
      <x:c r="AE29" s="24"/>
    </x:row>
    <x:row r="30">
      <x:c r="A30" s="24"/>
      <x:c r="B30" s="26"/>
      <x:c r="C30" s="24"/>
      <x:c r="D30" s="24"/>
      <x:c r="E30" s="25" t="str">
        <x:f>IF(D30="","",IFERROR(VLOOKUP(D30,'01 Staff Master'!$A$6:$M$105,2,FALSE),"Staff ID not found"))</x:f>
      </x:c>
      <x:c r="F30" s="25" t="str">
        <x:f>IF(D30="","",IFERROR(VLOOKUP(D30,'01 Staff Master'!$A$6:$M$105,3,FALSE),""))</x:f>
      </x:c>
      <x:c r="G30" s="25" t="str">
        <x:f>IF(D30="","",IFERROR(VLOOKUP(D30,'01 Staff Master'!$A$6:$M$105,5,FALSE),""))</x:f>
      </x:c>
      <x:c r="H30" s="25" t="str">
        <x:f>IF(D30="","",IFERROR(VLOOKUP(D30,'01 Staff Master'!$A$6:$M$105,6,FALSE),""))</x:f>
      </x:c>
      <x:c r="I30" s="25" t="str">
        <x:f>IF(OR(F30="",G30="",J30=""),"",F30&amp;"|"&amp;G30&amp;"|"&amp;J30)</x:f>
      </x:c>
      <x:c r="J30" s="24"/>
      <x:c r="K30" s="25" t="str">
        <x:f>IF(J30="","",IFERROR(VLOOKUP(J30,'02 Skill Catalogue'!$A$6:$K$95,4,FALSE),"Skill ID not found"))</x:f>
      </x:c>
      <x:c r="L30" s="25" t="str">
        <x:f>IF(I30="","",IFERROR(VLOOKUP(I30,'03 Position Requirements'!$A$6:$R$285,8,FALSE),"No Requirement"))</x:f>
      </x:c>
      <x:c r="M30" s="29" t="str">
        <x:f>IF(I30="","",IFERROR(VLOOKUP(I30,'03 Position Requirements'!$A$6:$R$285,9,FALSE),""))</x:f>
      </x:c>
      <x:c r="N30" s="25" t="str">
        <x:f>IF(I30="","",IFERROR(VLOOKUP(I30,'03 Position Requirements'!$A$6:$R$285,10,FALSE),""))</x:f>
      </x:c>
      <x:c r="O30" s="24"/>
      <x:c r="P30" s="25" t="str">
        <x:f>IF(OR(N30="",O30=""),"",MAX(N30-O30,0))</x:f>
      </x:c>
      <x:c r="Q30" s="30" t="str">
        <x:f>IF(P30="","",P30*M30)</x:f>
      </x:c>
      <x:c r="R30" s="30" t="str">
        <x:f>IF(OR(P30="",L30=""),"",P30*M30*IFERROR(VLOOKUP(L30,'99 Lists'!$A$19:$B$21,2,FALSE),1))</x:f>
      </x:c>
      <x:c r="S30" s="25" t="str">
        <x:f>IF(A30="","",IF(O30="","Not Assessed",IF(P30=0,"Meets / Exceeds",IF(P30=1,"Minor Gap",IF(P30=2,"Major Gap","Critical Gap")))))</x:f>
      </x:c>
      <x:c r="T30" s="24"/>
      <x:c r="U30" s="27"/>
      <x:c r="V30" s="24"/>
      <x:c r="W30" s="24"/>
      <x:c r="X30" s="24"/>
      <x:c r="Y30" s="26"/>
      <x:c r="Z30" s="31" t="str">
        <x:f>IF(B30="","",IF(Y30&lt;&gt;"",Y30,EDATE(B30,IFERROR(VLOOKUP(I30,'03 Position Requirements'!$A$6:$R$285,12,FALSE),12))))</x:f>
      </x:c>
      <x:c r="AA30" s="25" t="str">
        <x:f>IF(OR(B30="",D30="",J30=""),"",IF(COUNTIFS($D$6:$D$155,D30,$J$6:$J$155,J30,$B$6:$B$155,"&gt;"&amp;B30)=0,"Yes","No"))</x:f>
      </x:c>
      <x:c r="AB30" s="25" t="str">
        <x:f>IF(AA30="","",IF(AND(AA30="Yes",OR(P30&gt;0,AD30="Expired")),"Yes","No"))</x:f>
      </x:c>
      <x:c r="AC30" s="25" t="str">
        <x:f>IF(Z30="","",Z30-TODAY())</x:f>
      </x:c>
      <x:c r="AD30" s="25" t="str">
        <x:f>IF(A30="","",IF(O30="","Not Assessed",IF(Z30&lt;TODAY(),"Expired",IF(Z30&lt;=TODAY()+30,"Due Soon","Current"))))</x:f>
      </x:c>
      <x:c r="AE30" s="24"/>
    </x:row>
    <x:row r="31">
      <x:c r="A31" s="24"/>
      <x:c r="B31" s="26"/>
      <x:c r="C31" s="24"/>
      <x:c r="D31" s="24"/>
      <x:c r="E31" s="25" t="str">
        <x:f>IF(D31="","",IFERROR(VLOOKUP(D31,'01 Staff Master'!$A$6:$M$105,2,FALSE),"Staff ID not found"))</x:f>
      </x:c>
      <x:c r="F31" s="25" t="str">
        <x:f>IF(D31="","",IFERROR(VLOOKUP(D31,'01 Staff Master'!$A$6:$M$105,3,FALSE),""))</x:f>
      </x:c>
      <x:c r="G31" s="25" t="str">
        <x:f>IF(D31="","",IFERROR(VLOOKUP(D31,'01 Staff Master'!$A$6:$M$105,5,FALSE),""))</x:f>
      </x:c>
      <x:c r="H31" s="25" t="str">
        <x:f>IF(D31="","",IFERROR(VLOOKUP(D31,'01 Staff Master'!$A$6:$M$105,6,FALSE),""))</x:f>
      </x:c>
      <x:c r="I31" s="25" t="str">
        <x:f>IF(OR(F31="",G31="",J31=""),"",F31&amp;"|"&amp;G31&amp;"|"&amp;J31)</x:f>
      </x:c>
      <x:c r="J31" s="24"/>
      <x:c r="K31" s="25" t="str">
        <x:f>IF(J31="","",IFERROR(VLOOKUP(J31,'02 Skill Catalogue'!$A$6:$K$95,4,FALSE),"Skill ID not found"))</x:f>
      </x:c>
      <x:c r="L31" s="25" t="str">
        <x:f>IF(I31="","",IFERROR(VLOOKUP(I31,'03 Position Requirements'!$A$6:$R$285,8,FALSE),"No Requirement"))</x:f>
      </x:c>
      <x:c r="M31" s="29" t="str">
        <x:f>IF(I31="","",IFERROR(VLOOKUP(I31,'03 Position Requirements'!$A$6:$R$285,9,FALSE),""))</x:f>
      </x:c>
      <x:c r="N31" s="25" t="str">
        <x:f>IF(I31="","",IFERROR(VLOOKUP(I31,'03 Position Requirements'!$A$6:$R$285,10,FALSE),""))</x:f>
      </x:c>
      <x:c r="O31" s="24"/>
      <x:c r="P31" s="25" t="str">
        <x:f>IF(OR(N31="",O31=""),"",MAX(N31-O31,0))</x:f>
      </x:c>
      <x:c r="Q31" s="30" t="str">
        <x:f>IF(P31="","",P31*M31)</x:f>
      </x:c>
      <x:c r="R31" s="30" t="str">
        <x:f>IF(OR(P31="",L31=""),"",P31*M31*IFERROR(VLOOKUP(L31,'99 Lists'!$A$19:$B$21,2,FALSE),1))</x:f>
      </x:c>
      <x:c r="S31" s="25" t="str">
        <x:f>IF(A31="","",IF(O31="","Not Assessed",IF(P31=0,"Meets / Exceeds",IF(P31=1,"Minor Gap",IF(P31=2,"Major Gap","Critical Gap")))))</x:f>
      </x:c>
      <x:c r="T31" s="24"/>
      <x:c r="U31" s="27"/>
      <x:c r="V31" s="24"/>
      <x:c r="W31" s="24"/>
      <x:c r="X31" s="24"/>
      <x:c r="Y31" s="26"/>
      <x:c r="Z31" s="31" t="str">
        <x:f>IF(B31="","",IF(Y31&lt;&gt;"",Y31,EDATE(B31,IFERROR(VLOOKUP(I31,'03 Position Requirements'!$A$6:$R$285,12,FALSE),12))))</x:f>
      </x:c>
      <x:c r="AA31" s="25" t="str">
        <x:f>IF(OR(B31="",D31="",J31=""),"",IF(COUNTIFS($D$6:$D$155,D31,$J$6:$J$155,J31,$B$6:$B$155,"&gt;"&amp;B31)=0,"Yes","No"))</x:f>
      </x:c>
      <x:c r="AB31" s="25" t="str">
        <x:f>IF(AA31="","",IF(AND(AA31="Yes",OR(P31&gt;0,AD31="Expired")),"Yes","No"))</x:f>
      </x:c>
      <x:c r="AC31" s="25" t="str">
        <x:f>IF(Z31="","",Z31-TODAY())</x:f>
      </x:c>
      <x:c r="AD31" s="25" t="str">
        <x:f>IF(A31="","",IF(O31="","Not Assessed",IF(Z31&lt;TODAY(),"Expired",IF(Z31&lt;=TODAY()+30,"Due Soon","Current"))))</x:f>
      </x:c>
      <x:c r="AE31" s="24"/>
    </x:row>
    <x:row r="32">
      <x:c r="A32" s="24"/>
      <x:c r="B32" s="26"/>
      <x:c r="C32" s="24"/>
      <x:c r="D32" s="24"/>
      <x:c r="E32" s="25" t="str">
        <x:f>IF(D32="","",IFERROR(VLOOKUP(D32,'01 Staff Master'!$A$6:$M$105,2,FALSE),"Staff ID not found"))</x:f>
      </x:c>
      <x:c r="F32" s="25" t="str">
        <x:f>IF(D32="","",IFERROR(VLOOKUP(D32,'01 Staff Master'!$A$6:$M$105,3,FALSE),""))</x:f>
      </x:c>
      <x:c r="G32" s="25" t="str">
        <x:f>IF(D32="","",IFERROR(VLOOKUP(D32,'01 Staff Master'!$A$6:$M$105,5,FALSE),""))</x:f>
      </x:c>
      <x:c r="H32" s="25" t="str">
        <x:f>IF(D32="","",IFERROR(VLOOKUP(D32,'01 Staff Master'!$A$6:$M$105,6,FALSE),""))</x:f>
      </x:c>
      <x:c r="I32" s="25" t="str">
        <x:f>IF(OR(F32="",G32="",J32=""),"",F32&amp;"|"&amp;G32&amp;"|"&amp;J32)</x:f>
      </x:c>
      <x:c r="J32" s="24"/>
      <x:c r="K32" s="25" t="str">
        <x:f>IF(J32="","",IFERROR(VLOOKUP(J32,'02 Skill Catalogue'!$A$6:$K$95,4,FALSE),"Skill ID not found"))</x:f>
      </x:c>
      <x:c r="L32" s="25" t="str">
        <x:f>IF(I32="","",IFERROR(VLOOKUP(I32,'03 Position Requirements'!$A$6:$R$285,8,FALSE),"No Requirement"))</x:f>
      </x:c>
      <x:c r="M32" s="29" t="str">
        <x:f>IF(I32="","",IFERROR(VLOOKUP(I32,'03 Position Requirements'!$A$6:$R$285,9,FALSE),""))</x:f>
      </x:c>
      <x:c r="N32" s="25" t="str">
        <x:f>IF(I32="","",IFERROR(VLOOKUP(I32,'03 Position Requirements'!$A$6:$R$285,10,FALSE),""))</x:f>
      </x:c>
      <x:c r="O32" s="24"/>
      <x:c r="P32" s="25" t="str">
        <x:f>IF(OR(N32="",O32=""),"",MAX(N32-O32,0))</x:f>
      </x:c>
      <x:c r="Q32" s="30" t="str">
        <x:f>IF(P32="","",P32*M32)</x:f>
      </x:c>
      <x:c r="R32" s="30" t="str">
        <x:f>IF(OR(P32="",L32=""),"",P32*M32*IFERROR(VLOOKUP(L32,'99 Lists'!$A$19:$B$21,2,FALSE),1))</x:f>
      </x:c>
      <x:c r="S32" s="25" t="str">
        <x:f>IF(A32="","",IF(O32="","Not Assessed",IF(P32=0,"Meets / Exceeds",IF(P32=1,"Minor Gap",IF(P32=2,"Major Gap","Critical Gap")))))</x:f>
      </x:c>
      <x:c r="T32" s="24"/>
      <x:c r="U32" s="27"/>
      <x:c r="V32" s="24"/>
      <x:c r="W32" s="24"/>
      <x:c r="X32" s="24"/>
      <x:c r="Y32" s="26"/>
      <x:c r="Z32" s="31" t="str">
        <x:f>IF(B32="","",IF(Y32&lt;&gt;"",Y32,EDATE(B32,IFERROR(VLOOKUP(I32,'03 Position Requirements'!$A$6:$R$285,12,FALSE),12))))</x:f>
      </x:c>
      <x:c r="AA32" s="25" t="str">
        <x:f>IF(OR(B32="",D32="",J32=""),"",IF(COUNTIFS($D$6:$D$155,D32,$J$6:$J$155,J32,$B$6:$B$155,"&gt;"&amp;B32)=0,"Yes","No"))</x:f>
      </x:c>
      <x:c r="AB32" s="25" t="str">
        <x:f>IF(AA32="","",IF(AND(AA32="Yes",OR(P32&gt;0,AD32="Expired")),"Yes","No"))</x:f>
      </x:c>
      <x:c r="AC32" s="25" t="str">
        <x:f>IF(Z32="","",Z32-TODAY())</x:f>
      </x:c>
      <x:c r="AD32" s="25" t="str">
        <x:f>IF(A32="","",IF(O32="","Not Assessed",IF(Z32&lt;TODAY(),"Expired",IF(Z32&lt;=TODAY()+30,"Due Soon","Current"))))</x:f>
      </x:c>
      <x:c r="AE32" s="24"/>
    </x:row>
    <x:row r="33">
      <x:c r="A33" s="24"/>
      <x:c r="B33" s="26"/>
      <x:c r="C33" s="24"/>
      <x:c r="D33" s="24"/>
      <x:c r="E33" s="25" t="str">
        <x:f>IF(D33="","",IFERROR(VLOOKUP(D33,'01 Staff Master'!$A$6:$M$105,2,FALSE),"Staff ID not found"))</x:f>
      </x:c>
      <x:c r="F33" s="25" t="str">
        <x:f>IF(D33="","",IFERROR(VLOOKUP(D33,'01 Staff Master'!$A$6:$M$105,3,FALSE),""))</x:f>
      </x:c>
      <x:c r="G33" s="25" t="str">
        <x:f>IF(D33="","",IFERROR(VLOOKUP(D33,'01 Staff Master'!$A$6:$M$105,5,FALSE),""))</x:f>
      </x:c>
      <x:c r="H33" s="25" t="str">
        <x:f>IF(D33="","",IFERROR(VLOOKUP(D33,'01 Staff Master'!$A$6:$M$105,6,FALSE),""))</x:f>
      </x:c>
      <x:c r="I33" s="25" t="str">
        <x:f>IF(OR(F33="",G33="",J33=""),"",F33&amp;"|"&amp;G33&amp;"|"&amp;J33)</x:f>
      </x:c>
      <x:c r="J33" s="24"/>
      <x:c r="K33" s="25" t="str">
        <x:f>IF(J33="","",IFERROR(VLOOKUP(J33,'02 Skill Catalogue'!$A$6:$K$95,4,FALSE),"Skill ID not found"))</x:f>
      </x:c>
      <x:c r="L33" s="25" t="str">
        <x:f>IF(I33="","",IFERROR(VLOOKUP(I33,'03 Position Requirements'!$A$6:$R$285,8,FALSE),"No Requirement"))</x:f>
      </x:c>
      <x:c r="M33" s="29" t="str">
        <x:f>IF(I33="","",IFERROR(VLOOKUP(I33,'03 Position Requirements'!$A$6:$R$285,9,FALSE),""))</x:f>
      </x:c>
      <x:c r="N33" s="25" t="str">
        <x:f>IF(I33="","",IFERROR(VLOOKUP(I33,'03 Position Requirements'!$A$6:$R$285,10,FALSE),""))</x:f>
      </x:c>
      <x:c r="O33" s="24"/>
      <x:c r="P33" s="25" t="str">
        <x:f>IF(OR(N33="",O33=""),"",MAX(N33-O33,0))</x:f>
      </x:c>
      <x:c r="Q33" s="30" t="str">
        <x:f>IF(P33="","",P33*M33)</x:f>
      </x:c>
      <x:c r="R33" s="30" t="str">
        <x:f>IF(OR(P33="",L33=""),"",P33*M33*IFERROR(VLOOKUP(L33,'99 Lists'!$A$19:$B$21,2,FALSE),1))</x:f>
      </x:c>
      <x:c r="S33" s="25" t="str">
        <x:f>IF(A33="","",IF(O33="","Not Assessed",IF(P33=0,"Meets / Exceeds",IF(P33=1,"Minor Gap",IF(P33=2,"Major Gap","Critical Gap")))))</x:f>
      </x:c>
      <x:c r="T33" s="24"/>
      <x:c r="U33" s="27"/>
      <x:c r="V33" s="24"/>
      <x:c r="W33" s="24"/>
      <x:c r="X33" s="24"/>
      <x:c r="Y33" s="26"/>
      <x:c r="Z33" s="31" t="str">
        <x:f>IF(B33="","",IF(Y33&lt;&gt;"",Y33,EDATE(B33,IFERROR(VLOOKUP(I33,'03 Position Requirements'!$A$6:$R$285,12,FALSE),12))))</x:f>
      </x:c>
      <x:c r="AA33" s="25" t="str">
        <x:f>IF(OR(B33="",D33="",J33=""),"",IF(COUNTIFS($D$6:$D$155,D33,$J$6:$J$155,J33,$B$6:$B$155,"&gt;"&amp;B33)=0,"Yes","No"))</x:f>
      </x:c>
      <x:c r="AB33" s="25" t="str">
        <x:f>IF(AA33="","",IF(AND(AA33="Yes",OR(P33&gt;0,AD33="Expired")),"Yes","No"))</x:f>
      </x:c>
      <x:c r="AC33" s="25" t="str">
        <x:f>IF(Z33="","",Z33-TODAY())</x:f>
      </x:c>
      <x:c r="AD33" s="25" t="str">
        <x:f>IF(A33="","",IF(O33="","Not Assessed",IF(Z33&lt;TODAY(),"Expired",IF(Z33&lt;=TODAY()+30,"Due Soon","Current"))))</x:f>
      </x:c>
      <x:c r="AE33" s="24"/>
    </x:row>
    <x:row r="34">
      <x:c r="A34" s="24"/>
      <x:c r="B34" s="26"/>
      <x:c r="C34" s="24"/>
      <x:c r="D34" s="24"/>
      <x:c r="E34" s="25" t="str">
        <x:f>IF(D34="","",IFERROR(VLOOKUP(D34,'01 Staff Master'!$A$6:$M$105,2,FALSE),"Staff ID not found"))</x:f>
      </x:c>
      <x:c r="F34" s="25" t="str">
        <x:f>IF(D34="","",IFERROR(VLOOKUP(D34,'01 Staff Master'!$A$6:$M$105,3,FALSE),""))</x:f>
      </x:c>
      <x:c r="G34" s="25" t="str">
        <x:f>IF(D34="","",IFERROR(VLOOKUP(D34,'01 Staff Master'!$A$6:$M$105,5,FALSE),""))</x:f>
      </x:c>
      <x:c r="H34" s="25" t="str">
        <x:f>IF(D34="","",IFERROR(VLOOKUP(D34,'01 Staff Master'!$A$6:$M$105,6,FALSE),""))</x:f>
      </x:c>
      <x:c r="I34" s="25" t="str">
        <x:f>IF(OR(F34="",G34="",J34=""),"",F34&amp;"|"&amp;G34&amp;"|"&amp;J34)</x:f>
      </x:c>
      <x:c r="J34" s="24"/>
      <x:c r="K34" s="25" t="str">
        <x:f>IF(J34="","",IFERROR(VLOOKUP(J34,'02 Skill Catalogue'!$A$6:$K$95,4,FALSE),"Skill ID not found"))</x:f>
      </x:c>
      <x:c r="L34" s="25" t="str">
        <x:f>IF(I34="","",IFERROR(VLOOKUP(I34,'03 Position Requirements'!$A$6:$R$285,8,FALSE),"No Requirement"))</x:f>
      </x:c>
      <x:c r="M34" s="29" t="str">
        <x:f>IF(I34="","",IFERROR(VLOOKUP(I34,'03 Position Requirements'!$A$6:$R$285,9,FALSE),""))</x:f>
      </x:c>
      <x:c r="N34" s="25" t="str">
        <x:f>IF(I34="","",IFERROR(VLOOKUP(I34,'03 Position Requirements'!$A$6:$R$285,10,FALSE),""))</x:f>
      </x:c>
      <x:c r="O34" s="24"/>
      <x:c r="P34" s="25" t="str">
        <x:f>IF(OR(N34="",O34=""),"",MAX(N34-O34,0))</x:f>
      </x:c>
      <x:c r="Q34" s="30" t="str">
        <x:f>IF(P34="","",P34*M34)</x:f>
      </x:c>
      <x:c r="R34" s="30" t="str">
        <x:f>IF(OR(P34="",L34=""),"",P34*M34*IFERROR(VLOOKUP(L34,'99 Lists'!$A$19:$B$21,2,FALSE),1))</x:f>
      </x:c>
      <x:c r="S34" s="25" t="str">
        <x:f>IF(A34="","",IF(O34="","Not Assessed",IF(P34=0,"Meets / Exceeds",IF(P34=1,"Minor Gap",IF(P34=2,"Major Gap","Critical Gap")))))</x:f>
      </x:c>
      <x:c r="T34" s="24"/>
      <x:c r="U34" s="27"/>
      <x:c r="V34" s="24"/>
      <x:c r="W34" s="24"/>
      <x:c r="X34" s="24"/>
      <x:c r="Y34" s="26"/>
      <x:c r="Z34" s="31" t="str">
        <x:f>IF(B34="","",IF(Y34&lt;&gt;"",Y34,EDATE(B34,IFERROR(VLOOKUP(I34,'03 Position Requirements'!$A$6:$R$285,12,FALSE),12))))</x:f>
      </x:c>
      <x:c r="AA34" s="25" t="str">
        <x:f>IF(OR(B34="",D34="",J34=""),"",IF(COUNTIFS($D$6:$D$155,D34,$J$6:$J$155,J34,$B$6:$B$155,"&gt;"&amp;B34)=0,"Yes","No"))</x:f>
      </x:c>
      <x:c r="AB34" s="25" t="str">
        <x:f>IF(AA34="","",IF(AND(AA34="Yes",OR(P34&gt;0,AD34="Expired")),"Yes","No"))</x:f>
      </x:c>
      <x:c r="AC34" s="25" t="str">
        <x:f>IF(Z34="","",Z34-TODAY())</x:f>
      </x:c>
      <x:c r="AD34" s="25" t="str">
        <x:f>IF(A34="","",IF(O34="","Not Assessed",IF(Z34&lt;TODAY(),"Expired",IF(Z34&lt;=TODAY()+30,"Due Soon","Current"))))</x:f>
      </x:c>
      <x:c r="AE34" s="24"/>
    </x:row>
    <x:row r="35">
      <x:c r="A35" s="24"/>
      <x:c r="B35" s="26"/>
      <x:c r="C35" s="24"/>
      <x:c r="D35" s="24"/>
      <x:c r="E35" s="25" t="str">
        <x:f>IF(D35="","",IFERROR(VLOOKUP(D35,'01 Staff Master'!$A$6:$M$105,2,FALSE),"Staff ID not found"))</x:f>
      </x:c>
      <x:c r="F35" s="25" t="str">
        <x:f>IF(D35="","",IFERROR(VLOOKUP(D35,'01 Staff Master'!$A$6:$M$105,3,FALSE),""))</x:f>
      </x:c>
      <x:c r="G35" s="25" t="str">
        <x:f>IF(D35="","",IFERROR(VLOOKUP(D35,'01 Staff Master'!$A$6:$M$105,5,FALSE),""))</x:f>
      </x:c>
      <x:c r="H35" s="25" t="str">
        <x:f>IF(D35="","",IFERROR(VLOOKUP(D35,'01 Staff Master'!$A$6:$M$105,6,FALSE),""))</x:f>
      </x:c>
      <x:c r="I35" s="25" t="str">
        <x:f>IF(OR(F35="",G35="",J35=""),"",F35&amp;"|"&amp;G35&amp;"|"&amp;J35)</x:f>
      </x:c>
      <x:c r="J35" s="24"/>
      <x:c r="K35" s="25" t="str">
        <x:f>IF(J35="","",IFERROR(VLOOKUP(J35,'02 Skill Catalogue'!$A$6:$K$95,4,FALSE),"Skill ID not found"))</x:f>
      </x:c>
      <x:c r="L35" s="25" t="str">
        <x:f>IF(I35="","",IFERROR(VLOOKUP(I35,'03 Position Requirements'!$A$6:$R$285,8,FALSE),"No Requirement"))</x:f>
      </x:c>
      <x:c r="M35" s="29" t="str">
        <x:f>IF(I35="","",IFERROR(VLOOKUP(I35,'03 Position Requirements'!$A$6:$R$285,9,FALSE),""))</x:f>
      </x:c>
      <x:c r="N35" s="25" t="str">
        <x:f>IF(I35="","",IFERROR(VLOOKUP(I35,'03 Position Requirements'!$A$6:$R$285,10,FALSE),""))</x:f>
      </x:c>
      <x:c r="O35" s="24"/>
      <x:c r="P35" s="25" t="str">
        <x:f>IF(OR(N35="",O35=""),"",MAX(N35-O35,0))</x:f>
      </x:c>
      <x:c r="Q35" s="30" t="str">
        <x:f>IF(P35="","",P35*M35)</x:f>
      </x:c>
      <x:c r="R35" s="30" t="str">
        <x:f>IF(OR(P35="",L35=""),"",P35*M35*IFERROR(VLOOKUP(L35,'99 Lists'!$A$19:$B$21,2,FALSE),1))</x:f>
      </x:c>
      <x:c r="S35" s="25" t="str">
        <x:f>IF(A35="","",IF(O35="","Not Assessed",IF(P35=0,"Meets / Exceeds",IF(P35=1,"Minor Gap",IF(P35=2,"Major Gap","Critical Gap")))))</x:f>
      </x:c>
      <x:c r="T35" s="24"/>
      <x:c r="U35" s="27"/>
      <x:c r="V35" s="24"/>
      <x:c r="W35" s="24"/>
      <x:c r="X35" s="24"/>
      <x:c r="Y35" s="26"/>
      <x:c r="Z35" s="31" t="str">
        <x:f>IF(B35="","",IF(Y35&lt;&gt;"",Y35,EDATE(B35,IFERROR(VLOOKUP(I35,'03 Position Requirements'!$A$6:$R$285,12,FALSE),12))))</x:f>
      </x:c>
      <x:c r="AA35" s="25" t="str">
        <x:f>IF(OR(B35="",D35="",J35=""),"",IF(COUNTIFS($D$6:$D$155,D35,$J$6:$J$155,J35,$B$6:$B$155,"&gt;"&amp;B35)=0,"Yes","No"))</x:f>
      </x:c>
      <x:c r="AB35" s="25" t="str">
        <x:f>IF(AA35="","",IF(AND(AA35="Yes",OR(P35&gt;0,AD35="Expired")),"Yes","No"))</x:f>
      </x:c>
      <x:c r="AC35" s="25" t="str">
        <x:f>IF(Z35="","",Z35-TODAY())</x:f>
      </x:c>
      <x:c r="AD35" s="25" t="str">
        <x:f>IF(A35="","",IF(O35="","Not Assessed",IF(Z35&lt;TODAY(),"Expired",IF(Z35&lt;=TODAY()+30,"Due Soon","Current"))))</x:f>
      </x:c>
      <x:c r="AE35" s="24"/>
    </x:row>
    <x:row r="36">
      <x:c r="A36" s="24"/>
      <x:c r="B36" s="26"/>
      <x:c r="C36" s="24"/>
      <x:c r="D36" s="24"/>
      <x:c r="E36" s="25" t="str">
        <x:f>IF(D36="","",IFERROR(VLOOKUP(D36,'01 Staff Master'!$A$6:$M$105,2,FALSE),"Staff ID not found"))</x:f>
      </x:c>
      <x:c r="F36" s="25" t="str">
        <x:f>IF(D36="","",IFERROR(VLOOKUP(D36,'01 Staff Master'!$A$6:$M$105,3,FALSE),""))</x:f>
      </x:c>
      <x:c r="G36" s="25" t="str">
        <x:f>IF(D36="","",IFERROR(VLOOKUP(D36,'01 Staff Master'!$A$6:$M$105,5,FALSE),""))</x:f>
      </x:c>
      <x:c r="H36" s="25" t="str">
        <x:f>IF(D36="","",IFERROR(VLOOKUP(D36,'01 Staff Master'!$A$6:$M$105,6,FALSE),""))</x:f>
      </x:c>
      <x:c r="I36" s="25" t="str">
        <x:f>IF(OR(F36="",G36="",J36=""),"",F36&amp;"|"&amp;G36&amp;"|"&amp;J36)</x:f>
      </x:c>
      <x:c r="J36" s="24"/>
      <x:c r="K36" s="25" t="str">
        <x:f>IF(J36="","",IFERROR(VLOOKUP(J36,'02 Skill Catalogue'!$A$6:$K$95,4,FALSE),"Skill ID not found"))</x:f>
      </x:c>
      <x:c r="L36" s="25" t="str">
        <x:f>IF(I36="","",IFERROR(VLOOKUP(I36,'03 Position Requirements'!$A$6:$R$285,8,FALSE),"No Requirement"))</x:f>
      </x:c>
      <x:c r="M36" s="29" t="str">
        <x:f>IF(I36="","",IFERROR(VLOOKUP(I36,'03 Position Requirements'!$A$6:$R$285,9,FALSE),""))</x:f>
      </x:c>
      <x:c r="N36" s="25" t="str">
        <x:f>IF(I36="","",IFERROR(VLOOKUP(I36,'03 Position Requirements'!$A$6:$R$285,10,FALSE),""))</x:f>
      </x:c>
      <x:c r="O36" s="24"/>
      <x:c r="P36" s="25" t="str">
        <x:f>IF(OR(N36="",O36=""),"",MAX(N36-O36,0))</x:f>
      </x:c>
      <x:c r="Q36" s="30" t="str">
        <x:f>IF(P36="","",P36*M36)</x:f>
      </x:c>
      <x:c r="R36" s="30" t="str">
        <x:f>IF(OR(P36="",L36=""),"",P36*M36*IFERROR(VLOOKUP(L36,'99 Lists'!$A$19:$B$21,2,FALSE),1))</x:f>
      </x:c>
      <x:c r="S36" s="25" t="str">
        <x:f>IF(A36="","",IF(O36="","Not Assessed",IF(P36=0,"Meets / Exceeds",IF(P36=1,"Minor Gap",IF(P36=2,"Major Gap","Critical Gap")))))</x:f>
      </x:c>
      <x:c r="T36" s="24"/>
      <x:c r="U36" s="27"/>
      <x:c r="V36" s="24"/>
      <x:c r="W36" s="24"/>
      <x:c r="X36" s="24"/>
      <x:c r="Y36" s="26"/>
      <x:c r="Z36" s="31" t="str">
        <x:f>IF(B36="","",IF(Y36&lt;&gt;"",Y36,EDATE(B36,IFERROR(VLOOKUP(I36,'03 Position Requirements'!$A$6:$R$285,12,FALSE),12))))</x:f>
      </x:c>
      <x:c r="AA36" s="25" t="str">
        <x:f>IF(OR(B36="",D36="",J36=""),"",IF(COUNTIFS($D$6:$D$155,D36,$J$6:$J$155,J36,$B$6:$B$155,"&gt;"&amp;B36)=0,"Yes","No"))</x:f>
      </x:c>
      <x:c r="AB36" s="25" t="str">
        <x:f>IF(AA36="","",IF(AND(AA36="Yes",OR(P36&gt;0,AD36="Expired")),"Yes","No"))</x:f>
      </x:c>
      <x:c r="AC36" s="25" t="str">
        <x:f>IF(Z36="","",Z36-TODAY())</x:f>
      </x:c>
      <x:c r="AD36" s="25" t="str">
        <x:f>IF(A36="","",IF(O36="","Not Assessed",IF(Z36&lt;TODAY(),"Expired",IF(Z36&lt;=TODAY()+30,"Due Soon","Current"))))</x:f>
      </x:c>
      <x:c r="AE36" s="24"/>
    </x:row>
    <x:row r="37">
      <x:c r="A37" s="24"/>
      <x:c r="B37" s="26"/>
      <x:c r="C37" s="24"/>
      <x:c r="D37" s="24"/>
      <x:c r="E37" s="25" t="str">
        <x:f>IF(D37="","",IFERROR(VLOOKUP(D37,'01 Staff Master'!$A$6:$M$105,2,FALSE),"Staff ID not found"))</x:f>
      </x:c>
      <x:c r="F37" s="25" t="str">
        <x:f>IF(D37="","",IFERROR(VLOOKUP(D37,'01 Staff Master'!$A$6:$M$105,3,FALSE),""))</x:f>
      </x:c>
      <x:c r="G37" s="25" t="str">
        <x:f>IF(D37="","",IFERROR(VLOOKUP(D37,'01 Staff Master'!$A$6:$M$105,5,FALSE),""))</x:f>
      </x:c>
      <x:c r="H37" s="25" t="str">
        <x:f>IF(D37="","",IFERROR(VLOOKUP(D37,'01 Staff Master'!$A$6:$M$105,6,FALSE),""))</x:f>
      </x:c>
      <x:c r="I37" s="25" t="str">
        <x:f>IF(OR(F37="",G37="",J37=""),"",F37&amp;"|"&amp;G37&amp;"|"&amp;J37)</x:f>
      </x:c>
      <x:c r="J37" s="24"/>
      <x:c r="K37" s="25" t="str">
        <x:f>IF(J37="","",IFERROR(VLOOKUP(J37,'02 Skill Catalogue'!$A$6:$K$95,4,FALSE),"Skill ID not found"))</x:f>
      </x:c>
      <x:c r="L37" s="25" t="str">
        <x:f>IF(I37="","",IFERROR(VLOOKUP(I37,'03 Position Requirements'!$A$6:$R$285,8,FALSE),"No Requirement"))</x:f>
      </x:c>
      <x:c r="M37" s="29" t="str">
        <x:f>IF(I37="","",IFERROR(VLOOKUP(I37,'03 Position Requirements'!$A$6:$R$285,9,FALSE),""))</x:f>
      </x:c>
      <x:c r="N37" s="25" t="str">
        <x:f>IF(I37="","",IFERROR(VLOOKUP(I37,'03 Position Requirements'!$A$6:$R$285,10,FALSE),""))</x:f>
      </x:c>
      <x:c r="O37" s="24"/>
      <x:c r="P37" s="25" t="str">
        <x:f>IF(OR(N37="",O37=""),"",MAX(N37-O37,0))</x:f>
      </x:c>
      <x:c r="Q37" s="30" t="str">
        <x:f>IF(P37="","",P37*M37)</x:f>
      </x:c>
      <x:c r="R37" s="30" t="str">
        <x:f>IF(OR(P37="",L37=""),"",P37*M37*IFERROR(VLOOKUP(L37,'99 Lists'!$A$19:$B$21,2,FALSE),1))</x:f>
      </x:c>
      <x:c r="S37" s="25" t="str">
        <x:f>IF(A37="","",IF(O37="","Not Assessed",IF(P37=0,"Meets / Exceeds",IF(P37=1,"Minor Gap",IF(P37=2,"Major Gap","Critical Gap")))))</x:f>
      </x:c>
      <x:c r="T37" s="24"/>
      <x:c r="U37" s="27"/>
      <x:c r="V37" s="24"/>
      <x:c r="W37" s="24"/>
      <x:c r="X37" s="24"/>
      <x:c r="Y37" s="26"/>
      <x:c r="Z37" s="31" t="str">
        <x:f>IF(B37="","",IF(Y37&lt;&gt;"",Y37,EDATE(B37,IFERROR(VLOOKUP(I37,'03 Position Requirements'!$A$6:$R$285,12,FALSE),12))))</x:f>
      </x:c>
      <x:c r="AA37" s="25" t="str">
        <x:f>IF(OR(B37="",D37="",J37=""),"",IF(COUNTIFS($D$6:$D$155,D37,$J$6:$J$155,J37,$B$6:$B$155,"&gt;"&amp;B37)=0,"Yes","No"))</x:f>
      </x:c>
      <x:c r="AB37" s="25" t="str">
        <x:f>IF(AA37="","",IF(AND(AA37="Yes",OR(P37&gt;0,AD37="Expired")),"Yes","No"))</x:f>
      </x:c>
      <x:c r="AC37" s="25" t="str">
        <x:f>IF(Z37="","",Z37-TODAY())</x:f>
      </x:c>
      <x:c r="AD37" s="25" t="str">
        <x:f>IF(A37="","",IF(O37="","Not Assessed",IF(Z37&lt;TODAY(),"Expired",IF(Z37&lt;=TODAY()+30,"Due Soon","Current"))))</x:f>
      </x:c>
      <x:c r="AE37" s="24"/>
    </x:row>
    <x:row r="38">
      <x:c r="A38" s="24"/>
      <x:c r="B38" s="26"/>
      <x:c r="C38" s="24"/>
      <x:c r="D38" s="24"/>
      <x:c r="E38" s="25" t="str">
        <x:f>IF(D38="","",IFERROR(VLOOKUP(D38,'01 Staff Master'!$A$6:$M$105,2,FALSE),"Staff ID not found"))</x:f>
      </x:c>
      <x:c r="F38" s="25" t="str">
        <x:f>IF(D38="","",IFERROR(VLOOKUP(D38,'01 Staff Master'!$A$6:$M$105,3,FALSE),""))</x:f>
      </x:c>
      <x:c r="G38" s="25" t="str">
        <x:f>IF(D38="","",IFERROR(VLOOKUP(D38,'01 Staff Master'!$A$6:$M$105,5,FALSE),""))</x:f>
      </x:c>
      <x:c r="H38" s="25" t="str">
        <x:f>IF(D38="","",IFERROR(VLOOKUP(D38,'01 Staff Master'!$A$6:$M$105,6,FALSE),""))</x:f>
      </x:c>
      <x:c r="I38" s="25" t="str">
        <x:f>IF(OR(F38="",G38="",J38=""),"",F38&amp;"|"&amp;G38&amp;"|"&amp;J38)</x:f>
      </x:c>
      <x:c r="J38" s="24"/>
      <x:c r="K38" s="25" t="str">
        <x:f>IF(J38="","",IFERROR(VLOOKUP(J38,'02 Skill Catalogue'!$A$6:$K$95,4,FALSE),"Skill ID not found"))</x:f>
      </x:c>
      <x:c r="L38" s="25" t="str">
        <x:f>IF(I38="","",IFERROR(VLOOKUP(I38,'03 Position Requirements'!$A$6:$R$285,8,FALSE),"No Requirement"))</x:f>
      </x:c>
      <x:c r="M38" s="29" t="str">
        <x:f>IF(I38="","",IFERROR(VLOOKUP(I38,'03 Position Requirements'!$A$6:$R$285,9,FALSE),""))</x:f>
      </x:c>
      <x:c r="N38" s="25" t="str">
        <x:f>IF(I38="","",IFERROR(VLOOKUP(I38,'03 Position Requirements'!$A$6:$R$285,10,FALSE),""))</x:f>
      </x:c>
      <x:c r="O38" s="24"/>
      <x:c r="P38" s="25" t="str">
        <x:f>IF(OR(N38="",O38=""),"",MAX(N38-O38,0))</x:f>
      </x:c>
      <x:c r="Q38" s="30" t="str">
        <x:f>IF(P38="","",P38*M38)</x:f>
      </x:c>
      <x:c r="R38" s="30" t="str">
        <x:f>IF(OR(P38="",L38=""),"",P38*M38*IFERROR(VLOOKUP(L38,'99 Lists'!$A$19:$B$21,2,FALSE),1))</x:f>
      </x:c>
      <x:c r="S38" s="25" t="str">
        <x:f>IF(A38="","",IF(O38="","Not Assessed",IF(P38=0,"Meets / Exceeds",IF(P38=1,"Minor Gap",IF(P38=2,"Major Gap","Critical Gap")))))</x:f>
      </x:c>
      <x:c r="T38" s="24"/>
      <x:c r="U38" s="27"/>
      <x:c r="V38" s="24"/>
      <x:c r="W38" s="24"/>
      <x:c r="X38" s="24"/>
      <x:c r="Y38" s="26"/>
      <x:c r="Z38" s="31" t="str">
        <x:f>IF(B38="","",IF(Y38&lt;&gt;"",Y38,EDATE(B38,IFERROR(VLOOKUP(I38,'03 Position Requirements'!$A$6:$R$285,12,FALSE),12))))</x:f>
      </x:c>
      <x:c r="AA38" s="25" t="str">
        <x:f>IF(OR(B38="",D38="",J38=""),"",IF(COUNTIFS($D$6:$D$155,D38,$J$6:$J$155,J38,$B$6:$B$155,"&gt;"&amp;B38)=0,"Yes","No"))</x:f>
      </x:c>
      <x:c r="AB38" s="25" t="str">
        <x:f>IF(AA38="","",IF(AND(AA38="Yes",OR(P38&gt;0,AD38="Expired")),"Yes","No"))</x:f>
      </x:c>
      <x:c r="AC38" s="25" t="str">
        <x:f>IF(Z38="","",Z38-TODAY())</x:f>
      </x:c>
      <x:c r="AD38" s="25" t="str">
        <x:f>IF(A38="","",IF(O38="","Not Assessed",IF(Z38&lt;TODAY(),"Expired",IF(Z38&lt;=TODAY()+30,"Due Soon","Current"))))</x:f>
      </x:c>
      <x:c r="AE38" s="24"/>
    </x:row>
    <x:row r="39">
      <x:c r="A39" s="24"/>
      <x:c r="B39" s="26"/>
      <x:c r="C39" s="24"/>
      <x:c r="D39" s="24"/>
      <x:c r="E39" s="25" t="str">
        <x:f>IF(D39="","",IFERROR(VLOOKUP(D39,'01 Staff Master'!$A$6:$M$105,2,FALSE),"Staff ID not found"))</x:f>
      </x:c>
      <x:c r="F39" s="25" t="str">
        <x:f>IF(D39="","",IFERROR(VLOOKUP(D39,'01 Staff Master'!$A$6:$M$105,3,FALSE),""))</x:f>
      </x:c>
      <x:c r="G39" s="25" t="str">
        <x:f>IF(D39="","",IFERROR(VLOOKUP(D39,'01 Staff Master'!$A$6:$M$105,5,FALSE),""))</x:f>
      </x:c>
      <x:c r="H39" s="25" t="str">
        <x:f>IF(D39="","",IFERROR(VLOOKUP(D39,'01 Staff Master'!$A$6:$M$105,6,FALSE),""))</x:f>
      </x:c>
      <x:c r="I39" s="25" t="str">
        <x:f>IF(OR(F39="",G39="",J39=""),"",F39&amp;"|"&amp;G39&amp;"|"&amp;J39)</x:f>
      </x:c>
      <x:c r="J39" s="24"/>
      <x:c r="K39" s="25" t="str">
        <x:f>IF(J39="","",IFERROR(VLOOKUP(J39,'02 Skill Catalogue'!$A$6:$K$95,4,FALSE),"Skill ID not found"))</x:f>
      </x:c>
      <x:c r="L39" s="25" t="str">
        <x:f>IF(I39="","",IFERROR(VLOOKUP(I39,'03 Position Requirements'!$A$6:$R$285,8,FALSE),"No Requirement"))</x:f>
      </x:c>
      <x:c r="M39" s="29" t="str">
        <x:f>IF(I39="","",IFERROR(VLOOKUP(I39,'03 Position Requirements'!$A$6:$R$285,9,FALSE),""))</x:f>
      </x:c>
      <x:c r="N39" s="25" t="str">
        <x:f>IF(I39="","",IFERROR(VLOOKUP(I39,'03 Position Requirements'!$A$6:$R$285,10,FALSE),""))</x:f>
      </x:c>
      <x:c r="O39" s="24"/>
      <x:c r="P39" s="25" t="str">
        <x:f>IF(OR(N39="",O39=""),"",MAX(N39-O39,0))</x:f>
      </x:c>
      <x:c r="Q39" s="30" t="str">
        <x:f>IF(P39="","",P39*M39)</x:f>
      </x:c>
      <x:c r="R39" s="30" t="str">
        <x:f>IF(OR(P39="",L39=""),"",P39*M39*IFERROR(VLOOKUP(L39,'99 Lists'!$A$19:$B$21,2,FALSE),1))</x:f>
      </x:c>
      <x:c r="S39" s="25" t="str">
        <x:f>IF(A39="","",IF(O39="","Not Assessed",IF(P39=0,"Meets / Exceeds",IF(P39=1,"Minor Gap",IF(P39=2,"Major Gap","Critical Gap")))))</x:f>
      </x:c>
      <x:c r="T39" s="24"/>
      <x:c r="U39" s="27"/>
      <x:c r="V39" s="24"/>
      <x:c r="W39" s="24"/>
      <x:c r="X39" s="24"/>
      <x:c r="Y39" s="26"/>
      <x:c r="Z39" s="31" t="str">
        <x:f>IF(B39="","",IF(Y39&lt;&gt;"",Y39,EDATE(B39,IFERROR(VLOOKUP(I39,'03 Position Requirements'!$A$6:$R$285,12,FALSE),12))))</x:f>
      </x:c>
      <x:c r="AA39" s="25" t="str">
        <x:f>IF(OR(B39="",D39="",J39=""),"",IF(COUNTIFS($D$6:$D$155,D39,$J$6:$J$155,J39,$B$6:$B$155,"&gt;"&amp;B39)=0,"Yes","No"))</x:f>
      </x:c>
      <x:c r="AB39" s="25" t="str">
        <x:f>IF(AA39="","",IF(AND(AA39="Yes",OR(P39&gt;0,AD39="Expired")),"Yes","No"))</x:f>
      </x:c>
      <x:c r="AC39" s="25" t="str">
        <x:f>IF(Z39="","",Z39-TODAY())</x:f>
      </x:c>
      <x:c r="AD39" s="25" t="str">
        <x:f>IF(A39="","",IF(O39="","Not Assessed",IF(Z39&lt;TODAY(),"Expired",IF(Z39&lt;=TODAY()+30,"Due Soon","Current"))))</x:f>
      </x:c>
      <x:c r="AE39" s="24"/>
    </x:row>
    <x:row r="40">
      <x:c r="A40" s="24"/>
      <x:c r="B40" s="26"/>
      <x:c r="C40" s="24"/>
      <x:c r="D40" s="24"/>
      <x:c r="E40" s="25" t="str">
        <x:f>IF(D40="","",IFERROR(VLOOKUP(D40,'01 Staff Master'!$A$6:$M$105,2,FALSE),"Staff ID not found"))</x:f>
      </x:c>
      <x:c r="F40" s="25" t="str">
        <x:f>IF(D40="","",IFERROR(VLOOKUP(D40,'01 Staff Master'!$A$6:$M$105,3,FALSE),""))</x:f>
      </x:c>
      <x:c r="G40" s="25" t="str">
        <x:f>IF(D40="","",IFERROR(VLOOKUP(D40,'01 Staff Master'!$A$6:$M$105,5,FALSE),""))</x:f>
      </x:c>
      <x:c r="H40" s="25" t="str">
        <x:f>IF(D40="","",IFERROR(VLOOKUP(D40,'01 Staff Master'!$A$6:$M$105,6,FALSE),""))</x:f>
      </x:c>
      <x:c r="I40" s="25" t="str">
        <x:f>IF(OR(F40="",G40="",J40=""),"",F40&amp;"|"&amp;G40&amp;"|"&amp;J40)</x:f>
      </x:c>
      <x:c r="J40" s="24"/>
      <x:c r="K40" s="25" t="str">
        <x:f>IF(J40="","",IFERROR(VLOOKUP(J40,'02 Skill Catalogue'!$A$6:$K$95,4,FALSE),"Skill ID not found"))</x:f>
      </x:c>
      <x:c r="L40" s="25" t="str">
        <x:f>IF(I40="","",IFERROR(VLOOKUP(I40,'03 Position Requirements'!$A$6:$R$285,8,FALSE),"No Requirement"))</x:f>
      </x:c>
      <x:c r="M40" s="29" t="str">
        <x:f>IF(I40="","",IFERROR(VLOOKUP(I40,'03 Position Requirements'!$A$6:$R$285,9,FALSE),""))</x:f>
      </x:c>
      <x:c r="N40" s="25" t="str">
        <x:f>IF(I40="","",IFERROR(VLOOKUP(I40,'03 Position Requirements'!$A$6:$R$285,10,FALSE),""))</x:f>
      </x:c>
      <x:c r="O40" s="24"/>
      <x:c r="P40" s="25" t="str">
        <x:f>IF(OR(N40="",O40=""),"",MAX(N40-O40,0))</x:f>
      </x:c>
      <x:c r="Q40" s="30" t="str">
        <x:f>IF(P40="","",P40*M40)</x:f>
      </x:c>
      <x:c r="R40" s="30" t="str">
        <x:f>IF(OR(P40="",L40=""),"",P40*M40*IFERROR(VLOOKUP(L40,'99 Lists'!$A$19:$B$21,2,FALSE),1))</x:f>
      </x:c>
      <x:c r="S40" s="25" t="str">
        <x:f>IF(A40="","",IF(O40="","Not Assessed",IF(P40=0,"Meets / Exceeds",IF(P40=1,"Minor Gap",IF(P40=2,"Major Gap","Critical Gap")))))</x:f>
      </x:c>
      <x:c r="T40" s="24"/>
      <x:c r="U40" s="27"/>
      <x:c r="V40" s="24"/>
      <x:c r="W40" s="24"/>
      <x:c r="X40" s="24"/>
      <x:c r="Y40" s="26"/>
      <x:c r="Z40" s="31" t="str">
        <x:f>IF(B40="","",IF(Y40&lt;&gt;"",Y40,EDATE(B40,IFERROR(VLOOKUP(I40,'03 Position Requirements'!$A$6:$R$285,12,FALSE),12))))</x:f>
      </x:c>
      <x:c r="AA40" s="25" t="str">
        <x:f>IF(OR(B40="",D40="",J40=""),"",IF(COUNTIFS($D$6:$D$155,D40,$J$6:$J$155,J40,$B$6:$B$155,"&gt;"&amp;B40)=0,"Yes","No"))</x:f>
      </x:c>
      <x:c r="AB40" s="25" t="str">
        <x:f>IF(AA40="","",IF(AND(AA40="Yes",OR(P40&gt;0,AD40="Expired")),"Yes","No"))</x:f>
      </x:c>
      <x:c r="AC40" s="25" t="str">
        <x:f>IF(Z40="","",Z40-TODAY())</x:f>
      </x:c>
      <x:c r="AD40" s="25" t="str">
        <x:f>IF(A40="","",IF(O40="","Not Assessed",IF(Z40&lt;TODAY(),"Expired",IF(Z40&lt;=TODAY()+30,"Due Soon","Current"))))</x:f>
      </x:c>
      <x:c r="AE40" s="24"/>
    </x:row>
    <x:row r="41">
      <x:c r="A41" s="24"/>
      <x:c r="B41" s="26"/>
      <x:c r="C41" s="24"/>
      <x:c r="D41" s="24"/>
      <x:c r="E41" s="25" t="str">
        <x:f>IF(D41="","",IFERROR(VLOOKUP(D41,'01 Staff Master'!$A$6:$M$105,2,FALSE),"Staff ID not found"))</x:f>
      </x:c>
      <x:c r="F41" s="25" t="str">
        <x:f>IF(D41="","",IFERROR(VLOOKUP(D41,'01 Staff Master'!$A$6:$M$105,3,FALSE),""))</x:f>
      </x:c>
      <x:c r="G41" s="25" t="str">
        <x:f>IF(D41="","",IFERROR(VLOOKUP(D41,'01 Staff Master'!$A$6:$M$105,5,FALSE),""))</x:f>
      </x:c>
      <x:c r="H41" s="25" t="str">
        <x:f>IF(D41="","",IFERROR(VLOOKUP(D41,'01 Staff Master'!$A$6:$M$105,6,FALSE),""))</x:f>
      </x:c>
      <x:c r="I41" s="25" t="str">
        <x:f>IF(OR(F41="",G41="",J41=""),"",F41&amp;"|"&amp;G41&amp;"|"&amp;J41)</x:f>
      </x:c>
      <x:c r="J41" s="24"/>
      <x:c r="K41" s="25" t="str">
        <x:f>IF(J41="","",IFERROR(VLOOKUP(J41,'02 Skill Catalogue'!$A$6:$K$95,4,FALSE),"Skill ID not found"))</x:f>
      </x:c>
      <x:c r="L41" s="25" t="str">
        <x:f>IF(I41="","",IFERROR(VLOOKUP(I41,'03 Position Requirements'!$A$6:$R$285,8,FALSE),"No Requirement"))</x:f>
      </x:c>
      <x:c r="M41" s="29" t="str">
        <x:f>IF(I41="","",IFERROR(VLOOKUP(I41,'03 Position Requirements'!$A$6:$R$285,9,FALSE),""))</x:f>
      </x:c>
      <x:c r="N41" s="25" t="str">
        <x:f>IF(I41="","",IFERROR(VLOOKUP(I41,'03 Position Requirements'!$A$6:$R$285,10,FALSE),""))</x:f>
      </x:c>
      <x:c r="O41" s="24"/>
      <x:c r="P41" s="25" t="str">
        <x:f>IF(OR(N41="",O41=""),"",MAX(N41-O41,0))</x:f>
      </x:c>
      <x:c r="Q41" s="30" t="str">
        <x:f>IF(P41="","",P41*M41)</x:f>
      </x:c>
      <x:c r="R41" s="30" t="str">
        <x:f>IF(OR(P41="",L41=""),"",P41*M41*IFERROR(VLOOKUP(L41,'99 Lists'!$A$19:$B$21,2,FALSE),1))</x:f>
      </x:c>
      <x:c r="S41" s="25" t="str">
        <x:f>IF(A41="","",IF(O41="","Not Assessed",IF(P41=0,"Meets / Exceeds",IF(P41=1,"Minor Gap",IF(P41=2,"Major Gap","Critical Gap")))))</x:f>
      </x:c>
      <x:c r="T41" s="24"/>
      <x:c r="U41" s="27"/>
      <x:c r="V41" s="24"/>
      <x:c r="W41" s="24"/>
      <x:c r="X41" s="24"/>
      <x:c r="Y41" s="26"/>
      <x:c r="Z41" s="31" t="str">
        <x:f>IF(B41="","",IF(Y41&lt;&gt;"",Y41,EDATE(B41,IFERROR(VLOOKUP(I41,'03 Position Requirements'!$A$6:$R$285,12,FALSE),12))))</x:f>
      </x:c>
      <x:c r="AA41" s="25" t="str">
        <x:f>IF(OR(B41="",D41="",J41=""),"",IF(COUNTIFS($D$6:$D$155,D41,$J$6:$J$155,J41,$B$6:$B$155,"&gt;"&amp;B41)=0,"Yes","No"))</x:f>
      </x:c>
      <x:c r="AB41" s="25" t="str">
        <x:f>IF(AA41="","",IF(AND(AA41="Yes",OR(P41&gt;0,AD41="Expired")),"Yes","No"))</x:f>
      </x:c>
      <x:c r="AC41" s="25" t="str">
        <x:f>IF(Z41="","",Z41-TODAY())</x:f>
      </x:c>
      <x:c r="AD41" s="25" t="str">
        <x:f>IF(A41="","",IF(O41="","Not Assessed",IF(Z41&lt;TODAY(),"Expired",IF(Z41&lt;=TODAY()+30,"Due Soon","Current"))))</x:f>
      </x:c>
      <x:c r="AE41" s="24"/>
    </x:row>
    <x:row r="42">
      <x:c r="A42" s="24"/>
      <x:c r="B42" s="26"/>
      <x:c r="C42" s="24"/>
      <x:c r="D42" s="24"/>
      <x:c r="E42" s="25" t="str">
        <x:f>IF(D42="","",IFERROR(VLOOKUP(D42,'01 Staff Master'!$A$6:$M$105,2,FALSE),"Staff ID not found"))</x:f>
      </x:c>
      <x:c r="F42" s="25" t="str">
        <x:f>IF(D42="","",IFERROR(VLOOKUP(D42,'01 Staff Master'!$A$6:$M$105,3,FALSE),""))</x:f>
      </x:c>
      <x:c r="G42" s="25" t="str">
        <x:f>IF(D42="","",IFERROR(VLOOKUP(D42,'01 Staff Master'!$A$6:$M$105,5,FALSE),""))</x:f>
      </x:c>
      <x:c r="H42" s="25" t="str">
        <x:f>IF(D42="","",IFERROR(VLOOKUP(D42,'01 Staff Master'!$A$6:$M$105,6,FALSE),""))</x:f>
      </x:c>
      <x:c r="I42" s="25" t="str">
        <x:f>IF(OR(F42="",G42="",J42=""),"",F42&amp;"|"&amp;G42&amp;"|"&amp;J42)</x:f>
      </x:c>
      <x:c r="J42" s="24"/>
      <x:c r="K42" s="25" t="str">
        <x:f>IF(J42="","",IFERROR(VLOOKUP(J42,'02 Skill Catalogue'!$A$6:$K$95,4,FALSE),"Skill ID not found"))</x:f>
      </x:c>
      <x:c r="L42" s="25" t="str">
        <x:f>IF(I42="","",IFERROR(VLOOKUP(I42,'03 Position Requirements'!$A$6:$R$285,8,FALSE),"No Requirement"))</x:f>
      </x:c>
      <x:c r="M42" s="29" t="str">
        <x:f>IF(I42="","",IFERROR(VLOOKUP(I42,'03 Position Requirements'!$A$6:$R$285,9,FALSE),""))</x:f>
      </x:c>
      <x:c r="N42" s="25" t="str">
        <x:f>IF(I42="","",IFERROR(VLOOKUP(I42,'03 Position Requirements'!$A$6:$R$285,10,FALSE),""))</x:f>
      </x:c>
      <x:c r="O42" s="24"/>
      <x:c r="P42" s="25" t="str">
        <x:f>IF(OR(N42="",O42=""),"",MAX(N42-O42,0))</x:f>
      </x:c>
      <x:c r="Q42" s="30" t="str">
        <x:f>IF(P42="","",P42*M42)</x:f>
      </x:c>
      <x:c r="R42" s="30" t="str">
        <x:f>IF(OR(P42="",L42=""),"",P42*M42*IFERROR(VLOOKUP(L42,'99 Lists'!$A$19:$B$21,2,FALSE),1))</x:f>
      </x:c>
      <x:c r="S42" s="25" t="str">
        <x:f>IF(A42="","",IF(O42="","Not Assessed",IF(P42=0,"Meets / Exceeds",IF(P42=1,"Minor Gap",IF(P42=2,"Major Gap","Critical Gap")))))</x:f>
      </x:c>
      <x:c r="T42" s="24"/>
      <x:c r="U42" s="27"/>
      <x:c r="V42" s="24"/>
      <x:c r="W42" s="24"/>
      <x:c r="X42" s="24"/>
      <x:c r="Y42" s="26"/>
      <x:c r="Z42" s="31" t="str">
        <x:f>IF(B42="","",IF(Y42&lt;&gt;"",Y42,EDATE(B42,IFERROR(VLOOKUP(I42,'03 Position Requirements'!$A$6:$R$285,12,FALSE),12))))</x:f>
      </x:c>
      <x:c r="AA42" s="25" t="str">
        <x:f>IF(OR(B42="",D42="",J42=""),"",IF(COUNTIFS($D$6:$D$155,D42,$J$6:$J$155,J42,$B$6:$B$155,"&gt;"&amp;B42)=0,"Yes","No"))</x:f>
      </x:c>
      <x:c r="AB42" s="25" t="str">
        <x:f>IF(AA42="","",IF(AND(AA42="Yes",OR(P42&gt;0,AD42="Expired")),"Yes","No"))</x:f>
      </x:c>
      <x:c r="AC42" s="25" t="str">
        <x:f>IF(Z42="","",Z42-TODAY())</x:f>
      </x:c>
      <x:c r="AD42" s="25" t="str">
        <x:f>IF(A42="","",IF(O42="","Not Assessed",IF(Z42&lt;TODAY(),"Expired",IF(Z42&lt;=TODAY()+30,"Due Soon","Current"))))</x:f>
      </x:c>
      <x:c r="AE42" s="24"/>
    </x:row>
    <x:row r="43">
      <x:c r="A43" s="24"/>
      <x:c r="B43" s="26"/>
      <x:c r="C43" s="24"/>
      <x:c r="D43" s="24"/>
      <x:c r="E43" s="25" t="str">
        <x:f>IF(D43="","",IFERROR(VLOOKUP(D43,'01 Staff Master'!$A$6:$M$105,2,FALSE),"Staff ID not found"))</x:f>
      </x:c>
      <x:c r="F43" s="25" t="str">
        <x:f>IF(D43="","",IFERROR(VLOOKUP(D43,'01 Staff Master'!$A$6:$M$105,3,FALSE),""))</x:f>
      </x:c>
      <x:c r="G43" s="25" t="str">
        <x:f>IF(D43="","",IFERROR(VLOOKUP(D43,'01 Staff Master'!$A$6:$M$105,5,FALSE),""))</x:f>
      </x:c>
      <x:c r="H43" s="25" t="str">
        <x:f>IF(D43="","",IFERROR(VLOOKUP(D43,'01 Staff Master'!$A$6:$M$105,6,FALSE),""))</x:f>
      </x:c>
      <x:c r="I43" s="25" t="str">
        <x:f>IF(OR(F43="",G43="",J43=""),"",F43&amp;"|"&amp;G43&amp;"|"&amp;J43)</x:f>
      </x:c>
      <x:c r="J43" s="24"/>
      <x:c r="K43" s="25" t="str">
        <x:f>IF(J43="","",IFERROR(VLOOKUP(J43,'02 Skill Catalogue'!$A$6:$K$95,4,FALSE),"Skill ID not found"))</x:f>
      </x:c>
      <x:c r="L43" s="25" t="str">
        <x:f>IF(I43="","",IFERROR(VLOOKUP(I43,'03 Position Requirements'!$A$6:$R$285,8,FALSE),"No Requirement"))</x:f>
      </x:c>
      <x:c r="M43" s="29" t="str">
        <x:f>IF(I43="","",IFERROR(VLOOKUP(I43,'03 Position Requirements'!$A$6:$R$285,9,FALSE),""))</x:f>
      </x:c>
      <x:c r="N43" s="25" t="str">
        <x:f>IF(I43="","",IFERROR(VLOOKUP(I43,'03 Position Requirements'!$A$6:$R$285,10,FALSE),""))</x:f>
      </x:c>
      <x:c r="O43" s="24"/>
      <x:c r="P43" s="25" t="str">
        <x:f>IF(OR(N43="",O43=""),"",MAX(N43-O43,0))</x:f>
      </x:c>
      <x:c r="Q43" s="30" t="str">
        <x:f>IF(P43="","",P43*M43)</x:f>
      </x:c>
      <x:c r="R43" s="30" t="str">
        <x:f>IF(OR(P43="",L43=""),"",P43*M43*IFERROR(VLOOKUP(L43,'99 Lists'!$A$19:$B$21,2,FALSE),1))</x:f>
      </x:c>
      <x:c r="S43" s="25" t="str">
        <x:f>IF(A43="","",IF(O43="","Not Assessed",IF(P43=0,"Meets / Exceeds",IF(P43=1,"Minor Gap",IF(P43=2,"Major Gap","Critical Gap")))))</x:f>
      </x:c>
      <x:c r="T43" s="24"/>
      <x:c r="U43" s="27"/>
      <x:c r="V43" s="24"/>
      <x:c r="W43" s="24"/>
      <x:c r="X43" s="24"/>
      <x:c r="Y43" s="26"/>
      <x:c r="Z43" s="31" t="str">
        <x:f>IF(B43="","",IF(Y43&lt;&gt;"",Y43,EDATE(B43,IFERROR(VLOOKUP(I43,'03 Position Requirements'!$A$6:$R$285,12,FALSE),12))))</x:f>
      </x:c>
      <x:c r="AA43" s="25" t="str">
        <x:f>IF(OR(B43="",D43="",J43=""),"",IF(COUNTIFS($D$6:$D$155,D43,$J$6:$J$155,J43,$B$6:$B$155,"&gt;"&amp;B43)=0,"Yes","No"))</x:f>
      </x:c>
      <x:c r="AB43" s="25" t="str">
        <x:f>IF(AA43="","",IF(AND(AA43="Yes",OR(P43&gt;0,AD43="Expired")),"Yes","No"))</x:f>
      </x:c>
      <x:c r="AC43" s="25" t="str">
        <x:f>IF(Z43="","",Z43-TODAY())</x:f>
      </x:c>
      <x:c r="AD43" s="25" t="str">
        <x:f>IF(A43="","",IF(O43="","Not Assessed",IF(Z43&lt;TODAY(),"Expired",IF(Z43&lt;=TODAY()+30,"Due Soon","Current"))))</x:f>
      </x:c>
      <x:c r="AE43" s="24"/>
    </x:row>
    <x:row r="44">
      <x:c r="A44" s="24"/>
      <x:c r="B44" s="26"/>
      <x:c r="C44" s="24"/>
      <x:c r="D44" s="24"/>
      <x:c r="E44" s="25" t="str">
        <x:f>IF(D44="","",IFERROR(VLOOKUP(D44,'01 Staff Master'!$A$6:$M$105,2,FALSE),"Staff ID not found"))</x:f>
      </x:c>
      <x:c r="F44" s="25" t="str">
        <x:f>IF(D44="","",IFERROR(VLOOKUP(D44,'01 Staff Master'!$A$6:$M$105,3,FALSE),""))</x:f>
      </x:c>
      <x:c r="G44" s="25" t="str">
        <x:f>IF(D44="","",IFERROR(VLOOKUP(D44,'01 Staff Master'!$A$6:$M$105,5,FALSE),""))</x:f>
      </x:c>
      <x:c r="H44" s="25" t="str">
        <x:f>IF(D44="","",IFERROR(VLOOKUP(D44,'01 Staff Master'!$A$6:$M$105,6,FALSE),""))</x:f>
      </x:c>
      <x:c r="I44" s="25" t="str">
        <x:f>IF(OR(F44="",G44="",J44=""),"",F44&amp;"|"&amp;G44&amp;"|"&amp;J44)</x:f>
      </x:c>
      <x:c r="J44" s="24"/>
      <x:c r="K44" s="25" t="str">
        <x:f>IF(J44="","",IFERROR(VLOOKUP(J44,'02 Skill Catalogue'!$A$6:$K$95,4,FALSE),"Skill ID not found"))</x:f>
      </x:c>
      <x:c r="L44" s="25" t="str">
        <x:f>IF(I44="","",IFERROR(VLOOKUP(I44,'03 Position Requirements'!$A$6:$R$285,8,FALSE),"No Requirement"))</x:f>
      </x:c>
      <x:c r="M44" s="29" t="str">
        <x:f>IF(I44="","",IFERROR(VLOOKUP(I44,'03 Position Requirements'!$A$6:$R$285,9,FALSE),""))</x:f>
      </x:c>
      <x:c r="N44" s="25" t="str">
        <x:f>IF(I44="","",IFERROR(VLOOKUP(I44,'03 Position Requirements'!$A$6:$R$285,10,FALSE),""))</x:f>
      </x:c>
      <x:c r="O44" s="24"/>
      <x:c r="P44" s="25" t="str">
        <x:f>IF(OR(N44="",O44=""),"",MAX(N44-O44,0))</x:f>
      </x:c>
      <x:c r="Q44" s="30" t="str">
        <x:f>IF(P44="","",P44*M44)</x:f>
      </x:c>
      <x:c r="R44" s="30" t="str">
        <x:f>IF(OR(P44="",L44=""),"",P44*M44*IFERROR(VLOOKUP(L44,'99 Lists'!$A$19:$B$21,2,FALSE),1))</x:f>
      </x:c>
      <x:c r="S44" s="25" t="str">
        <x:f>IF(A44="","",IF(O44="","Not Assessed",IF(P44=0,"Meets / Exceeds",IF(P44=1,"Minor Gap",IF(P44=2,"Major Gap","Critical Gap")))))</x:f>
      </x:c>
      <x:c r="T44" s="24"/>
      <x:c r="U44" s="27"/>
      <x:c r="V44" s="24"/>
      <x:c r="W44" s="24"/>
      <x:c r="X44" s="24"/>
      <x:c r="Y44" s="26"/>
      <x:c r="Z44" s="31" t="str">
        <x:f>IF(B44="","",IF(Y44&lt;&gt;"",Y44,EDATE(B44,IFERROR(VLOOKUP(I44,'03 Position Requirements'!$A$6:$R$285,12,FALSE),12))))</x:f>
      </x:c>
      <x:c r="AA44" s="25" t="str">
        <x:f>IF(OR(B44="",D44="",J44=""),"",IF(COUNTIFS($D$6:$D$155,D44,$J$6:$J$155,J44,$B$6:$B$155,"&gt;"&amp;B44)=0,"Yes","No"))</x:f>
      </x:c>
      <x:c r="AB44" s="25" t="str">
        <x:f>IF(AA44="","",IF(AND(AA44="Yes",OR(P44&gt;0,AD44="Expired")),"Yes","No"))</x:f>
      </x:c>
      <x:c r="AC44" s="25" t="str">
        <x:f>IF(Z44="","",Z44-TODAY())</x:f>
      </x:c>
      <x:c r="AD44" s="25" t="str">
        <x:f>IF(A44="","",IF(O44="","Not Assessed",IF(Z44&lt;TODAY(),"Expired",IF(Z44&lt;=TODAY()+30,"Due Soon","Current"))))</x:f>
      </x:c>
      <x:c r="AE44" s="24"/>
    </x:row>
    <x:row r="45">
      <x:c r="A45" s="24"/>
      <x:c r="B45" s="26"/>
      <x:c r="C45" s="24"/>
      <x:c r="D45" s="24"/>
      <x:c r="E45" s="25" t="str">
        <x:f>IF(D45="","",IFERROR(VLOOKUP(D45,'01 Staff Master'!$A$6:$M$105,2,FALSE),"Staff ID not found"))</x:f>
      </x:c>
      <x:c r="F45" s="25" t="str">
        <x:f>IF(D45="","",IFERROR(VLOOKUP(D45,'01 Staff Master'!$A$6:$M$105,3,FALSE),""))</x:f>
      </x:c>
      <x:c r="G45" s="25" t="str">
        <x:f>IF(D45="","",IFERROR(VLOOKUP(D45,'01 Staff Master'!$A$6:$M$105,5,FALSE),""))</x:f>
      </x:c>
      <x:c r="H45" s="25" t="str">
        <x:f>IF(D45="","",IFERROR(VLOOKUP(D45,'01 Staff Master'!$A$6:$M$105,6,FALSE),""))</x:f>
      </x:c>
      <x:c r="I45" s="25" t="str">
        <x:f>IF(OR(F45="",G45="",J45=""),"",F45&amp;"|"&amp;G45&amp;"|"&amp;J45)</x:f>
      </x:c>
      <x:c r="J45" s="24"/>
      <x:c r="K45" s="25" t="str">
        <x:f>IF(J45="","",IFERROR(VLOOKUP(J45,'02 Skill Catalogue'!$A$6:$K$95,4,FALSE),"Skill ID not found"))</x:f>
      </x:c>
      <x:c r="L45" s="25" t="str">
        <x:f>IF(I45="","",IFERROR(VLOOKUP(I45,'03 Position Requirements'!$A$6:$R$285,8,FALSE),"No Requirement"))</x:f>
      </x:c>
      <x:c r="M45" s="29" t="str">
        <x:f>IF(I45="","",IFERROR(VLOOKUP(I45,'03 Position Requirements'!$A$6:$R$285,9,FALSE),""))</x:f>
      </x:c>
      <x:c r="N45" s="25" t="str">
        <x:f>IF(I45="","",IFERROR(VLOOKUP(I45,'03 Position Requirements'!$A$6:$R$285,10,FALSE),""))</x:f>
      </x:c>
      <x:c r="O45" s="24"/>
      <x:c r="P45" s="25" t="str">
        <x:f>IF(OR(N45="",O45=""),"",MAX(N45-O45,0))</x:f>
      </x:c>
      <x:c r="Q45" s="30" t="str">
        <x:f>IF(P45="","",P45*M45)</x:f>
      </x:c>
      <x:c r="R45" s="30" t="str">
        <x:f>IF(OR(P45="",L45=""),"",P45*M45*IFERROR(VLOOKUP(L45,'99 Lists'!$A$19:$B$21,2,FALSE),1))</x:f>
      </x:c>
      <x:c r="S45" s="25" t="str">
        <x:f>IF(A45="","",IF(O45="","Not Assessed",IF(P45=0,"Meets / Exceeds",IF(P45=1,"Minor Gap",IF(P45=2,"Major Gap","Critical Gap")))))</x:f>
      </x:c>
      <x:c r="T45" s="24"/>
      <x:c r="U45" s="27"/>
      <x:c r="V45" s="24"/>
      <x:c r="W45" s="24"/>
      <x:c r="X45" s="24"/>
      <x:c r="Y45" s="26"/>
      <x:c r="Z45" s="31" t="str">
        <x:f>IF(B45="","",IF(Y45&lt;&gt;"",Y45,EDATE(B45,IFERROR(VLOOKUP(I45,'03 Position Requirements'!$A$6:$R$285,12,FALSE),12))))</x:f>
      </x:c>
      <x:c r="AA45" s="25" t="str">
        <x:f>IF(OR(B45="",D45="",J45=""),"",IF(COUNTIFS($D$6:$D$155,D45,$J$6:$J$155,J45,$B$6:$B$155,"&gt;"&amp;B45)=0,"Yes","No"))</x:f>
      </x:c>
      <x:c r="AB45" s="25" t="str">
        <x:f>IF(AA45="","",IF(AND(AA45="Yes",OR(P45&gt;0,AD45="Expired")),"Yes","No"))</x:f>
      </x:c>
      <x:c r="AC45" s="25" t="str">
        <x:f>IF(Z45="","",Z45-TODAY())</x:f>
      </x:c>
      <x:c r="AD45" s="25" t="str">
        <x:f>IF(A45="","",IF(O45="","Not Assessed",IF(Z45&lt;TODAY(),"Expired",IF(Z45&lt;=TODAY()+30,"Due Soon","Current"))))</x:f>
      </x:c>
      <x:c r="AE45" s="24"/>
    </x:row>
    <x:row r="46">
      <x:c r="A46" s="24"/>
      <x:c r="B46" s="26"/>
      <x:c r="C46" s="24"/>
      <x:c r="D46" s="24"/>
      <x:c r="E46" s="25" t="str">
        <x:f>IF(D46="","",IFERROR(VLOOKUP(D46,'01 Staff Master'!$A$6:$M$105,2,FALSE),"Staff ID not found"))</x:f>
      </x:c>
      <x:c r="F46" s="25" t="str">
        <x:f>IF(D46="","",IFERROR(VLOOKUP(D46,'01 Staff Master'!$A$6:$M$105,3,FALSE),""))</x:f>
      </x:c>
      <x:c r="G46" s="25" t="str">
        <x:f>IF(D46="","",IFERROR(VLOOKUP(D46,'01 Staff Master'!$A$6:$M$105,5,FALSE),""))</x:f>
      </x:c>
      <x:c r="H46" s="25" t="str">
        <x:f>IF(D46="","",IFERROR(VLOOKUP(D46,'01 Staff Master'!$A$6:$M$105,6,FALSE),""))</x:f>
      </x:c>
      <x:c r="I46" s="25" t="str">
        <x:f>IF(OR(F46="",G46="",J46=""),"",F46&amp;"|"&amp;G46&amp;"|"&amp;J46)</x:f>
      </x:c>
      <x:c r="J46" s="24"/>
      <x:c r="K46" s="25" t="str">
        <x:f>IF(J46="","",IFERROR(VLOOKUP(J46,'02 Skill Catalogue'!$A$6:$K$95,4,FALSE),"Skill ID not found"))</x:f>
      </x:c>
      <x:c r="L46" s="25" t="str">
        <x:f>IF(I46="","",IFERROR(VLOOKUP(I46,'03 Position Requirements'!$A$6:$R$285,8,FALSE),"No Requirement"))</x:f>
      </x:c>
      <x:c r="M46" s="29" t="str">
        <x:f>IF(I46="","",IFERROR(VLOOKUP(I46,'03 Position Requirements'!$A$6:$R$285,9,FALSE),""))</x:f>
      </x:c>
      <x:c r="N46" s="25" t="str">
        <x:f>IF(I46="","",IFERROR(VLOOKUP(I46,'03 Position Requirements'!$A$6:$R$285,10,FALSE),""))</x:f>
      </x:c>
      <x:c r="O46" s="24"/>
      <x:c r="P46" s="25" t="str">
        <x:f>IF(OR(N46="",O46=""),"",MAX(N46-O46,0))</x:f>
      </x:c>
      <x:c r="Q46" s="30" t="str">
        <x:f>IF(P46="","",P46*M46)</x:f>
      </x:c>
      <x:c r="R46" s="30" t="str">
        <x:f>IF(OR(P46="",L46=""),"",P46*M46*IFERROR(VLOOKUP(L46,'99 Lists'!$A$19:$B$21,2,FALSE),1))</x:f>
      </x:c>
      <x:c r="S46" s="25" t="str">
        <x:f>IF(A46="","",IF(O46="","Not Assessed",IF(P46=0,"Meets / Exceeds",IF(P46=1,"Minor Gap",IF(P46=2,"Major Gap","Critical Gap")))))</x:f>
      </x:c>
      <x:c r="T46" s="24"/>
      <x:c r="U46" s="27"/>
      <x:c r="V46" s="24"/>
      <x:c r="W46" s="24"/>
      <x:c r="X46" s="24"/>
      <x:c r="Y46" s="26"/>
      <x:c r="Z46" s="31" t="str">
        <x:f>IF(B46="","",IF(Y46&lt;&gt;"",Y46,EDATE(B46,IFERROR(VLOOKUP(I46,'03 Position Requirements'!$A$6:$R$285,12,FALSE),12))))</x:f>
      </x:c>
      <x:c r="AA46" s="25" t="str">
        <x:f>IF(OR(B46="",D46="",J46=""),"",IF(COUNTIFS($D$6:$D$155,D46,$J$6:$J$155,J46,$B$6:$B$155,"&gt;"&amp;B46)=0,"Yes","No"))</x:f>
      </x:c>
      <x:c r="AB46" s="25" t="str">
        <x:f>IF(AA46="","",IF(AND(AA46="Yes",OR(P46&gt;0,AD46="Expired")),"Yes","No"))</x:f>
      </x:c>
      <x:c r="AC46" s="25" t="str">
        <x:f>IF(Z46="","",Z46-TODAY())</x:f>
      </x:c>
      <x:c r="AD46" s="25" t="str">
        <x:f>IF(A46="","",IF(O46="","Not Assessed",IF(Z46&lt;TODAY(),"Expired",IF(Z46&lt;=TODAY()+30,"Due Soon","Current"))))</x:f>
      </x:c>
      <x:c r="AE46" s="24"/>
    </x:row>
    <x:row r="47">
      <x:c r="A47" s="24"/>
      <x:c r="B47" s="26"/>
      <x:c r="C47" s="24"/>
      <x:c r="D47" s="24"/>
      <x:c r="E47" s="25" t="str">
        <x:f>IF(D47="","",IFERROR(VLOOKUP(D47,'01 Staff Master'!$A$6:$M$105,2,FALSE),"Staff ID not found"))</x:f>
      </x:c>
      <x:c r="F47" s="25" t="str">
        <x:f>IF(D47="","",IFERROR(VLOOKUP(D47,'01 Staff Master'!$A$6:$M$105,3,FALSE),""))</x:f>
      </x:c>
      <x:c r="G47" s="25" t="str">
        <x:f>IF(D47="","",IFERROR(VLOOKUP(D47,'01 Staff Master'!$A$6:$M$105,5,FALSE),""))</x:f>
      </x:c>
      <x:c r="H47" s="25" t="str">
        <x:f>IF(D47="","",IFERROR(VLOOKUP(D47,'01 Staff Master'!$A$6:$M$105,6,FALSE),""))</x:f>
      </x:c>
      <x:c r="I47" s="25" t="str">
        <x:f>IF(OR(F47="",G47="",J47=""),"",F47&amp;"|"&amp;G47&amp;"|"&amp;J47)</x:f>
      </x:c>
      <x:c r="J47" s="24"/>
      <x:c r="K47" s="25" t="str">
        <x:f>IF(J47="","",IFERROR(VLOOKUP(J47,'02 Skill Catalogue'!$A$6:$K$95,4,FALSE),"Skill ID not found"))</x:f>
      </x:c>
      <x:c r="L47" s="25" t="str">
        <x:f>IF(I47="","",IFERROR(VLOOKUP(I47,'03 Position Requirements'!$A$6:$R$285,8,FALSE),"No Requirement"))</x:f>
      </x:c>
      <x:c r="M47" s="29" t="str">
        <x:f>IF(I47="","",IFERROR(VLOOKUP(I47,'03 Position Requirements'!$A$6:$R$285,9,FALSE),""))</x:f>
      </x:c>
      <x:c r="N47" s="25" t="str">
        <x:f>IF(I47="","",IFERROR(VLOOKUP(I47,'03 Position Requirements'!$A$6:$R$285,10,FALSE),""))</x:f>
      </x:c>
      <x:c r="O47" s="24"/>
      <x:c r="P47" s="25" t="str">
        <x:f>IF(OR(N47="",O47=""),"",MAX(N47-O47,0))</x:f>
      </x:c>
      <x:c r="Q47" s="30" t="str">
        <x:f>IF(P47="","",P47*M47)</x:f>
      </x:c>
      <x:c r="R47" s="30" t="str">
        <x:f>IF(OR(P47="",L47=""),"",P47*M47*IFERROR(VLOOKUP(L47,'99 Lists'!$A$19:$B$21,2,FALSE),1))</x:f>
      </x:c>
      <x:c r="S47" s="25" t="str">
        <x:f>IF(A47="","",IF(O47="","Not Assessed",IF(P47=0,"Meets / Exceeds",IF(P47=1,"Minor Gap",IF(P47=2,"Major Gap","Critical Gap")))))</x:f>
      </x:c>
      <x:c r="T47" s="24"/>
      <x:c r="U47" s="27"/>
      <x:c r="V47" s="24"/>
      <x:c r="W47" s="24"/>
      <x:c r="X47" s="24"/>
      <x:c r="Y47" s="26"/>
      <x:c r="Z47" s="31" t="str">
        <x:f>IF(B47="","",IF(Y47&lt;&gt;"",Y47,EDATE(B47,IFERROR(VLOOKUP(I47,'03 Position Requirements'!$A$6:$R$285,12,FALSE),12))))</x:f>
      </x:c>
      <x:c r="AA47" s="25" t="str">
        <x:f>IF(OR(B47="",D47="",J47=""),"",IF(COUNTIFS($D$6:$D$155,D47,$J$6:$J$155,J47,$B$6:$B$155,"&gt;"&amp;B47)=0,"Yes","No"))</x:f>
      </x:c>
      <x:c r="AB47" s="25" t="str">
        <x:f>IF(AA47="","",IF(AND(AA47="Yes",OR(P47&gt;0,AD47="Expired")),"Yes","No"))</x:f>
      </x:c>
      <x:c r="AC47" s="25" t="str">
        <x:f>IF(Z47="","",Z47-TODAY())</x:f>
      </x:c>
      <x:c r="AD47" s="25" t="str">
        <x:f>IF(A47="","",IF(O47="","Not Assessed",IF(Z47&lt;TODAY(),"Expired",IF(Z47&lt;=TODAY()+30,"Due Soon","Current"))))</x:f>
      </x:c>
      <x:c r="AE47" s="24"/>
    </x:row>
    <x:row r="48">
      <x:c r="A48" s="24"/>
      <x:c r="B48" s="26"/>
      <x:c r="C48" s="24"/>
      <x:c r="D48" s="24"/>
      <x:c r="E48" s="25" t="str">
        <x:f>IF(D48="","",IFERROR(VLOOKUP(D48,'01 Staff Master'!$A$6:$M$105,2,FALSE),"Staff ID not found"))</x:f>
      </x:c>
      <x:c r="F48" s="25" t="str">
        <x:f>IF(D48="","",IFERROR(VLOOKUP(D48,'01 Staff Master'!$A$6:$M$105,3,FALSE),""))</x:f>
      </x:c>
      <x:c r="G48" s="25" t="str">
        <x:f>IF(D48="","",IFERROR(VLOOKUP(D48,'01 Staff Master'!$A$6:$M$105,5,FALSE),""))</x:f>
      </x:c>
      <x:c r="H48" s="25" t="str">
        <x:f>IF(D48="","",IFERROR(VLOOKUP(D48,'01 Staff Master'!$A$6:$M$105,6,FALSE),""))</x:f>
      </x:c>
      <x:c r="I48" s="25" t="str">
        <x:f>IF(OR(F48="",G48="",J48=""),"",F48&amp;"|"&amp;G48&amp;"|"&amp;J48)</x:f>
      </x:c>
      <x:c r="J48" s="24"/>
      <x:c r="K48" s="25" t="str">
        <x:f>IF(J48="","",IFERROR(VLOOKUP(J48,'02 Skill Catalogue'!$A$6:$K$95,4,FALSE),"Skill ID not found"))</x:f>
      </x:c>
      <x:c r="L48" s="25" t="str">
        <x:f>IF(I48="","",IFERROR(VLOOKUP(I48,'03 Position Requirements'!$A$6:$R$285,8,FALSE),"No Requirement"))</x:f>
      </x:c>
      <x:c r="M48" s="29" t="str">
        <x:f>IF(I48="","",IFERROR(VLOOKUP(I48,'03 Position Requirements'!$A$6:$R$285,9,FALSE),""))</x:f>
      </x:c>
      <x:c r="N48" s="25" t="str">
        <x:f>IF(I48="","",IFERROR(VLOOKUP(I48,'03 Position Requirements'!$A$6:$R$285,10,FALSE),""))</x:f>
      </x:c>
      <x:c r="O48" s="24"/>
      <x:c r="P48" s="25" t="str">
        <x:f>IF(OR(N48="",O48=""),"",MAX(N48-O48,0))</x:f>
      </x:c>
      <x:c r="Q48" s="30" t="str">
        <x:f>IF(P48="","",P48*M48)</x:f>
      </x:c>
      <x:c r="R48" s="30" t="str">
        <x:f>IF(OR(P48="",L48=""),"",P48*M48*IFERROR(VLOOKUP(L48,'99 Lists'!$A$19:$B$21,2,FALSE),1))</x:f>
      </x:c>
      <x:c r="S48" s="25" t="str">
        <x:f>IF(A48="","",IF(O48="","Not Assessed",IF(P48=0,"Meets / Exceeds",IF(P48=1,"Minor Gap",IF(P48=2,"Major Gap","Critical Gap")))))</x:f>
      </x:c>
      <x:c r="T48" s="24"/>
      <x:c r="U48" s="27"/>
      <x:c r="V48" s="24"/>
      <x:c r="W48" s="24"/>
      <x:c r="X48" s="24"/>
      <x:c r="Y48" s="26"/>
      <x:c r="Z48" s="31" t="str">
        <x:f>IF(B48="","",IF(Y48&lt;&gt;"",Y48,EDATE(B48,IFERROR(VLOOKUP(I48,'03 Position Requirements'!$A$6:$R$285,12,FALSE),12))))</x:f>
      </x:c>
      <x:c r="AA48" s="25" t="str">
        <x:f>IF(OR(B48="",D48="",J48=""),"",IF(COUNTIFS($D$6:$D$155,D48,$J$6:$J$155,J48,$B$6:$B$155,"&gt;"&amp;B48)=0,"Yes","No"))</x:f>
      </x:c>
      <x:c r="AB48" s="25" t="str">
        <x:f>IF(AA48="","",IF(AND(AA48="Yes",OR(P48&gt;0,AD48="Expired")),"Yes","No"))</x:f>
      </x:c>
      <x:c r="AC48" s="25" t="str">
        <x:f>IF(Z48="","",Z48-TODAY())</x:f>
      </x:c>
      <x:c r="AD48" s="25" t="str">
        <x:f>IF(A48="","",IF(O48="","Not Assessed",IF(Z48&lt;TODAY(),"Expired",IF(Z48&lt;=TODAY()+30,"Due Soon","Current"))))</x:f>
      </x:c>
      <x:c r="AE48" s="24"/>
    </x:row>
    <x:row r="49">
      <x:c r="A49" s="24"/>
      <x:c r="B49" s="26"/>
      <x:c r="C49" s="24"/>
      <x:c r="D49" s="24"/>
      <x:c r="E49" s="25" t="str">
        <x:f>IF(D49="","",IFERROR(VLOOKUP(D49,'01 Staff Master'!$A$6:$M$105,2,FALSE),"Staff ID not found"))</x:f>
      </x:c>
      <x:c r="F49" s="25" t="str">
        <x:f>IF(D49="","",IFERROR(VLOOKUP(D49,'01 Staff Master'!$A$6:$M$105,3,FALSE),""))</x:f>
      </x:c>
      <x:c r="G49" s="25" t="str">
        <x:f>IF(D49="","",IFERROR(VLOOKUP(D49,'01 Staff Master'!$A$6:$M$105,5,FALSE),""))</x:f>
      </x:c>
      <x:c r="H49" s="25" t="str">
        <x:f>IF(D49="","",IFERROR(VLOOKUP(D49,'01 Staff Master'!$A$6:$M$105,6,FALSE),""))</x:f>
      </x:c>
      <x:c r="I49" s="25" t="str">
        <x:f>IF(OR(F49="",G49="",J49=""),"",F49&amp;"|"&amp;G49&amp;"|"&amp;J49)</x:f>
      </x:c>
      <x:c r="J49" s="24"/>
      <x:c r="K49" s="25" t="str">
        <x:f>IF(J49="","",IFERROR(VLOOKUP(J49,'02 Skill Catalogue'!$A$6:$K$95,4,FALSE),"Skill ID not found"))</x:f>
      </x:c>
      <x:c r="L49" s="25" t="str">
        <x:f>IF(I49="","",IFERROR(VLOOKUP(I49,'03 Position Requirements'!$A$6:$R$285,8,FALSE),"No Requirement"))</x:f>
      </x:c>
      <x:c r="M49" s="29" t="str">
        <x:f>IF(I49="","",IFERROR(VLOOKUP(I49,'03 Position Requirements'!$A$6:$R$285,9,FALSE),""))</x:f>
      </x:c>
      <x:c r="N49" s="25" t="str">
        <x:f>IF(I49="","",IFERROR(VLOOKUP(I49,'03 Position Requirements'!$A$6:$R$285,10,FALSE),""))</x:f>
      </x:c>
      <x:c r="O49" s="24"/>
      <x:c r="P49" s="25" t="str">
        <x:f>IF(OR(N49="",O49=""),"",MAX(N49-O49,0))</x:f>
      </x:c>
      <x:c r="Q49" s="30" t="str">
        <x:f>IF(P49="","",P49*M49)</x:f>
      </x:c>
      <x:c r="R49" s="30" t="str">
        <x:f>IF(OR(P49="",L49=""),"",P49*M49*IFERROR(VLOOKUP(L49,'99 Lists'!$A$19:$B$21,2,FALSE),1))</x:f>
      </x:c>
      <x:c r="S49" s="25" t="str">
        <x:f>IF(A49="","",IF(O49="","Not Assessed",IF(P49=0,"Meets / Exceeds",IF(P49=1,"Minor Gap",IF(P49=2,"Major Gap","Critical Gap")))))</x:f>
      </x:c>
      <x:c r="T49" s="24"/>
      <x:c r="U49" s="27"/>
      <x:c r="V49" s="24"/>
      <x:c r="W49" s="24"/>
      <x:c r="X49" s="24"/>
      <x:c r="Y49" s="26"/>
      <x:c r="Z49" s="31" t="str">
        <x:f>IF(B49="","",IF(Y49&lt;&gt;"",Y49,EDATE(B49,IFERROR(VLOOKUP(I49,'03 Position Requirements'!$A$6:$R$285,12,FALSE),12))))</x:f>
      </x:c>
      <x:c r="AA49" s="25" t="str">
        <x:f>IF(OR(B49="",D49="",J49=""),"",IF(COUNTIFS($D$6:$D$155,D49,$J$6:$J$155,J49,$B$6:$B$155,"&gt;"&amp;B49)=0,"Yes","No"))</x:f>
      </x:c>
      <x:c r="AB49" s="25" t="str">
        <x:f>IF(AA49="","",IF(AND(AA49="Yes",OR(P49&gt;0,AD49="Expired")),"Yes","No"))</x:f>
      </x:c>
      <x:c r="AC49" s="25" t="str">
        <x:f>IF(Z49="","",Z49-TODAY())</x:f>
      </x:c>
      <x:c r="AD49" s="25" t="str">
        <x:f>IF(A49="","",IF(O49="","Not Assessed",IF(Z49&lt;TODAY(),"Expired",IF(Z49&lt;=TODAY()+30,"Due Soon","Current"))))</x:f>
      </x:c>
      <x:c r="AE49" s="24"/>
    </x:row>
    <x:row r="50">
      <x:c r="A50" s="24"/>
      <x:c r="B50" s="26"/>
      <x:c r="C50" s="24"/>
      <x:c r="D50" s="24"/>
      <x:c r="E50" s="25" t="str">
        <x:f>IF(D50="","",IFERROR(VLOOKUP(D50,'01 Staff Master'!$A$6:$M$105,2,FALSE),"Staff ID not found"))</x:f>
      </x:c>
      <x:c r="F50" s="25" t="str">
        <x:f>IF(D50="","",IFERROR(VLOOKUP(D50,'01 Staff Master'!$A$6:$M$105,3,FALSE),""))</x:f>
      </x:c>
      <x:c r="G50" s="25" t="str">
        <x:f>IF(D50="","",IFERROR(VLOOKUP(D50,'01 Staff Master'!$A$6:$M$105,5,FALSE),""))</x:f>
      </x:c>
      <x:c r="H50" s="25" t="str">
        <x:f>IF(D50="","",IFERROR(VLOOKUP(D50,'01 Staff Master'!$A$6:$M$105,6,FALSE),""))</x:f>
      </x:c>
      <x:c r="I50" s="25" t="str">
        <x:f>IF(OR(F50="",G50="",J50=""),"",F50&amp;"|"&amp;G50&amp;"|"&amp;J50)</x:f>
      </x:c>
      <x:c r="J50" s="24"/>
      <x:c r="K50" s="25" t="str">
        <x:f>IF(J50="","",IFERROR(VLOOKUP(J50,'02 Skill Catalogue'!$A$6:$K$95,4,FALSE),"Skill ID not found"))</x:f>
      </x:c>
      <x:c r="L50" s="25" t="str">
        <x:f>IF(I50="","",IFERROR(VLOOKUP(I50,'03 Position Requirements'!$A$6:$R$285,8,FALSE),"No Requirement"))</x:f>
      </x:c>
      <x:c r="M50" s="29" t="str">
        <x:f>IF(I50="","",IFERROR(VLOOKUP(I50,'03 Position Requirements'!$A$6:$R$285,9,FALSE),""))</x:f>
      </x:c>
      <x:c r="N50" s="25" t="str">
        <x:f>IF(I50="","",IFERROR(VLOOKUP(I50,'03 Position Requirements'!$A$6:$R$285,10,FALSE),""))</x:f>
      </x:c>
      <x:c r="O50" s="24"/>
      <x:c r="P50" s="25" t="str">
        <x:f>IF(OR(N50="",O50=""),"",MAX(N50-O50,0))</x:f>
      </x:c>
      <x:c r="Q50" s="30" t="str">
        <x:f>IF(P50="","",P50*M50)</x:f>
      </x:c>
      <x:c r="R50" s="30" t="str">
        <x:f>IF(OR(P50="",L50=""),"",P50*M50*IFERROR(VLOOKUP(L50,'99 Lists'!$A$19:$B$21,2,FALSE),1))</x:f>
      </x:c>
      <x:c r="S50" s="25" t="str">
        <x:f>IF(A50="","",IF(O50="","Not Assessed",IF(P50=0,"Meets / Exceeds",IF(P50=1,"Minor Gap",IF(P50=2,"Major Gap","Critical Gap")))))</x:f>
      </x:c>
      <x:c r="T50" s="24"/>
      <x:c r="U50" s="27"/>
      <x:c r="V50" s="24"/>
      <x:c r="W50" s="24"/>
      <x:c r="X50" s="24"/>
      <x:c r="Y50" s="26"/>
      <x:c r="Z50" s="31" t="str">
        <x:f>IF(B50="","",IF(Y50&lt;&gt;"",Y50,EDATE(B50,IFERROR(VLOOKUP(I50,'03 Position Requirements'!$A$6:$R$285,12,FALSE),12))))</x:f>
      </x:c>
      <x:c r="AA50" s="25" t="str">
        <x:f>IF(OR(B50="",D50="",J50=""),"",IF(COUNTIFS($D$6:$D$155,D50,$J$6:$J$155,J50,$B$6:$B$155,"&gt;"&amp;B50)=0,"Yes","No"))</x:f>
      </x:c>
      <x:c r="AB50" s="25" t="str">
        <x:f>IF(AA50="","",IF(AND(AA50="Yes",OR(P50&gt;0,AD50="Expired")),"Yes","No"))</x:f>
      </x:c>
      <x:c r="AC50" s="25" t="str">
        <x:f>IF(Z50="","",Z50-TODAY())</x:f>
      </x:c>
      <x:c r="AD50" s="25" t="str">
        <x:f>IF(A50="","",IF(O50="","Not Assessed",IF(Z50&lt;TODAY(),"Expired",IF(Z50&lt;=TODAY()+30,"Due Soon","Current"))))</x:f>
      </x:c>
      <x:c r="AE50" s="24"/>
    </x:row>
    <x:row r="51">
      <x:c r="A51" s="24"/>
      <x:c r="B51" s="26"/>
      <x:c r="C51" s="24"/>
      <x:c r="D51" s="24"/>
      <x:c r="E51" s="25" t="str">
        <x:f>IF(D51="","",IFERROR(VLOOKUP(D51,'01 Staff Master'!$A$6:$M$105,2,FALSE),"Staff ID not found"))</x:f>
      </x:c>
      <x:c r="F51" s="25" t="str">
        <x:f>IF(D51="","",IFERROR(VLOOKUP(D51,'01 Staff Master'!$A$6:$M$105,3,FALSE),""))</x:f>
      </x:c>
      <x:c r="G51" s="25" t="str">
        <x:f>IF(D51="","",IFERROR(VLOOKUP(D51,'01 Staff Master'!$A$6:$M$105,5,FALSE),""))</x:f>
      </x:c>
      <x:c r="H51" s="25" t="str">
        <x:f>IF(D51="","",IFERROR(VLOOKUP(D51,'01 Staff Master'!$A$6:$M$105,6,FALSE),""))</x:f>
      </x:c>
      <x:c r="I51" s="25" t="str">
        <x:f>IF(OR(F51="",G51="",J51=""),"",F51&amp;"|"&amp;G51&amp;"|"&amp;J51)</x:f>
      </x:c>
      <x:c r="J51" s="24"/>
      <x:c r="K51" s="25" t="str">
        <x:f>IF(J51="","",IFERROR(VLOOKUP(J51,'02 Skill Catalogue'!$A$6:$K$95,4,FALSE),"Skill ID not found"))</x:f>
      </x:c>
      <x:c r="L51" s="25" t="str">
        <x:f>IF(I51="","",IFERROR(VLOOKUP(I51,'03 Position Requirements'!$A$6:$R$285,8,FALSE),"No Requirement"))</x:f>
      </x:c>
      <x:c r="M51" s="29" t="str">
        <x:f>IF(I51="","",IFERROR(VLOOKUP(I51,'03 Position Requirements'!$A$6:$R$285,9,FALSE),""))</x:f>
      </x:c>
      <x:c r="N51" s="25" t="str">
        <x:f>IF(I51="","",IFERROR(VLOOKUP(I51,'03 Position Requirements'!$A$6:$R$285,10,FALSE),""))</x:f>
      </x:c>
      <x:c r="O51" s="24"/>
      <x:c r="P51" s="25" t="str">
        <x:f>IF(OR(N51="",O51=""),"",MAX(N51-O51,0))</x:f>
      </x:c>
      <x:c r="Q51" s="30" t="str">
        <x:f>IF(P51="","",P51*M51)</x:f>
      </x:c>
      <x:c r="R51" s="30" t="str">
        <x:f>IF(OR(P51="",L51=""),"",P51*M51*IFERROR(VLOOKUP(L51,'99 Lists'!$A$19:$B$21,2,FALSE),1))</x:f>
      </x:c>
      <x:c r="S51" s="25" t="str">
        <x:f>IF(A51="","",IF(O51="","Not Assessed",IF(P51=0,"Meets / Exceeds",IF(P51=1,"Minor Gap",IF(P51=2,"Major Gap","Critical Gap")))))</x:f>
      </x:c>
      <x:c r="T51" s="24"/>
      <x:c r="U51" s="27"/>
      <x:c r="V51" s="24"/>
      <x:c r="W51" s="24"/>
      <x:c r="X51" s="24"/>
      <x:c r="Y51" s="26"/>
      <x:c r="Z51" s="31" t="str">
        <x:f>IF(B51="","",IF(Y51&lt;&gt;"",Y51,EDATE(B51,IFERROR(VLOOKUP(I51,'03 Position Requirements'!$A$6:$R$285,12,FALSE),12))))</x:f>
      </x:c>
      <x:c r="AA51" s="25" t="str">
        <x:f>IF(OR(B51="",D51="",J51=""),"",IF(COUNTIFS($D$6:$D$155,D51,$J$6:$J$155,J51,$B$6:$B$155,"&gt;"&amp;B51)=0,"Yes","No"))</x:f>
      </x:c>
      <x:c r="AB51" s="25" t="str">
        <x:f>IF(AA51="","",IF(AND(AA51="Yes",OR(P51&gt;0,AD51="Expired")),"Yes","No"))</x:f>
      </x:c>
      <x:c r="AC51" s="25" t="str">
        <x:f>IF(Z51="","",Z51-TODAY())</x:f>
      </x:c>
      <x:c r="AD51" s="25" t="str">
        <x:f>IF(A51="","",IF(O51="","Not Assessed",IF(Z51&lt;TODAY(),"Expired",IF(Z51&lt;=TODAY()+30,"Due Soon","Current"))))</x:f>
      </x:c>
      <x:c r="AE51" s="24"/>
    </x:row>
    <x:row r="52">
      <x:c r="A52" s="24"/>
      <x:c r="B52" s="26"/>
      <x:c r="C52" s="24"/>
      <x:c r="D52" s="24"/>
      <x:c r="E52" s="25" t="str">
        <x:f>IF(D52="","",IFERROR(VLOOKUP(D52,'01 Staff Master'!$A$6:$M$105,2,FALSE),"Staff ID not found"))</x:f>
      </x:c>
      <x:c r="F52" s="25" t="str">
        <x:f>IF(D52="","",IFERROR(VLOOKUP(D52,'01 Staff Master'!$A$6:$M$105,3,FALSE),""))</x:f>
      </x:c>
      <x:c r="G52" s="25" t="str">
        <x:f>IF(D52="","",IFERROR(VLOOKUP(D52,'01 Staff Master'!$A$6:$M$105,5,FALSE),""))</x:f>
      </x:c>
      <x:c r="H52" s="25" t="str">
        <x:f>IF(D52="","",IFERROR(VLOOKUP(D52,'01 Staff Master'!$A$6:$M$105,6,FALSE),""))</x:f>
      </x:c>
      <x:c r="I52" s="25" t="str">
        <x:f>IF(OR(F52="",G52="",J52=""),"",F52&amp;"|"&amp;G52&amp;"|"&amp;J52)</x:f>
      </x:c>
      <x:c r="J52" s="24"/>
      <x:c r="K52" s="25" t="str">
        <x:f>IF(J52="","",IFERROR(VLOOKUP(J52,'02 Skill Catalogue'!$A$6:$K$95,4,FALSE),"Skill ID not found"))</x:f>
      </x:c>
      <x:c r="L52" s="25" t="str">
        <x:f>IF(I52="","",IFERROR(VLOOKUP(I52,'03 Position Requirements'!$A$6:$R$285,8,FALSE),"No Requirement"))</x:f>
      </x:c>
      <x:c r="M52" s="29" t="str">
        <x:f>IF(I52="","",IFERROR(VLOOKUP(I52,'03 Position Requirements'!$A$6:$R$285,9,FALSE),""))</x:f>
      </x:c>
      <x:c r="N52" s="25" t="str">
        <x:f>IF(I52="","",IFERROR(VLOOKUP(I52,'03 Position Requirements'!$A$6:$R$285,10,FALSE),""))</x:f>
      </x:c>
      <x:c r="O52" s="24"/>
      <x:c r="P52" s="25" t="str">
        <x:f>IF(OR(N52="",O52=""),"",MAX(N52-O52,0))</x:f>
      </x:c>
      <x:c r="Q52" s="30" t="str">
        <x:f>IF(P52="","",P52*M52)</x:f>
      </x:c>
      <x:c r="R52" s="30" t="str">
        <x:f>IF(OR(P52="",L52=""),"",P52*M52*IFERROR(VLOOKUP(L52,'99 Lists'!$A$19:$B$21,2,FALSE),1))</x:f>
      </x:c>
      <x:c r="S52" s="25" t="str">
        <x:f>IF(A52="","",IF(O52="","Not Assessed",IF(P52=0,"Meets / Exceeds",IF(P52=1,"Minor Gap",IF(P52=2,"Major Gap","Critical Gap")))))</x:f>
      </x:c>
      <x:c r="T52" s="24"/>
      <x:c r="U52" s="27"/>
      <x:c r="V52" s="24"/>
      <x:c r="W52" s="24"/>
      <x:c r="X52" s="24"/>
      <x:c r="Y52" s="26"/>
      <x:c r="Z52" s="31" t="str">
        <x:f>IF(B52="","",IF(Y52&lt;&gt;"",Y52,EDATE(B52,IFERROR(VLOOKUP(I52,'03 Position Requirements'!$A$6:$R$285,12,FALSE),12))))</x:f>
      </x:c>
      <x:c r="AA52" s="25" t="str">
        <x:f>IF(OR(B52="",D52="",J52=""),"",IF(COUNTIFS($D$6:$D$155,D52,$J$6:$J$155,J52,$B$6:$B$155,"&gt;"&amp;B52)=0,"Yes","No"))</x:f>
      </x:c>
      <x:c r="AB52" s="25" t="str">
        <x:f>IF(AA52="","",IF(AND(AA52="Yes",OR(P52&gt;0,AD52="Expired")),"Yes","No"))</x:f>
      </x:c>
      <x:c r="AC52" s="25" t="str">
        <x:f>IF(Z52="","",Z52-TODAY())</x:f>
      </x:c>
      <x:c r="AD52" s="25" t="str">
        <x:f>IF(A52="","",IF(O52="","Not Assessed",IF(Z52&lt;TODAY(),"Expired",IF(Z52&lt;=TODAY()+30,"Due Soon","Current"))))</x:f>
      </x:c>
      <x:c r="AE52" s="24"/>
    </x:row>
    <x:row r="53">
      <x:c r="A53" s="24"/>
      <x:c r="B53" s="26"/>
      <x:c r="C53" s="24"/>
      <x:c r="D53" s="24"/>
      <x:c r="E53" s="25" t="str">
        <x:f>IF(D53="","",IFERROR(VLOOKUP(D53,'01 Staff Master'!$A$6:$M$105,2,FALSE),"Staff ID not found"))</x:f>
      </x:c>
      <x:c r="F53" s="25" t="str">
        <x:f>IF(D53="","",IFERROR(VLOOKUP(D53,'01 Staff Master'!$A$6:$M$105,3,FALSE),""))</x:f>
      </x:c>
      <x:c r="G53" s="25" t="str">
        <x:f>IF(D53="","",IFERROR(VLOOKUP(D53,'01 Staff Master'!$A$6:$M$105,5,FALSE),""))</x:f>
      </x:c>
      <x:c r="H53" s="25" t="str">
        <x:f>IF(D53="","",IFERROR(VLOOKUP(D53,'01 Staff Master'!$A$6:$M$105,6,FALSE),""))</x:f>
      </x:c>
      <x:c r="I53" s="25" t="str">
        <x:f>IF(OR(F53="",G53="",J53=""),"",F53&amp;"|"&amp;G53&amp;"|"&amp;J53)</x:f>
      </x:c>
      <x:c r="J53" s="24"/>
      <x:c r="K53" s="25" t="str">
        <x:f>IF(J53="","",IFERROR(VLOOKUP(J53,'02 Skill Catalogue'!$A$6:$K$95,4,FALSE),"Skill ID not found"))</x:f>
      </x:c>
      <x:c r="L53" s="25" t="str">
        <x:f>IF(I53="","",IFERROR(VLOOKUP(I53,'03 Position Requirements'!$A$6:$R$285,8,FALSE),"No Requirement"))</x:f>
      </x:c>
      <x:c r="M53" s="29" t="str">
        <x:f>IF(I53="","",IFERROR(VLOOKUP(I53,'03 Position Requirements'!$A$6:$R$285,9,FALSE),""))</x:f>
      </x:c>
      <x:c r="N53" s="25" t="str">
        <x:f>IF(I53="","",IFERROR(VLOOKUP(I53,'03 Position Requirements'!$A$6:$R$285,10,FALSE),""))</x:f>
      </x:c>
      <x:c r="O53" s="24"/>
      <x:c r="P53" s="25" t="str">
        <x:f>IF(OR(N53="",O53=""),"",MAX(N53-O53,0))</x:f>
      </x:c>
      <x:c r="Q53" s="30" t="str">
        <x:f>IF(P53="","",P53*M53)</x:f>
      </x:c>
      <x:c r="R53" s="30" t="str">
        <x:f>IF(OR(P53="",L53=""),"",P53*M53*IFERROR(VLOOKUP(L53,'99 Lists'!$A$19:$B$21,2,FALSE),1))</x:f>
      </x:c>
      <x:c r="S53" s="25" t="str">
        <x:f>IF(A53="","",IF(O53="","Not Assessed",IF(P53=0,"Meets / Exceeds",IF(P53=1,"Minor Gap",IF(P53=2,"Major Gap","Critical Gap")))))</x:f>
      </x:c>
      <x:c r="T53" s="24"/>
      <x:c r="U53" s="27"/>
      <x:c r="V53" s="24"/>
      <x:c r="W53" s="24"/>
      <x:c r="X53" s="24"/>
      <x:c r="Y53" s="26"/>
      <x:c r="Z53" s="31" t="str">
        <x:f>IF(B53="","",IF(Y53&lt;&gt;"",Y53,EDATE(B53,IFERROR(VLOOKUP(I53,'03 Position Requirements'!$A$6:$R$285,12,FALSE),12))))</x:f>
      </x:c>
      <x:c r="AA53" s="25" t="str">
        <x:f>IF(OR(B53="",D53="",J53=""),"",IF(COUNTIFS($D$6:$D$155,D53,$J$6:$J$155,J53,$B$6:$B$155,"&gt;"&amp;B53)=0,"Yes","No"))</x:f>
      </x:c>
      <x:c r="AB53" s="25" t="str">
        <x:f>IF(AA53="","",IF(AND(AA53="Yes",OR(P53&gt;0,AD53="Expired")),"Yes","No"))</x:f>
      </x:c>
      <x:c r="AC53" s="25" t="str">
        <x:f>IF(Z53="","",Z53-TODAY())</x:f>
      </x:c>
      <x:c r="AD53" s="25" t="str">
        <x:f>IF(A53="","",IF(O53="","Not Assessed",IF(Z53&lt;TODAY(),"Expired",IF(Z53&lt;=TODAY()+30,"Due Soon","Current"))))</x:f>
      </x:c>
      <x:c r="AE53" s="24"/>
    </x:row>
    <x:row r="54">
      <x:c r="A54" s="24"/>
      <x:c r="B54" s="26"/>
      <x:c r="C54" s="24"/>
      <x:c r="D54" s="24"/>
      <x:c r="E54" s="25" t="str">
        <x:f>IF(D54="","",IFERROR(VLOOKUP(D54,'01 Staff Master'!$A$6:$M$105,2,FALSE),"Staff ID not found"))</x:f>
      </x:c>
      <x:c r="F54" s="25" t="str">
        <x:f>IF(D54="","",IFERROR(VLOOKUP(D54,'01 Staff Master'!$A$6:$M$105,3,FALSE),""))</x:f>
      </x:c>
      <x:c r="G54" s="25" t="str">
        <x:f>IF(D54="","",IFERROR(VLOOKUP(D54,'01 Staff Master'!$A$6:$M$105,5,FALSE),""))</x:f>
      </x:c>
      <x:c r="H54" s="25" t="str">
        <x:f>IF(D54="","",IFERROR(VLOOKUP(D54,'01 Staff Master'!$A$6:$M$105,6,FALSE),""))</x:f>
      </x:c>
      <x:c r="I54" s="25" t="str">
        <x:f>IF(OR(F54="",G54="",J54=""),"",F54&amp;"|"&amp;G54&amp;"|"&amp;J54)</x:f>
      </x:c>
      <x:c r="J54" s="24"/>
      <x:c r="K54" s="25" t="str">
        <x:f>IF(J54="","",IFERROR(VLOOKUP(J54,'02 Skill Catalogue'!$A$6:$K$95,4,FALSE),"Skill ID not found"))</x:f>
      </x:c>
      <x:c r="L54" s="25" t="str">
        <x:f>IF(I54="","",IFERROR(VLOOKUP(I54,'03 Position Requirements'!$A$6:$R$285,8,FALSE),"No Requirement"))</x:f>
      </x:c>
      <x:c r="M54" s="29" t="str">
        <x:f>IF(I54="","",IFERROR(VLOOKUP(I54,'03 Position Requirements'!$A$6:$R$285,9,FALSE),""))</x:f>
      </x:c>
      <x:c r="N54" s="25" t="str">
        <x:f>IF(I54="","",IFERROR(VLOOKUP(I54,'03 Position Requirements'!$A$6:$R$285,10,FALSE),""))</x:f>
      </x:c>
      <x:c r="O54" s="24"/>
      <x:c r="P54" s="25" t="str">
        <x:f>IF(OR(N54="",O54=""),"",MAX(N54-O54,0))</x:f>
      </x:c>
      <x:c r="Q54" s="30" t="str">
        <x:f>IF(P54="","",P54*M54)</x:f>
      </x:c>
      <x:c r="R54" s="30" t="str">
        <x:f>IF(OR(P54="",L54=""),"",P54*M54*IFERROR(VLOOKUP(L54,'99 Lists'!$A$19:$B$21,2,FALSE),1))</x:f>
      </x:c>
      <x:c r="S54" s="25" t="str">
        <x:f>IF(A54="","",IF(O54="","Not Assessed",IF(P54=0,"Meets / Exceeds",IF(P54=1,"Minor Gap",IF(P54=2,"Major Gap","Critical Gap")))))</x:f>
      </x:c>
      <x:c r="T54" s="24"/>
      <x:c r="U54" s="27"/>
      <x:c r="V54" s="24"/>
      <x:c r="W54" s="24"/>
      <x:c r="X54" s="24"/>
      <x:c r="Y54" s="26"/>
      <x:c r="Z54" s="31" t="str">
        <x:f>IF(B54="","",IF(Y54&lt;&gt;"",Y54,EDATE(B54,IFERROR(VLOOKUP(I54,'03 Position Requirements'!$A$6:$R$285,12,FALSE),12))))</x:f>
      </x:c>
      <x:c r="AA54" s="25" t="str">
        <x:f>IF(OR(B54="",D54="",J54=""),"",IF(COUNTIFS($D$6:$D$155,D54,$J$6:$J$155,J54,$B$6:$B$155,"&gt;"&amp;B54)=0,"Yes","No"))</x:f>
      </x:c>
      <x:c r="AB54" s="25" t="str">
        <x:f>IF(AA54="","",IF(AND(AA54="Yes",OR(P54&gt;0,AD54="Expired")),"Yes","No"))</x:f>
      </x:c>
      <x:c r="AC54" s="25" t="str">
        <x:f>IF(Z54="","",Z54-TODAY())</x:f>
      </x:c>
      <x:c r="AD54" s="25" t="str">
        <x:f>IF(A54="","",IF(O54="","Not Assessed",IF(Z54&lt;TODAY(),"Expired",IF(Z54&lt;=TODAY()+30,"Due Soon","Current"))))</x:f>
      </x:c>
      <x:c r="AE54" s="24"/>
    </x:row>
    <x:row r="55">
      <x:c r="A55" s="24"/>
      <x:c r="B55" s="26"/>
      <x:c r="C55" s="24"/>
      <x:c r="D55" s="24"/>
      <x:c r="E55" s="25" t="str">
        <x:f>IF(D55="","",IFERROR(VLOOKUP(D55,'01 Staff Master'!$A$6:$M$105,2,FALSE),"Staff ID not found"))</x:f>
      </x:c>
      <x:c r="F55" s="25" t="str">
        <x:f>IF(D55="","",IFERROR(VLOOKUP(D55,'01 Staff Master'!$A$6:$M$105,3,FALSE),""))</x:f>
      </x:c>
      <x:c r="G55" s="25" t="str">
        <x:f>IF(D55="","",IFERROR(VLOOKUP(D55,'01 Staff Master'!$A$6:$M$105,5,FALSE),""))</x:f>
      </x:c>
      <x:c r="H55" s="25" t="str">
        <x:f>IF(D55="","",IFERROR(VLOOKUP(D55,'01 Staff Master'!$A$6:$M$105,6,FALSE),""))</x:f>
      </x:c>
      <x:c r="I55" s="25" t="str">
        <x:f>IF(OR(F55="",G55="",J55=""),"",F55&amp;"|"&amp;G55&amp;"|"&amp;J55)</x:f>
      </x:c>
      <x:c r="J55" s="24"/>
      <x:c r="K55" s="25" t="str">
        <x:f>IF(J55="","",IFERROR(VLOOKUP(J55,'02 Skill Catalogue'!$A$6:$K$95,4,FALSE),"Skill ID not found"))</x:f>
      </x:c>
      <x:c r="L55" s="25" t="str">
        <x:f>IF(I55="","",IFERROR(VLOOKUP(I55,'03 Position Requirements'!$A$6:$R$285,8,FALSE),"No Requirement"))</x:f>
      </x:c>
      <x:c r="M55" s="29" t="str">
        <x:f>IF(I55="","",IFERROR(VLOOKUP(I55,'03 Position Requirements'!$A$6:$R$285,9,FALSE),""))</x:f>
      </x:c>
      <x:c r="N55" s="25" t="str">
        <x:f>IF(I55="","",IFERROR(VLOOKUP(I55,'03 Position Requirements'!$A$6:$R$285,10,FALSE),""))</x:f>
      </x:c>
      <x:c r="O55" s="24"/>
      <x:c r="P55" s="25" t="str">
        <x:f>IF(OR(N55="",O55=""),"",MAX(N55-O55,0))</x:f>
      </x:c>
      <x:c r="Q55" s="30" t="str">
        <x:f>IF(P55="","",P55*M55)</x:f>
      </x:c>
      <x:c r="R55" s="30" t="str">
        <x:f>IF(OR(P55="",L55=""),"",P55*M55*IFERROR(VLOOKUP(L55,'99 Lists'!$A$19:$B$21,2,FALSE),1))</x:f>
      </x:c>
      <x:c r="S55" s="25" t="str">
        <x:f>IF(A55="","",IF(O55="","Not Assessed",IF(P55=0,"Meets / Exceeds",IF(P55=1,"Minor Gap",IF(P55=2,"Major Gap","Critical Gap")))))</x:f>
      </x:c>
      <x:c r="T55" s="24"/>
      <x:c r="U55" s="27"/>
      <x:c r="V55" s="24"/>
      <x:c r="W55" s="24"/>
      <x:c r="X55" s="24"/>
      <x:c r="Y55" s="26"/>
      <x:c r="Z55" s="31" t="str">
        <x:f>IF(B55="","",IF(Y55&lt;&gt;"",Y55,EDATE(B55,IFERROR(VLOOKUP(I55,'03 Position Requirements'!$A$6:$R$285,12,FALSE),12))))</x:f>
      </x:c>
      <x:c r="AA55" s="25" t="str">
        <x:f>IF(OR(B55="",D55="",J55=""),"",IF(COUNTIFS($D$6:$D$155,D55,$J$6:$J$155,J55,$B$6:$B$155,"&gt;"&amp;B55)=0,"Yes","No"))</x:f>
      </x:c>
      <x:c r="AB55" s="25" t="str">
        <x:f>IF(AA55="","",IF(AND(AA55="Yes",OR(P55&gt;0,AD55="Expired")),"Yes","No"))</x:f>
      </x:c>
      <x:c r="AC55" s="25" t="str">
        <x:f>IF(Z55="","",Z55-TODAY())</x:f>
      </x:c>
      <x:c r="AD55" s="25" t="str">
        <x:f>IF(A55="","",IF(O55="","Not Assessed",IF(Z55&lt;TODAY(),"Expired",IF(Z55&lt;=TODAY()+30,"Due Soon","Current"))))</x:f>
      </x:c>
      <x:c r="AE55" s="24"/>
    </x:row>
    <x:row r="56">
      <x:c r="A56" s="24"/>
      <x:c r="B56" s="26"/>
      <x:c r="C56" s="24"/>
      <x:c r="D56" s="24"/>
      <x:c r="E56" s="25" t="str">
        <x:f>IF(D56="","",IFERROR(VLOOKUP(D56,'01 Staff Master'!$A$6:$M$105,2,FALSE),"Staff ID not found"))</x:f>
      </x:c>
      <x:c r="F56" s="25" t="str">
        <x:f>IF(D56="","",IFERROR(VLOOKUP(D56,'01 Staff Master'!$A$6:$M$105,3,FALSE),""))</x:f>
      </x:c>
      <x:c r="G56" s="25" t="str">
        <x:f>IF(D56="","",IFERROR(VLOOKUP(D56,'01 Staff Master'!$A$6:$M$105,5,FALSE),""))</x:f>
      </x:c>
      <x:c r="H56" s="25" t="str">
        <x:f>IF(D56="","",IFERROR(VLOOKUP(D56,'01 Staff Master'!$A$6:$M$105,6,FALSE),""))</x:f>
      </x:c>
      <x:c r="I56" s="25" t="str">
        <x:f>IF(OR(F56="",G56="",J56=""),"",F56&amp;"|"&amp;G56&amp;"|"&amp;J56)</x:f>
      </x:c>
      <x:c r="J56" s="24"/>
      <x:c r="K56" s="25" t="str">
        <x:f>IF(J56="","",IFERROR(VLOOKUP(J56,'02 Skill Catalogue'!$A$6:$K$95,4,FALSE),"Skill ID not found"))</x:f>
      </x:c>
      <x:c r="L56" s="25" t="str">
        <x:f>IF(I56="","",IFERROR(VLOOKUP(I56,'03 Position Requirements'!$A$6:$R$285,8,FALSE),"No Requirement"))</x:f>
      </x:c>
      <x:c r="M56" s="29" t="str">
        <x:f>IF(I56="","",IFERROR(VLOOKUP(I56,'03 Position Requirements'!$A$6:$R$285,9,FALSE),""))</x:f>
      </x:c>
      <x:c r="N56" s="25" t="str">
        <x:f>IF(I56="","",IFERROR(VLOOKUP(I56,'03 Position Requirements'!$A$6:$R$285,10,FALSE),""))</x:f>
      </x:c>
      <x:c r="O56" s="24"/>
      <x:c r="P56" s="25" t="str">
        <x:f>IF(OR(N56="",O56=""),"",MAX(N56-O56,0))</x:f>
      </x:c>
      <x:c r="Q56" s="30" t="str">
        <x:f>IF(P56="","",P56*M56)</x:f>
      </x:c>
      <x:c r="R56" s="30" t="str">
        <x:f>IF(OR(P56="",L56=""),"",P56*M56*IFERROR(VLOOKUP(L56,'99 Lists'!$A$19:$B$21,2,FALSE),1))</x:f>
      </x:c>
      <x:c r="S56" s="25" t="str">
        <x:f>IF(A56="","",IF(O56="","Not Assessed",IF(P56=0,"Meets / Exceeds",IF(P56=1,"Minor Gap",IF(P56=2,"Major Gap","Critical Gap")))))</x:f>
      </x:c>
      <x:c r="T56" s="24"/>
      <x:c r="U56" s="27"/>
      <x:c r="V56" s="24"/>
      <x:c r="W56" s="24"/>
      <x:c r="X56" s="24"/>
      <x:c r="Y56" s="26"/>
      <x:c r="Z56" s="31" t="str">
        <x:f>IF(B56="","",IF(Y56&lt;&gt;"",Y56,EDATE(B56,IFERROR(VLOOKUP(I56,'03 Position Requirements'!$A$6:$R$285,12,FALSE),12))))</x:f>
      </x:c>
      <x:c r="AA56" s="25" t="str">
        <x:f>IF(OR(B56="",D56="",J56=""),"",IF(COUNTIFS($D$6:$D$155,D56,$J$6:$J$155,J56,$B$6:$B$155,"&gt;"&amp;B56)=0,"Yes","No"))</x:f>
      </x:c>
      <x:c r="AB56" s="25" t="str">
        <x:f>IF(AA56="","",IF(AND(AA56="Yes",OR(P56&gt;0,AD56="Expired")),"Yes","No"))</x:f>
      </x:c>
      <x:c r="AC56" s="25" t="str">
        <x:f>IF(Z56="","",Z56-TODAY())</x:f>
      </x:c>
      <x:c r="AD56" s="25" t="str">
        <x:f>IF(A56="","",IF(O56="","Not Assessed",IF(Z56&lt;TODAY(),"Expired",IF(Z56&lt;=TODAY()+30,"Due Soon","Current"))))</x:f>
      </x:c>
      <x:c r="AE56" s="24"/>
    </x:row>
    <x:row r="57">
      <x:c r="A57" s="24"/>
      <x:c r="B57" s="26"/>
      <x:c r="C57" s="24"/>
      <x:c r="D57" s="24"/>
      <x:c r="E57" s="25" t="str">
        <x:f>IF(D57="","",IFERROR(VLOOKUP(D57,'01 Staff Master'!$A$6:$M$105,2,FALSE),"Staff ID not found"))</x:f>
      </x:c>
      <x:c r="F57" s="25" t="str">
        <x:f>IF(D57="","",IFERROR(VLOOKUP(D57,'01 Staff Master'!$A$6:$M$105,3,FALSE),""))</x:f>
      </x:c>
      <x:c r="G57" s="25" t="str">
        <x:f>IF(D57="","",IFERROR(VLOOKUP(D57,'01 Staff Master'!$A$6:$M$105,5,FALSE),""))</x:f>
      </x:c>
      <x:c r="H57" s="25" t="str">
        <x:f>IF(D57="","",IFERROR(VLOOKUP(D57,'01 Staff Master'!$A$6:$M$105,6,FALSE),""))</x:f>
      </x:c>
      <x:c r="I57" s="25" t="str">
        <x:f>IF(OR(F57="",G57="",J57=""),"",F57&amp;"|"&amp;G57&amp;"|"&amp;J57)</x:f>
      </x:c>
      <x:c r="J57" s="24"/>
      <x:c r="K57" s="25" t="str">
        <x:f>IF(J57="","",IFERROR(VLOOKUP(J57,'02 Skill Catalogue'!$A$6:$K$95,4,FALSE),"Skill ID not found"))</x:f>
      </x:c>
      <x:c r="L57" s="25" t="str">
        <x:f>IF(I57="","",IFERROR(VLOOKUP(I57,'03 Position Requirements'!$A$6:$R$285,8,FALSE),"No Requirement"))</x:f>
      </x:c>
      <x:c r="M57" s="29" t="str">
        <x:f>IF(I57="","",IFERROR(VLOOKUP(I57,'03 Position Requirements'!$A$6:$R$285,9,FALSE),""))</x:f>
      </x:c>
      <x:c r="N57" s="25" t="str">
        <x:f>IF(I57="","",IFERROR(VLOOKUP(I57,'03 Position Requirements'!$A$6:$R$285,10,FALSE),""))</x:f>
      </x:c>
      <x:c r="O57" s="24"/>
      <x:c r="P57" s="25" t="str">
        <x:f>IF(OR(N57="",O57=""),"",MAX(N57-O57,0))</x:f>
      </x:c>
      <x:c r="Q57" s="30" t="str">
        <x:f>IF(P57="","",P57*M57)</x:f>
      </x:c>
      <x:c r="R57" s="30" t="str">
        <x:f>IF(OR(P57="",L57=""),"",P57*M57*IFERROR(VLOOKUP(L57,'99 Lists'!$A$19:$B$21,2,FALSE),1))</x:f>
      </x:c>
      <x:c r="S57" s="25" t="str">
        <x:f>IF(A57="","",IF(O57="","Not Assessed",IF(P57=0,"Meets / Exceeds",IF(P57=1,"Minor Gap",IF(P57=2,"Major Gap","Critical Gap")))))</x:f>
      </x:c>
      <x:c r="T57" s="24"/>
      <x:c r="U57" s="27"/>
      <x:c r="V57" s="24"/>
      <x:c r="W57" s="24"/>
      <x:c r="X57" s="24"/>
      <x:c r="Y57" s="26"/>
      <x:c r="Z57" s="31" t="str">
        <x:f>IF(B57="","",IF(Y57&lt;&gt;"",Y57,EDATE(B57,IFERROR(VLOOKUP(I57,'03 Position Requirements'!$A$6:$R$285,12,FALSE),12))))</x:f>
      </x:c>
      <x:c r="AA57" s="25" t="str">
        <x:f>IF(OR(B57="",D57="",J57=""),"",IF(COUNTIFS($D$6:$D$155,D57,$J$6:$J$155,J57,$B$6:$B$155,"&gt;"&amp;B57)=0,"Yes","No"))</x:f>
      </x:c>
      <x:c r="AB57" s="25" t="str">
        <x:f>IF(AA57="","",IF(AND(AA57="Yes",OR(P57&gt;0,AD57="Expired")),"Yes","No"))</x:f>
      </x:c>
      <x:c r="AC57" s="25" t="str">
        <x:f>IF(Z57="","",Z57-TODAY())</x:f>
      </x:c>
      <x:c r="AD57" s="25" t="str">
        <x:f>IF(A57="","",IF(O57="","Not Assessed",IF(Z57&lt;TODAY(),"Expired",IF(Z57&lt;=TODAY()+30,"Due Soon","Current"))))</x:f>
      </x:c>
      <x:c r="AE57" s="24"/>
    </x:row>
    <x:row r="58">
      <x:c r="A58" s="24"/>
      <x:c r="B58" s="26"/>
      <x:c r="C58" s="24"/>
      <x:c r="D58" s="24"/>
      <x:c r="E58" s="25" t="str">
        <x:f>IF(D58="","",IFERROR(VLOOKUP(D58,'01 Staff Master'!$A$6:$M$105,2,FALSE),"Staff ID not found"))</x:f>
      </x:c>
      <x:c r="F58" s="25" t="str">
        <x:f>IF(D58="","",IFERROR(VLOOKUP(D58,'01 Staff Master'!$A$6:$M$105,3,FALSE),""))</x:f>
      </x:c>
      <x:c r="G58" s="25" t="str">
        <x:f>IF(D58="","",IFERROR(VLOOKUP(D58,'01 Staff Master'!$A$6:$M$105,5,FALSE),""))</x:f>
      </x:c>
      <x:c r="H58" s="25" t="str">
        <x:f>IF(D58="","",IFERROR(VLOOKUP(D58,'01 Staff Master'!$A$6:$M$105,6,FALSE),""))</x:f>
      </x:c>
      <x:c r="I58" s="25" t="str">
        <x:f>IF(OR(F58="",G58="",J58=""),"",F58&amp;"|"&amp;G58&amp;"|"&amp;J58)</x:f>
      </x:c>
      <x:c r="J58" s="24"/>
      <x:c r="K58" s="25" t="str">
        <x:f>IF(J58="","",IFERROR(VLOOKUP(J58,'02 Skill Catalogue'!$A$6:$K$95,4,FALSE),"Skill ID not found"))</x:f>
      </x:c>
      <x:c r="L58" s="25" t="str">
        <x:f>IF(I58="","",IFERROR(VLOOKUP(I58,'03 Position Requirements'!$A$6:$R$285,8,FALSE),"No Requirement"))</x:f>
      </x:c>
      <x:c r="M58" s="29" t="str">
        <x:f>IF(I58="","",IFERROR(VLOOKUP(I58,'03 Position Requirements'!$A$6:$R$285,9,FALSE),""))</x:f>
      </x:c>
      <x:c r="N58" s="25" t="str">
        <x:f>IF(I58="","",IFERROR(VLOOKUP(I58,'03 Position Requirements'!$A$6:$R$285,10,FALSE),""))</x:f>
      </x:c>
      <x:c r="O58" s="24"/>
      <x:c r="P58" s="25" t="str">
        <x:f>IF(OR(N58="",O58=""),"",MAX(N58-O58,0))</x:f>
      </x:c>
      <x:c r="Q58" s="30" t="str">
        <x:f>IF(P58="","",P58*M58)</x:f>
      </x:c>
      <x:c r="R58" s="30" t="str">
        <x:f>IF(OR(P58="",L58=""),"",P58*M58*IFERROR(VLOOKUP(L58,'99 Lists'!$A$19:$B$21,2,FALSE),1))</x:f>
      </x:c>
      <x:c r="S58" s="25" t="str">
        <x:f>IF(A58="","",IF(O58="","Not Assessed",IF(P58=0,"Meets / Exceeds",IF(P58=1,"Minor Gap",IF(P58=2,"Major Gap","Critical Gap")))))</x:f>
      </x:c>
      <x:c r="T58" s="24"/>
      <x:c r="U58" s="27"/>
      <x:c r="V58" s="24"/>
      <x:c r="W58" s="24"/>
      <x:c r="X58" s="24"/>
      <x:c r="Y58" s="26"/>
      <x:c r="Z58" s="31" t="str">
        <x:f>IF(B58="","",IF(Y58&lt;&gt;"",Y58,EDATE(B58,IFERROR(VLOOKUP(I58,'03 Position Requirements'!$A$6:$R$285,12,FALSE),12))))</x:f>
      </x:c>
      <x:c r="AA58" s="25" t="str">
        <x:f>IF(OR(B58="",D58="",J58=""),"",IF(COUNTIFS($D$6:$D$155,D58,$J$6:$J$155,J58,$B$6:$B$155,"&gt;"&amp;B58)=0,"Yes","No"))</x:f>
      </x:c>
      <x:c r="AB58" s="25" t="str">
        <x:f>IF(AA58="","",IF(AND(AA58="Yes",OR(P58&gt;0,AD58="Expired")),"Yes","No"))</x:f>
      </x:c>
      <x:c r="AC58" s="25" t="str">
        <x:f>IF(Z58="","",Z58-TODAY())</x:f>
      </x:c>
      <x:c r="AD58" s="25" t="str">
        <x:f>IF(A58="","",IF(O58="","Not Assessed",IF(Z58&lt;TODAY(),"Expired",IF(Z58&lt;=TODAY()+30,"Due Soon","Current"))))</x:f>
      </x:c>
      <x:c r="AE58" s="24"/>
    </x:row>
    <x:row r="59">
      <x:c r="A59" s="24"/>
      <x:c r="B59" s="26"/>
      <x:c r="C59" s="24"/>
      <x:c r="D59" s="24"/>
      <x:c r="E59" s="25" t="str">
        <x:f>IF(D59="","",IFERROR(VLOOKUP(D59,'01 Staff Master'!$A$6:$M$105,2,FALSE),"Staff ID not found"))</x:f>
      </x:c>
      <x:c r="F59" s="25" t="str">
        <x:f>IF(D59="","",IFERROR(VLOOKUP(D59,'01 Staff Master'!$A$6:$M$105,3,FALSE),""))</x:f>
      </x:c>
      <x:c r="G59" s="25" t="str">
        <x:f>IF(D59="","",IFERROR(VLOOKUP(D59,'01 Staff Master'!$A$6:$M$105,5,FALSE),""))</x:f>
      </x:c>
      <x:c r="H59" s="25" t="str">
        <x:f>IF(D59="","",IFERROR(VLOOKUP(D59,'01 Staff Master'!$A$6:$M$105,6,FALSE),""))</x:f>
      </x:c>
      <x:c r="I59" s="25" t="str">
        <x:f>IF(OR(F59="",G59="",J59=""),"",F59&amp;"|"&amp;G59&amp;"|"&amp;J59)</x:f>
      </x:c>
      <x:c r="J59" s="24"/>
      <x:c r="K59" s="25" t="str">
        <x:f>IF(J59="","",IFERROR(VLOOKUP(J59,'02 Skill Catalogue'!$A$6:$K$95,4,FALSE),"Skill ID not found"))</x:f>
      </x:c>
      <x:c r="L59" s="25" t="str">
        <x:f>IF(I59="","",IFERROR(VLOOKUP(I59,'03 Position Requirements'!$A$6:$R$285,8,FALSE),"No Requirement"))</x:f>
      </x:c>
      <x:c r="M59" s="29" t="str">
        <x:f>IF(I59="","",IFERROR(VLOOKUP(I59,'03 Position Requirements'!$A$6:$R$285,9,FALSE),""))</x:f>
      </x:c>
      <x:c r="N59" s="25" t="str">
        <x:f>IF(I59="","",IFERROR(VLOOKUP(I59,'03 Position Requirements'!$A$6:$R$285,10,FALSE),""))</x:f>
      </x:c>
      <x:c r="O59" s="24"/>
      <x:c r="P59" s="25" t="str">
        <x:f>IF(OR(N59="",O59=""),"",MAX(N59-O59,0))</x:f>
      </x:c>
      <x:c r="Q59" s="30" t="str">
        <x:f>IF(P59="","",P59*M59)</x:f>
      </x:c>
      <x:c r="R59" s="30" t="str">
        <x:f>IF(OR(P59="",L59=""),"",P59*M59*IFERROR(VLOOKUP(L59,'99 Lists'!$A$19:$B$21,2,FALSE),1))</x:f>
      </x:c>
      <x:c r="S59" s="25" t="str">
        <x:f>IF(A59="","",IF(O59="","Not Assessed",IF(P59=0,"Meets / Exceeds",IF(P59=1,"Minor Gap",IF(P59=2,"Major Gap","Critical Gap")))))</x:f>
      </x:c>
      <x:c r="T59" s="24"/>
      <x:c r="U59" s="27"/>
      <x:c r="V59" s="24"/>
      <x:c r="W59" s="24"/>
      <x:c r="X59" s="24"/>
      <x:c r="Y59" s="26"/>
      <x:c r="Z59" s="31" t="str">
        <x:f>IF(B59="","",IF(Y59&lt;&gt;"",Y59,EDATE(B59,IFERROR(VLOOKUP(I59,'03 Position Requirements'!$A$6:$R$285,12,FALSE),12))))</x:f>
      </x:c>
      <x:c r="AA59" s="25" t="str">
        <x:f>IF(OR(B59="",D59="",J59=""),"",IF(COUNTIFS($D$6:$D$155,D59,$J$6:$J$155,J59,$B$6:$B$155,"&gt;"&amp;B59)=0,"Yes","No"))</x:f>
      </x:c>
      <x:c r="AB59" s="25" t="str">
        <x:f>IF(AA59="","",IF(AND(AA59="Yes",OR(P59&gt;0,AD59="Expired")),"Yes","No"))</x:f>
      </x:c>
      <x:c r="AC59" s="25" t="str">
        <x:f>IF(Z59="","",Z59-TODAY())</x:f>
      </x:c>
      <x:c r="AD59" s="25" t="str">
        <x:f>IF(A59="","",IF(O59="","Not Assessed",IF(Z59&lt;TODAY(),"Expired",IF(Z59&lt;=TODAY()+30,"Due Soon","Current"))))</x:f>
      </x:c>
      <x:c r="AE59" s="24"/>
    </x:row>
    <x:row r="60">
      <x:c r="A60" s="24"/>
      <x:c r="B60" s="26"/>
      <x:c r="C60" s="24"/>
      <x:c r="D60" s="24"/>
      <x:c r="E60" s="25" t="str">
        <x:f>IF(D60="","",IFERROR(VLOOKUP(D60,'01 Staff Master'!$A$6:$M$105,2,FALSE),"Staff ID not found"))</x:f>
      </x:c>
      <x:c r="F60" s="25" t="str">
        <x:f>IF(D60="","",IFERROR(VLOOKUP(D60,'01 Staff Master'!$A$6:$M$105,3,FALSE),""))</x:f>
      </x:c>
      <x:c r="G60" s="25" t="str">
        <x:f>IF(D60="","",IFERROR(VLOOKUP(D60,'01 Staff Master'!$A$6:$M$105,5,FALSE),""))</x:f>
      </x:c>
      <x:c r="H60" s="25" t="str">
        <x:f>IF(D60="","",IFERROR(VLOOKUP(D60,'01 Staff Master'!$A$6:$M$105,6,FALSE),""))</x:f>
      </x:c>
      <x:c r="I60" s="25" t="str">
        <x:f>IF(OR(F60="",G60="",J60=""),"",F60&amp;"|"&amp;G60&amp;"|"&amp;J60)</x:f>
      </x:c>
      <x:c r="J60" s="24"/>
      <x:c r="K60" s="25" t="str">
        <x:f>IF(J60="","",IFERROR(VLOOKUP(J60,'02 Skill Catalogue'!$A$6:$K$95,4,FALSE),"Skill ID not found"))</x:f>
      </x:c>
      <x:c r="L60" s="25" t="str">
        <x:f>IF(I60="","",IFERROR(VLOOKUP(I60,'03 Position Requirements'!$A$6:$R$285,8,FALSE),"No Requirement"))</x:f>
      </x:c>
      <x:c r="M60" s="29" t="str">
        <x:f>IF(I60="","",IFERROR(VLOOKUP(I60,'03 Position Requirements'!$A$6:$R$285,9,FALSE),""))</x:f>
      </x:c>
      <x:c r="N60" s="25" t="str">
        <x:f>IF(I60="","",IFERROR(VLOOKUP(I60,'03 Position Requirements'!$A$6:$R$285,10,FALSE),""))</x:f>
      </x:c>
      <x:c r="O60" s="24"/>
      <x:c r="P60" s="25" t="str">
        <x:f>IF(OR(N60="",O60=""),"",MAX(N60-O60,0))</x:f>
      </x:c>
      <x:c r="Q60" s="30" t="str">
        <x:f>IF(P60="","",P60*M60)</x:f>
      </x:c>
      <x:c r="R60" s="30" t="str">
        <x:f>IF(OR(P60="",L60=""),"",P60*M60*IFERROR(VLOOKUP(L60,'99 Lists'!$A$19:$B$21,2,FALSE),1))</x:f>
      </x:c>
      <x:c r="S60" s="25" t="str">
        <x:f>IF(A60="","",IF(O60="","Not Assessed",IF(P60=0,"Meets / Exceeds",IF(P60=1,"Minor Gap",IF(P60=2,"Major Gap","Critical Gap")))))</x:f>
      </x:c>
      <x:c r="T60" s="24"/>
      <x:c r="U60" s="27"/>
      <x:c r="V60" s="24"/>
      <x:c r="W60" s="24"/>
      <x:c r="X60" s="24"/>
      <x:c r="Y60" s="26"/>
      <x:c r="Z60" s="31" t="str">
        <x:f>IF(B60="","",IF(Y60&lt;&gt;"",Y60,EDATE(B60,IFERROR(VLOOKUP(I60,'03 Position Requirements'!$A$6:$R$285,12,FALSE),12))))</x:f>
      </x:c>
      <x:c r="AA60" s="25" t="str">
        <x:f>IF(OR(B60="",D60="",J60=""),"",IF(COUNTIFS($D$6:$D$155,D60,$J$6:$J$155,J60,$B$6:$B$155,"&gt;"&amp;B60)=0,"Yes","No"))</x:f>
      </x:c>
      <x:c r="AB60" s="25" t="str">
        <x:f>IF(AA60="","",IF(AND(AA60="Yes",OR(P60&gt;0,AD60="Expired")),"Yes","No"))</x:f>
      </x:c>
      <x:c r="AC60" s="25" t="str">
        <x:f>IF(Z60="","",Z60-TODAY())</x:f>
      </x:c>
      <x:c r="AD60" s="25" t="str">
        <x:f>IF(A60="","",IF(O60="","Not Assessed",IF(Z60&lt;TODAY(),"Expired",IF(Z60&lt;=TODAY()+30,"Due Soon","Current"))))</x:f>
      </x:c>
      <x:c r="AE60" s="24"/>
    </x:row>
    <x:row r="61">
      <x:c r="A61" s="24"/>
      <x:c r="B61" s="26"/>
      <x:c r="C61" s="24"/>
      <x:c r="D61" s="24"/>
      <x:c r="E61" s="25" t="str">
        <x:f>IF(D61="","",IFERROR(VLOOKUP(D61,'01 Staff Master'!$A$6:$M$105,2,FALSE),"Staff ID not found"))</x:f>
      </x:c>
      <x:c r="F61" s="25" t="str">
        <x:f>IF(D61="","",IFERROR(VLOOKUP(D61,'01 Staff Master'!$A$6:$M$105,3,FALSE),""))</x:f>
      </x:c>
      <x:c r="G61" s="25" t="str">
        <x:f>IF(D61="","",IFERROR(VLOOKUP(D61,'01 Staff Master'!$A$6:$M$105,5,FALSE),""))</x:f>
      </x:c>
      <x:c r="H61" s="25" t="str">
        <x:f>IF(D61="","",IFERROR(VLOOKUP(D61,'01 Staff Master'!$A$6:$M$105,6,FALSE),""))</x:f>
      </x:c>
      <x:c r="I61" s="25" t="str">
        <x:f>IF(OR(F61="",G61="",J61=""),"",F61&amp;"|"&amp;G61&amp;"|"&amp;J61)</x:f>
      </x:c>
      <x:c r="J61" s="24"/>
      <x:c r="K61" s="25" t="str">
        <x:f>IF(J61="","",IFERROR(VLOOKUP(J61,'02 Skill Catalogue'!$A$6:$K$95,4,FALSE),"Skill ID not found"))</x:f>
      </x:c>
      <x:c r="L61" s="25" t="str">
        <x:f>IF(I61="","",IFERROR(VLOOKUP(I61,'03 Position Requirements'!$A$6:$R$285,8,FALSE),"No Requirement"))</x:f>
      </x:c>
      <x:c r="M61" s="29" t="str">
        <x:f>IF(I61="","",IFERROR(VLOOKUP(I61,'03 Position Requirements'!$A$6:$R$285,9,FALSE),""))</x:f>
      </x:c>
      <x:c r="N61" s="25" t="str">
        <x:f>IF(I61="","",IFERROR(VLOOKUP(I61,'03 Position Requirements'!$A$6:$R$285,10,FALSE),""))</x:f>
      </x:c>
      <x:c r="O61" s="24"/>
      <x:c r="P61" s="25" t="str">
        <x:f>IF(OR(N61="",O61=""),"",MAX(N61-O61,0))</x:f>
      </x:c>
      <x:c r="Q61" s="30" t="str">
        <x:f>IF(P61="","",P61*M61)</x:f>
      </x:c>
      <x:c r="R61" s="30" t="str">
        <x:f>IF(OR(P61="",L61=""),"",P61*M61*IFERROR(VLOOKUP(L61,'99 Lists'!$A$19:$B$21,2,FALSE),1))</x:f>
      </x:c>
      <x:c r="S61" s="25" t="str">
        <x:f>IF(A61="","",IF(O61="","Not Assessed",IF(P61=0,"Meets / Exceeds",IF(P61=1,"Minor Gap",IF(P61=2,"Major Gap","Critical Gap")))))</x:f>
      </x:c>
      <x:c r="T61" s="24"/>
      <x:c r="U61" s="27"/>
      <x:c r="V61" s="24"/>
      <x:c r="W61" s="24"/>
      <x:c r="X61" s="24"/>
      <x:c r="Y61" s="26"/>
      <x:c r="Z61" s="31" t="str">
        <x:f>IF(B61="","",IF(Y61&lt;&gt;"",Y61,EDATE(B61,IFERROR(VLOOKUP(I61,'03 Position Requirements'!$A$6:$R$285,12,FALSE),12))))</x:f>
      </x:c>
      <x:c r="AA61" s="25" t="str">
        <x:f>IF(OR(B61="",D61="",J61=""),"",IF(COUNTIFS($D$6:$D$155,D61,$J$6:$J$155,J61,$B$6:$B$155,"&gt;"&amp;B61)=0,"Yes","No"))</x:f>
      </x:c>
      <x:c r="AB61" s="25" t="str">
        <x:f>IF(AA61="","",IF(AND(AA61="Yes",OR(P61&gt;0,AD61="Expired")),"Yes","No"))</x:f>
      </x:c>
      <x:c r="AC61" s="25" t="str">
        <x:f>IF(Z61="","",Z61-TODAY())</x:f>
      </x:c>
      <x:c r="AD61" s="25" t="str">
        <x:f>IF(A61="","",IF(O61="","Not Assessed",IF(Z61&lt;TODAY(),"Expired",IF(Z61&lt;=TODAY()+30,"Due Soon","Current"))))</x:f>
      </x:c>
      <x:c r="AE61" s="24"/>
    </x:row>
    <x:row r="62">
      <x:c r="A62" s="24"/>
      <x:c r="B62" s="26"/>
      <x:c r="C62" s="24"/>
      <x:c r="D62" s="24"/>
      <x:c r="E62" s="25" t="str">
        <x:f>IF(D62="","",IFERROR(VLOOKUP(D62,'01 Staff Master'!$A$6:$M$105,2,FALSE),"Staff ID not found"))</x:f>
      </x:c>
      <x:c r="F62" s="25" t="str">
        <x:f>IF(D62="","",IFERROR(VLOOKUP(D62,'01 Staff Master'!$A$6:$M$105,3,FALSE),""))</x:f>
      </x:c>
      <x:c r="G62" s="25" t="str">
        <x:f>IF(D62="","",IFERROR(VLOOKUP(D62,'01 Staff Master'!$A$6:$M$105,5,FALSE),""))</x:f>
      </x:c>
      <x:c r="H62" s="25" t="str">
        <x:f>IF(D62="","",IFERROR(VLOOKUP(D62,'01 Staff Master'!$A$6:$M$105,6,FALSE),""))</x:f>
      </x:c>
      <x:c r="I62" s="25" t="str">
        <x:f>IF(OR(F62="",G62="",J62=""),"",F62&amp;"|"&amp;G62&amp;"|"&amp;J62)</x:f>
      </x:c>
      <x:c r="J62" s="24"/>
      <x:c r="K62" s="25" t="str">
        <x:f>IF(J62="","",IFERROR(VLOOKUP(J62,'02 Skill Catalogue'!$A$6:$K$95,4,FALSE),"Skill ID not found"))</x:f>
      </x:c>
      <x:c r="L62" s="25" t="str">
        <x:f>IF(I62="","",IFERROR(VLOOKUP(I62,'03 Position Requirements'!$A$6:$R$285,8,FALSE),"No Requirement"))</x:f>
      </x:c>
      <x:c r="M62" s="29" t="str">
        <x:f>IF(I62="","",IFERROR(VLOOKUP(I62,'03 Position Requirements'!$A$6:$R$285,9,FALSE),""))</x:f>
      </x:c>
      <x:c r="N62" s="25" t="str">
        <x:f>IF(I62="","",IFERROR(VLOOKUP(I62,'03 Position Requirements'!$A$6:$R$285,10,FALSE),""))</x:f>
      </x:c>
      <x:c r="O62" s="24"/>
      <x:c r="P62" s="25" t="str">
        <x:f>IF(OR(N62="",O62=""),"",MAX(N62-O62,0))</x:f>
      </x:c>
      <x:c r="Q62" s="30" t="str">
        <x:f>IF(P62="","",P62*M62)</x:f>
      </x:c>
      <x:c r="R62" s="30" t="str">
        <x:f>IF(OR(P62="",L62=""),"",P62*M62*IFERROR(VLOOKUP(L62,'99 Lists'!$A$19:$B$21,2,FALSE),1))</x:f>
      </x:c>
      <x:c r="S62" s="25" t="str">
        <x:f>IF(A62="","",IF(O62="","Not Assessed",IF(P62=0,"Meets / Exceeds",IF(P62=1,"Minor Gap",IF(P62=2,"Major Gap","Critical Gap")))))</x:f>
      </x:c>
      <x:c r="T62" s="24"/>
      <x:c r="U62" s="27"/>
      <x:c r="V62" s="24"/>
      <x:c r="W62" s="24"/>
      <x:c r="X62" s="24"/>
      <x:c r="Y62" s="26"/>
      <x:c r="Z62" s="31" t="str">
        <x:f>IF(B62="","",IF(Y62&lt;&gt;"",Y62,EDATE(B62,IFERROR(VLOOKUP(I62,'03 Position Requirements'!$A$6:$R$285,12,FALSE),12))))</x:f>
      </x:c>
      <x:c r="AA62" s="25" t="str">
        <x:f>IF(OR(B62="",D62="",J62=""),"",IF(COUNTIFS($D$6:$D$155,D62,$J$6:$J$155,J62,$B$6:$B$155,"&gt;"&amp;B62)=0,"Yes","No"))</x:f>
      </x:c>
      <x:c r="AB62" s="25" t="str">
        <x:f>IF(AA62="","",IF(AND(AA62="Yes",OR(P62&gt;0,AD62="Expired")),"Yes","No"))</x:f>
      </x:c>
      <x:c r="AC62" s="25" t="str">
        <x:f>IF(Z62="","",Z62-TODAY())</x:f>
      </x:c>
      <x:c r="AD62" s="25" t="str">
        <x:f>IF(A62="","",IF(O62="","Not Assessed",IF(Z62&lt;TODAY(),"Expired",IF(Z62&lt;=TODAY()+30,"Due Soon","Current"))))</x:f>
      </x:c>
      <x:c r="AE62" s="24"/>
    </x:row>
    <x:row r="63">
      <x:c r="A63" s="24"/>
      <x:c r="B63" s="26"/>
      <x:c r="C63" s="24"/>
      <x:c r="D63" s="24"/>
      <x:c r="E63" s="25" t="str">
        <x:f>IF(D63="","",IFERROR(VLOOKUP(D63,'01 Staff Master'!$A$6:$M$105,2,FALSE),"Staff ID not found"))</x:f>
      </x:c>
      <x:c r="F63" s="25" t="str">
        <x:f>IF(D63="","",IFERROR(VLOOKUP(D63,'01 Staff Master'!$A$6:$M$105,3,FALSE),""))</x:f>
      </x:c>
      <x:c r="G63" s="25" t="str">
        <x:f>IF(D63="","",IFERROR(VLOOKUP(D63,'01 Staff Master'!$A$6:$M$105,5,FALSE),""))</x:f>
      </x:c>
      <x:c r="H63" s="25" t="str">
        <x:f>IF(D63="","",IFERROR(VLOOKUP(D63,'01 Staff Master'!$A$6:$M$105,6,FALSE),""))</x:f>
      </x:c>
      <x:c r="I63" s="25" t="str">
        <x:f>IF(OR(F63="",G63="",J63=""),"",F63&amp;"|"&amp;G63&amp;"|"&amp;J63)</x:f>
      </x:c>
      <x:c r="J63" s="24"/>
      <x:c r="K63" s="25" t="str">
        <x:f>IF(J63="","",IFERROR(VLOOKUP(J63,'02 Skill Catalogue'!$A$6:$K$95,4,FALSE),"Skill ID not found"))</x:f>
      </x:c>
      <x:c r="L63" s="25" t="str">
        <x:f>IF(I63="","",IFERROR(VLOOKUP(I63,'03 Position Requirements'!$A$6:$R$285,8,FALSE),"No Requirement"))</x:f>
      </x:c>
      <x:c r="M63" s="29" t="str">
        <x:f>IF(I63="","",IFERROR(VLOOKUP(I63,'03 Position Requirements'!$A$6:$R$285,9,FALSE),""))</x:f>
      </x:c>
      <x:c r="N63" s="25" t="str">
        <x:f>IF(I63="","",IFERROR(VLOOKUP(I63,'03 Position Requirements'!$A$6:$R$285,10,FALSE),""))</x:f>
      </x:c>
      <x:c r="O63" s="24"/>
      <x:c r="P63" s="25" t="str">
        <x:f>IF(OR(N63="",O63=""),"",MAX(N63-O63,0))</x:f>
      </x:c>
      <x:c r="Q63" s="30" t="str">
        <x:f>IF(P63="","",P63*M63)</x:f>
      </x:c>
      <x:c r="R63" s="30" t="str">
        <x:f>IF(OR(P63="",L63=""),"",P63*M63*IFERROR(VLOOKUP(L63,'99 Lists'!$A$19:$B$21,2,FALSE),1))</x:f>
      </x:c>
      <x:c r="S63" s="25" t="str">
        <x:f>IF(A63="","",IF(O63="","Not Assessed",IF(P63=0,"Meets / Exceeds",IF(P63=1,"Minor Gap",IF(P63=2,"Major Gap","Critical Gap")))))</x:f>
      </x:c>
      <x:c r="T63" s="24"/>
      <x:c r="U63" s="27"/>
      <x:c r="V63" s="24"/>
      <x:c r="W63" s="24"/>
      <x:c r="X63" s="24"/>
      <x:c r="Y63" s="26"/>
      <x:c r="Z63" s="31" t="str">
        <x:f>IF(B63="","",IF(Y63&lt;&gt;"",Y63,EDATE(B63,IFERROR(VLOOKUP(I63,'03 Position Requirements'!$A$6:$R$285,12,FALSE),12))))</x:f>
      </x:c>
      <x:c r="AA63" s="25" t="str">
        <x:f>IF(OR(B63="",D63="",J63=""),"",IF(COUNTIFS($D$6:$D$155,D63,$J$6:$J$155,J63,$B$6:$B$155,"&gt;"&amp;B63)=0,"Yes","No"))</x:f>
      </x:c>
      <x:c r="AB63" s="25" t="str">
        <x:f>IF(AA63="","",IF(AND(AA63="Yes",OR(P63&gt;0,AD63="Expired")),"Yes","No"))</x:f>
      </x:c>
      <x:c r="AC63" s="25" t="str">
        <x:f>IF(Z63="","",Z63-TODAY())</x:f>
      </x:c>
      <x:c r="AD63" s="25" t="str">
        <x:f>IF(A63="","",IF(O63="","Not Assessed",IF(Z63&lt;TODAY(),"Expired",IF(Z63&lt;=TODAY()+30,"Due Soon","Current"))))</x:f>
      </x:c>
      <x:c r="AE63" s="24"/>
    </x:row>
    <x:row r="64">
      <x:c r="A64" s="24"/>
      <x:c r="B64" s="26"/>
      <x:c r="C64" s="24"/>
      <x:c r="D64" s="24"/>
      <x:c r="E64" s="25" t="str">
        <x:f>IF(D64="","",IFERROR(VLOOKUP(D64,'01 Staff Master'!$A$6:$M$105,2,FALSE),"Staff ID not found"))</x:f>
      </x:c>
      <x:c r="F64" s="25" t="str">
        <x:f>IF(D64="","",IFERROR(VLOOKUP(D64,'01 Staff Master'!$A$6:$M$105,3,FALSE),""))</x:f>
      </x:c>
      <x:c r="G64" s="25" t="str">
        <x:f>IF(D64="","",IFERROR(VLOOKUP(D64,'01 Staff Master'!$A$6:$M$105,5,FALSE),""))</x:f>
      </x:c>
      <x:c r="H64" s="25" t="str">
        <x:f>IF(D64="","",IFERROR(VLOOKUP(D64,'01 Staff Master'!$A$6:$M$105,6,FALSE),""))</x:f>
      </x:c>
      <x:c r="I64" s="25" t="str">
        <x:f>IF(OR(F64="",G64="",J64=""),"",F64&amp;"|"&amp;G64&amp;"|"&amp;J64)</x:f>
      </x:c>
      <x:c r="J64" s="24"/>
      <x:c r="K64" s="25" t="str">
        <x:f>IF(J64="","",IFERROR(VLOOKUP(J64,'02 Skill Catalogue'!$A$6:$K$95,4,FALSE),"Skill ID not found"))</x:f>
      </x:c>
      <x:c r="L64" s="25" t="str">
        <x:f>IF(I64="","",IFERROR(VLOOKUP(I64,'03 Position Requirements'!$A$6:$R$285,8,FALSE),"No Requirement"))</x:f>
      </x:c>
      <x:c r="M64" s="29" t="str">
        <x:f>IF(I64="","",IFERROR(VLOOKUP(I64,'03 Position Requirements'!$A$6:$R$285,9,FALSE),""))</x:f>
      </x:c>
      <x:c r="N64" s="25" t="str">
        <x:f>IF(I64="","",IFERROR(VLOOKUP(I64,'03 Position Requirements'!$A$6:$R$285,10,FALSE),""))</x:f>
      </x:c>
      <x:c r="O64" s="24"/>
      <x:c r="P64" s="25" t="str">
        <x:f>IF(OR(N64="",O64=""),"",MAX(N64-O64,0))</x:f>
      </x:c>
      <x:c r="Q64" s="30" t="str">
        <x:f>IF(P64="","",P64*M64)</x:f>
      </x:c>
      <x:c r="R64" s="30" t="str">
        <x:f>IF(OR(P64="",L64=""),"",P64*M64*IFERROR(VLOOKUP(L64,'99 Lists'!$A$19:$B$21,2,FALSE),1))</x:f>
      </x:c>
      <x:c r="S64" s="25" t="str">
        <x:f>IF(A64="","",IF(O64="","Not Assessed",IF(P64=0,"Meets / Exceeds",IF(P64=1,"Minor Gap",IF(P64=2,"Major Gap","Critical Gap")))))</x:f>
      </x:c>
      <x:c r="T64" s="24"/>
      <x:c r="U64" s="27"/>
      <x:c r="V64" s="24"/>
      <x:c r="W64" s="24"/>
      <x:c r="X64" s="24"/>
      <x:c r="Y64" s="26"/>
      <x:c r="Z64" s="31" t="str">
        <x:f>IF(B64="","",IF(Y64&lt;&gt;"",Y64,EDATE(B64,IFERROR(VLOOKUP(I64,'03 Position Requirements'!$A$6:$R$285,12,FALSE),12))))</x:f>
      </x:c>
      <x:c r="AA64" s="25" t="str">
        <x:f>IF(OR(B64="",D64="",J64=""),"",IF(COUNTIFS($D$6:$D$155,D64,$J$6:$J$155,J64,$B$6:$B$155,"&gt;"&amp;B64)=0,"Yes","No"))</x:f>
      </x:c>
      <x:c r="AB64" s="25" t="str">
        <x:f>IF(AA64="","",IF(AND(AA64="Yes",OR(P64&gt;0,AD64="Expired")),"Yes","No"))</x:f>
      </x:c>
      <x:c r="AC64" s="25" t="str">
        <x:f>IF(Z64="","",Z64-TODAY())</x:f>
      </x:c>
      <x:c r="AD64" s="25" t="str">
        <x:f>IF(A64="","",IF(O64="","Not Assessed",IF(Z64&lt;TODAY(),"Expired",IF(Z64&lt;=TODAY()+30,"Due Soon","Current"))))</x:f>
      </x:c>
      <x:c r="AE64" s="24"/>
    </x:row>
    <x:row r="65">
      <x:c r="A65" s="24"/>
      <x:c r="B65" s="26"/>
      <x:c r="C65" s="24"/>
      <x:c r="D65" s="24"/>
      <x:c r="E65" s="25" t="str">
        <x:f>IF(D65="","",IFERROR(VLOOKUP(D65,'01 Staff Master'!$A$6:$M$105,2,FALSE),"Staff ID not found"))</x:f>
      </x:c>
      <x:c r="F65" s="25" t="str">
        <x:f>IF(D65="","",IFERROR(VLOOKUP(D65,'01 Staff Master'!$A$6:$M$105,3,FALSE),""))</x:f>
      </x:c>
      <x:c r="G65" s="25" t="str">
        <x:f>IF(D65="","",IFERROR(VLOOKUP(D65,'01 Staff Master'!$A$6:$M$105,5,FALSE),""))</x:f>
      </x:c>
      <x:c r="H65" s="25" t="str">
        <x:f>IF(D65="","",IFERROR(VLOOKUP(D65,'01 Staff Master'!$A$6:$M$105,6,FALSE),""))</x:f>
      </x:c>
      <x:c r="I65" s="25" t="str">
        <x:f>IF(OR(F65="",G65="",J65=""),"",F65&amp;"|"&amp;G65&amp;"|"&amp;J65)</x:f>
      </x:c>
      <x:c r="J65" s="24"/>
      <x:c r="K65" s="25" t="str">
        <x:f>IF(J65="","",IFERROR(VLOOKUP(J65,'02 Skill Catalogue'!$A$6:$K$95,4,FALSE),"Skill ID not found"))</x:f>
      </x:c>
      <x:c r="L65" s="25" t="str">
        <x:f>IF(I65="","",IFERROR(VLOOKUP(I65,'03 Position Requirements'!$A$6:$R$285,8,FALSE),"No Requirement"))</x:f>
      </x:c>
      <x:c r="M65" s="29" t="str">
        <x:f>IF(I65="","",IFERROR(VLOOKUP(I65,'03 Position Requirements'!$A$6:$R$285,9,FALSE),""))</x:f>
      </x:c>
      <x:c r="N65" s="25" t="str">
        <x:f>IF(I65="","",IFERROR(VLOOKUP(I65,'03 Position Requirements'!$A$6:$R$285,10,FALSE),""))</x:f>
      </x:c>
      <x:c r="O65" s="24"/>
      <x:c r="P65" s="25" t="str">
        <x:f>IF(OR(N65="",O65=""),"",MAX(N65-O65,0))</x:f>
      </x:c>
      <x:c r="Q65" s="30" t="str">
        <x:f>IF(P65="","",P65*M65)</x:f>
      </x:c>
      <x:c r="R65" s="30" t="str">
        <x:f>IF(OR(P65="",L65=""),"",P65*M65*IFERROR(VLOOKUP(L65,'99 Lists'!$A$19:$B$21,2,FALSE),1))</x:f>
      </x:c>
      <x:c r="S65" s="25" t="str">
        <x:f>IF(A65="","",IF(O65="","Not Assessed",IF(P65=0,"Meets / Exceeds",IF(P65=1,"Minor Gap",IF(P65=2,"Major Gap","Critical Gap")))))</x:f>
      </x:c>
      <x:c r="T65" s="24"/>
      <x:c r="U65" s="27"/>
      <x:c r="V65" s="24"/>
      <x:c r="W65" s="24"/>
      <x:c r="X65" s="24"/>
      <x:c r="Y65" s="26"/>
      <x:c r="Z65" s="31" t="str">
        <x:f>IF(B65="","",IF(Y65&lt;&gt;"",Y65,EDATE(B65,IFERROR(VLOOKUP(I65,'03 Position Requirements'!$A$6:$R$285,12,FALSE),12))))</x:f>
      </x:c>
      <x:c r="AA65" s="25" t="str">
        <x:f>IF(OR(B65="",D65="",J65=""),"",IF(COUNTIFS($D$6:$D$155,D65,$J$6:$J$155,J65,$B$6:$B$155,"&gt;"&amp;B65)=0,"Yes","No"))</x:f>
      </x:c>
      <x:c r="AB65" s="25" t="str">
        <x:f>IF(AA65="","",IF(AND(AA65="Yes",OR(P65&gt;0,AD65="Expired")),"Yes","No"))</x:f>
      </x:c>
      <x:c r="AC65" s="25" t="str">
        <x:f>IF(Z65="","",Z65-TODAY())</x:f>
      </x:c>
      <x:c r="AD65" s="25" t="str">
        <x:f>IF(A65="","",IF(O65="","Not Assessed",IF(Z65&lt;TODAY(),"Expired",IF(Z65&lt;=TODAY()+30,"Due Soon","Current"))))</x:f>
      </x:c>
      <x:c r="AE65" s="24"/>
    </x:row>
    <x:row r="66">
      <x:c r="A66" s="24"/>
      <x:c r="B66" s="26"/>
      <x:c r="C66" s="24"/>
      <x:c r="D66" s="24"/>
      <x:c r="E66" s="25" t="str">
        <x:f>IF(D66="","",IFERROR(VLOOKUP(D66,'01 Staff Master'!$A$6:$M$105,2,FALSE),"Staff ID not found"))</x:f>
      </x:c>
      <x:c r="F66" s="25" t="str">
        <x:f>IF(D66="","",IFERROR(VLOOKUP(D66,'01 Staff Master'!$A$6:$M$105,3,FALSE),""))</x:f>
      </x:c>
      <x:c r="G66" s="25" t="str">
        <x:f>IF(D66="","",IFERROR(VLOOKUP(D66,'01 Staff Master'!$A$6:$M$105,5,FALSE),""))</x:f>
      </x:c>
      <x:c r="H66" s="25" t="str">
        <x:f>IF(D66="","",IFERROR(VLOOKUP(D66,'01 Staff Master'!$A$6:$M$105,6,FALSE),""))</x:f>
      </x:c>
      <x:c r="I66" s="25" t="str">
        <x:f>IF(OR(F66="",G66="",J66=""),"",F66&amp;"|"&amp;G66&amp;"|"&amp;J66)</x:f>
      </x:c>
      <x:c r="J66" s="24"/>
      <x:c r="K66" s="25" t="str">
        <x:f>IF(J66="","",IFERROR(VLOOKUP(J66,'02 Skill Catalogue'!$A$6:$K$95,4,FALSE),"Skill ID not found"))</x:f>
      </x:c>
      <x:c r="L66" s="25" t="str">
        <x:f>IF(I66="","",IFERROR(VLOOKUP(I66,'03 Position Requirements'!$A$6:$R$285,8,FALSE),"No Requirement"))</x:f>
      </x:c>
      <x:c r="M66" s="29" t="str">
        <x:f>IF(I66="","",IFERROR(VLOOKUP(I66,'03 Position Requirements'!$A$6:$R$285,9,FALSE),""))</x:f>
      </x:c>
      <x:c r="N66" s="25" t="str">
        <x:f>IF(I66="","",IFERROR(VLOOKUP(I66,'03 Position Requirements'!$A$6:$R$285,10,FALSE),""))</x:f>
      </x:c>
      <x:c r="O66" s="24"/>
      <x:c r="P66" s="25" t="str">
        <x:f>IF(OR(N66="",O66=""),"",MAX(N66-O66,0))</x:f>
      </x:c>
      <x:c r="Q66" s="30" t="str">
        <x:f>IF(P66="","",P66*M66)</x:f>
      </x:c>
      <x:c r="R66" s="30" t="str">
        <x:f>IF(OR(P66="",L66=""),"",P66*M66*IFERROR(VLOOKUP(L66,'99 Lists'!$A$19:$B$21,2,FALSE),1))</x:f>
      </x:c>
      <x:c r="S66" s="25" t="str">
        <x:f>IF(A66="","",IF(O66="","Not Assessed",IF(P66=0,"Meets / Exceeds",IF(P66=1,"Minor Gap",IF(P66=2,"Major Gap","Critical Gap")))))</x:f>
      </x:c>
      <x:c r="T66" s="24"/>
      <x:c r="U66" s="27"/>
      <x:c r="V66" s="24"/>
      <x:c r="W66" s="24"/>
      <x:c r="X66" s="24"/>
      <x:c r="Y66" s="26"/>
      <x:c r="Z66" s="31" t="str">
        <x:f>IF(B66="","",IF(Y66&lt;&gt;"",Y66,EDATE(B66,IFERROR(VLOOKUP(I66,'03 Position Requirements'!$A$6:$R$285,12,FALSE),12))))</x:f>
      </x:c>
      <x:c r="AA66" s="25" t="str">
        <x:f>IF(OR(B66="",D66="",J66=""),"",IF(COUNTIFS($D$6:$D$155,D66,$J$6:$J$155,J66,$B$6:$B$155,"&gt;"&amp;B66)=0,"Yes","No"))</x:f>
      </x:c>
      <x:c r="AB66" s="25" t="str">
        <x:f>IF(AA66="","",IF(AND(AA66="Yes",OR(P66&gt;0,AD66="Expired")),"Yes","No"))</x:f>
      </x:c>
      <x:c r="AC66" s="25" t="str">
        <x:f>IF(Z66="","",Z66-TODAY())</x:f>
      </x:c>
      <x:c r="AD66" s="25" t="str">
        <x:f>IF(A66="","",IF(O66="","Not Assessed",IF(Z66&lt;TODAY(),"Expired",IF(Z66&lt;=TODAY()+30,"Due Soon","Current"))))</x:f>
      </x:c>
      <x:c r="AE66" s="24"/>
    </x:row>
    <x:row r="67">
      <x:c r="A67" s="24"/>
      <x:c r="B67" s="26"/>
      <x:c r="C67" s="24"/>
      <x:c r="D67" s="24"/>
      <x:c r="E67" s="25" t="str">
        <x:f>IF(D67="","",IFERROR(VLOOKUP(D67,'01 Staff Master'!$A$6:$M$105,2,FALSE),"Staff ID not found"))</x:f>
      </x:c>
      <x:c r="F67" s="25" t="str">
        <x:f>IF(D67="","",IFERROR(VLOOKUP(D67,'01 Staff Master'!$A$6:$M$105,3,FALSE),""))</x:f>
      </x:c>
      <x:c r="G67" s="25" t="str">
        <x:f>IF(D67="","",IFERROR(VLOOKUP(D67,'01 Staff Master'!$A$6:$M$105,5,FALSE),""))</x:f>
      </x:c>
      <x:c r="H67" s="25" t="str">
        <x:f>IF(D67="","",IFERROR(VLOOKUP(D67,'01 Staff Master'!$A$6:$M$105,6,FALSE),""))</x:f>
      </x:c>
      <x:c r="I67" s="25" t="str">
        <x:f>IF(OR(F67="",G67="",J67=""),"",F67&amp;"|"&amp;G67&amp;"|"&amp;J67)</x:f>
      </x:c>
      <x:c r="J67" s="24"/>
      <x:c r="K67" s="25" t="str">
        <x:f>IF(J67="","",IFERROR(VLOOKUP(J67,'02 Skill Catalogue'!$A$6:$K$95,4,FALSE),"Skill ID not found"))</x:f>
      </x:c>
      <x:c r="L67" s="25" t="str">
        <x:f>IF(I67="","",IFERROR(VLOOKUP(I67,'03 Position Requirements'!$A$6:$R$285,8,FALSE),"No Requirement"))</x:f>
      </x:c>
      <x:c r="M67" s="29" t="str">
        <x:f>IF(I67="","",IFERROR(VLOOKUP(I67,'03 Position Requirements'!$A$6:$R$285,9,FALSE),""))</x:f>
      </x:c>
      <x:c r="N67" s="25" t="str">
        <x:f>IF(I67="","",IFERROR(VLOOKUP(I67,'03 Position Requirements'!$A$6:$R$285,10,FALSE),""))</x:f>
      </x:c>
      <x:c r="O67" s="24"/>
      <x:c r="P67" s="25" t="str">
        <x:f>IF(OR(N67="",O67=""),"",MAX(N67-O67,0))</x:f>
      </x:c>
      <x:c r="Q67" s="30" t="str">
        <x:f>IF(P67="","",P67*M67)</x:f>
      </x:c>
      <x:c r="R67" s="30" t="str">
        <x:f>IF(OR(P67="",L67=""),"",P67*M67*IFERROR(VLOOKUP(L67,'99 Lists'!$A$19:$B$21,2,FALSE),1))</x:f>
      </x:c>
      <x:c r="S67" s="25" t="str">
        <x:f>IF(A67="","",IF(O67="","Not Assessed",IF(P67=0,"Meets / Exceeds",IF(P67=1,"Minor Gap",IF(P67=2,"Major Gap","Critical Gap")))))</x:f>
      </x:c>
      <x:c r="T67" s="24"/>
      <x:c r="U67" s="27"/>
      <x:c r="V67" s="24"/>
      <x:c r="W67" s="24"/>
      <x:c r="X67" s="24"/>
      <x:c r="Y67" s="26"/>
      <x:c r="Z67" s="31" t="str">
        <x:f>IF(B67="","",IF(Y67&lt;&gt;"",Y67,EDATE(B67,IFERROR(VLOOKUP(I67,'03 Position Requirements'!$A$6:$R$285,12,FALSE),12))))</x:f>
      </x:c>
      <x:c r="AA67" s="25" t="str">
        <x:f>IF(OR(B67="",D67="",J67=""),"",IF(COUNTIFS($D$6:$D$155,D67,$J$6:$J$155,J67,$B$6:$B$155,"&gt;"&amp;B67)=0,"Yes","No"))</x:f>
      </x:c>
      <x:c r="AB67" s="25" t="str">
        <x:f>IF(AA67="","",IF(AND(AA67="Yes",OR(P67&gt;0,AD67="Expired")),"Yes","No"))</x:f>
      </x:c>
      <x:c r="AC67" s="25" t="str">
        <x:f>IF(Z67="","",Z67-TODAY())</x:f>
      </x:c>
      <x:c r="AD67" s="25" t="str">
        <x:f>IF(A67="","",IF(O67="","Not Assessed",IF(Z67&lt;TODAY(),"Expired",IF(Z67&lt;=TODAY()+30,"Due Soon","Current"))))</x:f>
      </x:c>
      <x:c r="AE67" s="24"/>
    </x:row>
    <x:row r="68">
      <x:c r="A68" s="24"/>
      <x:c r="B68" s="26"/>
      <x:c r="C68" s="24"/>
      <x:c r="D68" s="24"/>
      <x:c r="E68" s="25" t="str">
        <x:f>IF(D68="","",IFERROR(VLOOKUP(D68,'01 Staff Master'!$A$6:$M$105,2,FALSE),"Staff ID not found"))</x:f>
      </x:c>
      <x:c r="F68" s="25" t="str">
        <x:f>IF(D68="","",IFERROR(VLOOKUP(D68,'01 Staff Master'!$A$6:$M$105,3,FALSE),""))</x:f>
      </x:c>
      <x:c r="G68" s="25" t="str">
        <x:f>IF(D68="","",IFERROR(VLOOKUP(D68,'01 Staff Master'!$A$6:$M$105,5,FALSE),""))</x:f>
      </x:c>
      <x:c r="H68" s="25" t="str">
        <x:f>IF(D68="","",IFERROR(VLOOKUP(D68,'01 Staff Master'!$A$6:$M$105,6,FALSE),""))</x:f>
      </x:c>
      <x:c r="I68" s="25" t="str">
        <x:f>IF(OR(F68="",G68="",J68=""),"",F68&amp;"|"&amp;G68&amp;"|"&amp;J68)</x:f>
      </x:c>
      <x:c r="J68" s="24"/>
      <x:c r="K68" s="25" t="str">
        <x:f>IF(J68="","",IFERROR(VLOOKUP(J68,'02 Skill Catalogue'!$A$6:$K$95,4,FALSE),"Skill ID not found"))</x:f>
      </x:c>
      <x:c r="L68" s="25" t="str">
        <x:f>IF(I68="","",IFERROR(VLOOKUP(I68,'03 Position Requirements'!$A$6:$R$285,8,FALSE),"No Requirement"))</x:f>
      </x:c>
      <x:c r="M68" s="29" t="str">
        <x:f>IF(I68="","",IFERROR(VLOOKUP(I68,'03 Position Requirements'!$A$6:$R$285,9,FALSE),""))</x:f>
      </x:c>
      <x:c r="N68" s="25" t="str">
        <x:f>IF(I68="","",IFERROR(VLOOKUP(I68,'03 Position Requirements'!$A$6:$R$285,10,FALSE),""))</x:f>
      </x:c>
      <x:c r="O68" s="24"/>
      <x:c r="P68" s="25" t="str">
        <x:f>IF(OR(N68="",O68=""),"",MAX(N68-O68,0))</x:f>
      </x:c>
      <x:c r="Q68" s="30" t="str">
        <x:f>IF(P68="","",P68*M68)</x:f>
      </x:c>
      <x:c r="R68" s="30" t="str">
        <x:f>IF(OR(P68="",L68=""),"",P68*M68*IFERROR(VLOOKUP(L68,'99 Lists'!$A$19:$B$21,2,FALSE),1))</x:f>
      </x:c>
      <x:c r="S68" s="25" t="str">
        <x:f>IF(A68="","",IF(O68="","Not Assessed",IF(P68=0,"Meets / Exceeds",IF(P68=1,"Minor Gap",IF(P68=2,"Major Gap","Critical Gap")))))</x:f>
      </x:c>
      <x:c r="T68" s="24"/>
      <x:c r="U68" s="27"/>
      <x:c r="V68" s="24"/>
      <x:c r="W68" s="24"/>
      <x:c r="X68" s="24"/>
      <x:c r="Y68" s="26"/>
      <x:c r="Z68" s="31" t="str">
        <x:f>IF(B68="","",IF(Y68&lt;&gt;"",Y68,EDATE(B68,IFERROR(VLOOKUP(I68,'03 Position Requirements'!$A$6:$R$285,12,FALSE),12))))</x:f>
      </x:c>
      <x:c r="AA68" s="25" t="str">
        <x:f>IF(OR(B68="",D68="",J68=""),"",IF(COUNTIFS($D$6:$D$155,D68,$J$6:$J$155,J68,$B$6:$B$155,"&gt;"&amp;B68)=0,"Yes","No"))</x:f>
      </x:c>
      <x:c r="AB68" s="25" t="str">
        <x:f>IF(AA68="","",IF(AND(AA68="Yes",OR(P68&gt;0,AD68="Expired")),"Yes","No"))</x:f>
      </x:c>
      <x:c r="AC68" s="25" t="str">
        <x:f>IF(Z68="","",Z68-TODAY())</x:f>
      </x:c>
      <x:c r="AD68" s="25" t="str">
        <x:f>IF(A68="","",IF(O68="","Not Assessed",IF(Z68&lt;TODAY(),"Expired",IF(Z68&lt;=TODAY()+30,"Due Soon","Current"))))</x:f>
      </x:c>
      <x:c r="AE68" s="24"/>
    </x:row>
    <x:row r="69">
      <x:c r="A69" s="24"/>
      <x:c r="B69" s="26"/>
      <x:c r="C69" s="24"/>
      <x:c r="D69" s="24"/>
      <x:c r="E69" s="25" t="str">
        <x:f>IF(D69="","",IFERROR(VLOOKUP(D69,'01 Staff Master'!$A$6:$M$105,2,FALSE),"Staff ID not found"))</x:f>
      </x:c>
      <x:c r="F69" s="25" t="str">
        <x:f>IF(D69="","",IFERROR(VLOOKUP(D69,'01 Staff Master'!$A$6:$M$105,3,FALSE),""))</x:f>
      </x:c>
      <x:c r="G69" s="25" t="str">
        <x:f>IF(D69="","",IFERROR(VLOOKUP(D69,'01 Staff Master'!$A$6:$M$105,5,FALSE),""))</x:f>
      </x:c>
      <x:c r="H69" s="25" t="str">
        <x:f>IF(D69="","",IFERROR(VLOOKUP(D69,'01 Staff Master'!$A$6:$M$105,6,FALSE),""))</x:f>
      </x:c>
      <x:c r="I69" s="25" t="str">
        <x:f>IF(OR(F69="",G69="",J69=""),"",F69&amp;"|"&amp;G69&amp;"|"&amp;J69)</x:f>
      </x:c>
      <x:c r="J69" s="24"/>
      <x:c r="K69" s="25" t="str">
        <x:f>IF(J69="","",IFERROR(VLOOKUP(J69,'02 Skill Catalogue'!$A$6:$K$95,4,FALSE),"Skill ID not found"))</x:f>
      </x:c>
      <x:c r="L69" s="25" t="str">
        <x:f>IF(I69="","",IFERROR(VLOOKUP(I69,'03 Position Requirements'!$A$6:$R$285,8,FALSE),"No Requirement"))</x:f>
      </x:c>
      <x:c r="M69" s="29" t="str">
        <x:f>IF(I69="","",IFERROR(VLOOKUP(I69,'03 Position Requirements'!$A$6:$R$285,9,FALSE),""))</x:f>
      </x:c>
      <x:c r="N69" s="25" t="str">
        <x:f>IF(I69="","",IFERROR(VLOOKUP(I69,'03 Position Requirements'!$A$6:$R$285,10,FALSE),""))</x:f>
      </x:c>
      <x:c r="O69" s="24"/>
      <x:c r="P69" s="25" t="str">
        <x:f>IF(OR(N69="",O69=""),"",MAX(N69-O69,0))</x:f>
      </x:c>
      <x:c r="Q69" s="30" t="str">
        <x:f>IF(P69="","",P69*M69)</x:f>
      </x:c>
      <x:c r="R69" s="30" t="str">
        <x:f>IF(OR(P69="",L69=""),"",P69*M69*IFERROR(VLOOKUP(L69,'99 Lists'!$A$19:$B$21,2,FALSE),1))</x:f>
      </x:c>
      <x:c r="S69" s="25" t="str">
        <x:f>IF(A69="","",IF(O69="","Not Assessed",IF(P69=0,"Meets / Exceeds",IF(P69=1,"Minor Gap",IF(P69=2,"Major Gap","Critical Gap")))))</x:f>
      </x:c>
      <x:c r="T69" s="24"/>
      <x:c r="U69" s="27"/>
      <x:c r="V69" s="24"/>
      <x:c r="W69" s="24"/>
      <x:c r="X69" s="24"/>
      <x:c r="Y69" s="26"/>
      <x:c r="Z69" s="31" t="str">
        <x:f>IF(B69="","",IF(Y69&lt;&gt;"",Y69,EDATE(B69,IFERROR(VLOOKUP(I69,'03 Position Requirements'!$A$6:$R$285,12,FALSE),12))))</x:f>
      </x:c>
      <x:c r="AA69" s="25" t="str">
        <x:f>IF(OR(B69="",D69="",J69=""),"",IF(COUNTIFS($D$6:$D$155,D69,$J$6:$J$155,J69,$B$6:$B$155,"&gt;"&amp;B69)=0,"Yes","No"))</x:f>
      </x:c>
      <x:c r="AB69" s="25" t="str">
        <x:f>IF(AA69="","",IF(AND(AA69="Yes",OR(P69&gt;0,AD69="Expired")),"Yes","No"))</x:f>
      </x:c>
      <x:c r="AC69" s="25" t="str">
        <x:f>IF(Z69="","",Z69-TODAY())</x:f>
      </x:c>
      <x:c r="AD69" s="25" t="str">
        <x:f>IF(A69="","",IF(O69="","Not Assessed",IF(Z69&lt;TODAY(),"Expired",IF(Z69&lt;=TODAY()+30,"Due Soon","Current"))))</x:f>
      </x:c>
      <x:c r="AE69" s="24"/>
    </x:row>
    <x:row r="70">
      <x:c r="A70" s="24"/>
      <x:c r="B70" s="26"/>
      <x:c r="C70" s="24"/>
      <x:c r="D70" s="24"/>
      <x:c r="E70" s="25" t="str">
        <x:f>IF(D70="","",IFERROR(VLOOKUP(D70,'01 Staff Master'!$A$6:$M$105,2,FALSE),"Staff ID not found"))</x:f>
      </x:c>
      <x:c r="F70" s="25" t="str">
        <x:f>IF(D70="","",IFERROR(VLOOKUP(D70,'01 Staff Master'!$A$6:$M$105,3,FALSE),""))</x:f>
      </x:c>
      <x:c r="G70" s="25" t="str">
        <x:f>IF(D70="","",IFERROR(VLOOKUP(D70,'01 Staff Master'!$A$6:$M$105,5,FALSE),""))</x:f>
      </x:c>
      <x:c r="H70" s="25" t="str">
        <x:f>IF(D70="","",IFERROR(VLOOKUP(D70,'01 Staff Master'!$A$6:$M$105,6,FALSE),""))</x:f>
      </x:c>
      <x:c r="I70" s="25" t="str">
        <x:f>IF(OR(F70="",G70="",J70=""),"",F70&amp;"|"&amp;G70&amp;"|"&amp;J70)</x:f>
      </x:c>
      <x:c r="J70" s="24"/>
      <x:c r="K70" s="25" t="str">
        <x:f>IF(J70="","",IFERROR(VLOOKUP(J70,'02 Skill Catalogue'!$A$6:$K$95,4,FALSE),"Skill ID not found"))</x:f>
      </x:c>
      <x:c r="L70" s="25" t="str">
        <x:f>IF(I70="","",IFERROR(VLOOKUP(I70,'03 Position Requirements'!$A$6:$R$285,8,FALSE),"No Requirement"))</x:f>
      </x:c>
      <x:c r="M70" s="29" t="str">
        <x:f>IF(I70="","",IFERROR(VLOOKUP(I70,'03 Position Requirements'!$A$6:$R$285,9,FALSE),""))</x:f>
      </x:c>
      <x:c r="N70" s="25" t="str">
        <x:f>IF(I70="","",IFERROR(VLOOKUP(I70,'03 Position Requirements'!$A$6:$R$285,10,FALSE),""))</x:f>
      </x:c>
      <x:c r="O70" s="24"/>
      <x:c r="P70" s="25" t="str">
        <x:f>IF(OR(N70="",O70=""),"",MAX(N70-O70,0))</x:f>
      </x:c>
      <x:c r="Q70" s="30" t="str">
        <x:f>IF(P70="","",P70*M70)</x:f>
      </x:c>
      <x:c r="R70" s="30" t="str">
        <x:f>IF(OR(P70="",L70=""),"",P70*M70*IFERROR(VLOOKUP(L70,'99 Lists'!$A$19:$B$21,2,FALSE),1))</x:f>
      </x:c>
      <x:c r="S70" s="25" t="str">
        <x:f>IF(A70="","",IF(O70="","Not Assessed",IF(P70=0,"Meets / Exceeds",IF(P70=1,"Minor Gap",IF(P70=2,"Major Gap","Critical Gap")))))</x:f>
      </x:c>
      <x:c r="T70" s="24"/>
      <x:c r="U70" s="27"/>
      <x:c r="V70" s="24"/>
      <x:c r="W70" s="24"/>
      <x:c r="X70" s="24"/>
      <x:c r="Y70" s="26"/>
      <x:c r="Z70" s="31" t="str">
        <x:f>IF(B70="","",IF(Y70&lt;&gt;"",Y70,EDATE(B70,IFERROR(VLOOKUP(I70,'03 Position Requirements'!$A$6:$R$285,12,FALSE),12))))</x:f>
      </x:c>
      <x:c r="AA70" s="25" t="str">
        <x:f>IF(OR(B70="",D70="",J70=""),"",IF(COUNTIFS($D$6:$D$155,D70,$J$6:$J$155,J70,$B$6:$B$155,"&gt;"&amp;B70)=0,"Yes","No"))</x:f>
      </x:c>
      <x:c r="AB70" s="25" t="str">
        <x:f>IF(AA70="","",IF(AND(AA70="Yes",OR(P70&gt;0,AD70="Expired")),"Yes","No"))</x:f>
      </x:c>
      <x:c r="AC70" s="25" t="str">
        <x:f>IF(Z70="","",Z70-TODAY())</x:f>
      </x:c>
      <x:c r="AD70" s="25" t="str">
        <x:f>IF(A70="","",IF(O70="","Not Assessed",IF(Z70&lt;TODAY(),"Expired",IF(Z70&lt;=TODAY()+30,"Due Soon","Current"))))</x:f>
      </x:c>
      <x:c r="AE70" s="24"/>
    </x:row>
    <x:row r="71">
      <x:c r="A71" s="24"/>
      <x:c r="B71" s="26"/>
      <x:c r="C71" s="24"/>
      <x:c r="D71" s="24"/>
      <x:c r="E71" s="25" t="str">
        <x:f>IF(D71="","",IFERROR(VLOOKUP(D71,'01 Staff Master'!$A$6:$M$105,2,FALSE),"Staff ID not found"))</x:f>
      </x:c>
      <x:c r="F71" s="25" t="str">
        <x:f>IF(D71="","",IFERROR(VLOOKUP(D71,'01 Staff Master'!$A$6:$M$105,3,FALSE),""))</x:f>
      </x:c>
      <x:c r="G71" s="25" t="str">
        <x:f>IF(D71="","",IFERROR(VLOOKUP(D71,'01 Staff Master'!$A$6:$M$105,5,FALSE),""))</x:f>
      </x:c>
      <x:c r="H71" s="25" t="str">
        <x:f>IF(D71="","",IFERROR(VLOOKUP(D71,'01 Staff Master'!$A$6:$M$105,6,FALSE),""))</x:f>
      </x:c>
      <x:c r="I71" s="25" t="str">
        <x:f>IF(OR(F71="",G71="",J71=""),"",F71&amp;"|"&amp;G71&amp;"|"&amp;J71)</x:f>
      </x:c>
      <x:c r="J71" s="24"/>
      <x:c r="K71" s="25" t="str">
        <x:f>IF(J71="","",IFERROR(VLOOKUP(J71,'02 Skill Catalogue'!$A$6:$K$95,4,FALSE),"Skill ID not found"))</x:f>
      </x:c>
      <x:c r="L71" s="25" t="str">
        <x:f>IF(I71="","",IFERROR(VLOOKUP(I71,'03 Position Requirements'!$A$6:$R$285,8,FALSE),"No Requirement"))</x:f>
      </x:c>
      <x:c r="M71" s="29" t="str">
        <x:f>IF(I71="","",IFERROR(VLOOKUP(I71,'03 Position Requirements'!$A$6:$R$285,9,FALSE),""))</x:f>
      </x:c>
      <x:c r="N71" s="25" t="str">
        <x:f>IF(I71="","",IFERROR(VLOOKUP(I71,'03 Position Requirements'!$A$6:$R$285,10,FALSE),""))</x:f>
      </x:c>
      <x:c r="O71" s="24"/>
      <x:c r="P71" s="25" t="str">
        <x:f>IF(OR(N71="",O71=""),"",MAX(N71-O71,0))</x:f>
      </x:c>
      <x:c r="Q71" s="30" t="str">
        <x:f>IF(P71="","",P71*M71)</x:f>
      </x:c>
      <x:c r="R71" s="30" t="str">
        <x:f>IF(OR(P71="",L71=""),"",P71*M71*IFERROR(VLOOKUP(L71,'99 Lists'!$A$19:$B$21,2,FALSE),1))</x:f>
      </x:c>
      <x:c r="S71" s="25" t="str">
        <x:f>IF(A71="","",IF(O71="","Not Assessed",IF(P71=0,"Meets / Exceeds",IF(P71=1,"Minor Gap",IF(P71=2,"Major Gap","Critical Gap")))))</x:f>
      </x:c>
      <x:c r="T71" s="24"/>
      <x:c r="U71" s="27"/>
      <x:c r="V71" s="24"/>
      <x:c r="W71" s="24"/>
      <x:c r="X71" s="24"/>
      <x:c r="Y71" s="26"/>
      <x:c r="Z71" s="31" t="str">
        <x:f>IF(B71="","",IF(Y71&lt;&gt;"",Y71,EDATE(B71,IFERROR(VLOOKUP(I71,'03 Position Requirements'!$A$6:$R$285,12,FALSE),12))))</x:f>
      </x:c>
      <x:c r="AA71" s="25" t="str">
        <x:f>IF(OR(B71="",D71="",J71=""),"",IF(COUNTIFS($D$6:$D$155,D71,$J$6:$J$155,J71,$B$6:$B$155,"&gt;"&amp;B71)=0,"Yes","No"))</x:f>
      </x:c>
      <x:c r="AB71" s="25" t="str">
        <x:f>IF(AA71="","",IF(AND(AA71="Yes",OR(P71&gt;0,AD71="Expired")),"Yes","No"))</x:f>
      </x:c>
      <x:c r="AC71" s="25" t="str">
        <x:f>IF(Z71="","",Z71-TODAY())</x:f>
      </x:c>
      <x:c r="AD71" s="25" t="str">
        <x:f>IF(A71="","",IF(O71="","Not Assessed",IF(Z71&lt;TODAY(),"Expired",IF(Z71&lt;=TODAY()+30,"Due Soon","Current"))))</x:f>
      </x:c>
      <x:c r="AE71" s="24"/>
    </x:row>
    <x:row r="72">
      <x:c r="A72" s="24"/>
      <x:c r="B72" s="26"/>
      <x:c r="C72" s="24"/>
      <x:c r="D72" s="24"/>
      <x:c r="E72" s="25" t="str">
        <x:f>IF(D72="","",IFERROR(VLOOKUP(D72,'01 Staff Master'!$A$6:$M$105,2,FALSE),"Staff ID not found"))</x:f>
      </x:c>
      <x:c r="F72" s="25" t="str">
        <x:f>IF(D72="","",IFERROR(VLOOKUP(D72,'01 Staff Master'!$A$6:$M$105,3,FALSE),""))</x:f>
      </x:c>
      <x:c r="G72" s="25" t="str">
        <x:f>IF(D72="","",IFERROR(VLOOKUP(D72,'01 Staff Master'!$A$6:$M$105,5,FALSE),""))</x:f>
      </x:c>
      <x:c r="H72" s="25" t="str">
        <x:f>IF(D72="","",IFERROR(VLOOKUP(D72,'01 Staff Master'!$A$6:$M$105,6,FALSE),""))</x:f>
      </x:c>
      <x:c r="I72" s="25" t="str">
        <x:f>IF(OR(F72="",G72="",J72=""),"",F72&amp;"|"&amp;G72&amp;"|"&amp;J72)</x:f>
      </x:c>
      <x:c r="J72" s="24"/>
      <x:c r="K72" s="25" t="str">
        <x:f>IF(J72="","",IFERROR(VLOOKUP(J72,'02 Skill Catalogue'!$A$6:$K$95,4,FALSE),"Skill ID not found"))</x:f>
      </x:c>
      <x:c r="L72" s="25" t="str">
        <x:f>IF(I72="","",IFERROR(VLOOKUP(I72,'03 Position Requirements'!$A$6:$R$285,8,FALSE),"No Requirement"))</x:f>
      </x:c>
      <x:c r="M72" s="29" t="str">
        <x:f>IF(I72="","",IFERROR(VLOOKUP(I72,'03 Position Requirements'!$A$6:$R$285,9,FALSE),""))</x:f>
      </x:c>
      <x:c r="N72" s="25" t="str">
        <x:f>IF(I72="","",IFERROR(VLOOKUP(I72,'03 Position Requirements'!$A$6:$R$285,10,FALSE),""))</x:f>
      </x:c>
      <x:c r="O72" s="24"/>
      <x:c r="P72" s="25" t="str">
        <x:f>IF(OR(N72="",O72=""),"",MAX(N72-O72,0))</x:f>
      </x:c>
      <x:c r="Q72" s="30" t="str">
        <x:f>IF(P72="","",P72*M72)</x:f>
      </x:c>
      <x:c r="R72" s="30" t="str">
        <x:f>IF(OR(P72="",L72=""),"",P72*M72*IFERROR(VLOOKUP(L72,'99 Lists'!$A$19:$B$21,2,FALSE),1))</x:f>
      </x:c>
      <x:c r="S72" s="25" t="str">
        <x:f>IF(A72="","",IF(O72="","Not Assessed",IF(P72=0,"Meets / Exceeds",IF(P72=1,"Minor Gap",IF(P72=2,"Major Gap","Critical Gap")))))</x:f>
      </x:c>
      <x:c r="T72" s="24"/>
      <x:c r="U72" s="27"/>
      <x:c r="V72" s="24"/>
      <x:c r="W72" s="24"/>
      <x:c r="X72" s="24"/>
      <x:c r="Y72" s="26"/>
      <x:c r="Z72" s="31" t="str">
        <x:f>IF(B72="","",IF(Y72&lt;&gt;"",Y72,EDATE(B72,IFERROR(VLOOKUP(I72,'03 Position Requirements'!$A$6:$R$285,12,FALSE),12))))</x:f>
      </x:c>
      <x:c r="AA72" s="25" t="str">
        <x:f>IF(OR(B72="",D72="",J72=""),"",IF(COUNTIFS($D$6:$D$155,D72,$J$6:$J$155,J72,$B$6:$B$155,"&gt;"&amp;B72)=0,"Yes","No"))</x:f>
      </x:c>
      <x:c r="AB72" s="25" t="str">
        <x:f>IF(AA72="","",IF(AND(AA72="Yes",OR(P72&gt;0,AD72="Expired")),"Yes","No"))</x:f>
      </x:c>
      <x:c r="AC72" s="25" t="str">
        <x:f>IF(Z72="","",Z72-TODAY())</x:f>
      </x:c>
      <x:c r="AD72" s="25" t="str">
        <x:f>IF(A72="","",IF(O72="","Not Assessed",IF(Z72&lt;TODAY(),"Expired",IF(Z72&lt;=TODAY()+30,"Due Soon","Current"))))</x:f>
      </x:c>
      <x:c r="AE72" s="24"/>
    </x:row>
    <x:row r="73">
      <x:c r="A73" s="24"/>
      <x:c r="B73" s="26"/>
      <x:c r="C73" s="24"/>
      <x:c r="D73" s="24"/>
      <x:c r="E73" s="25" t="str">
        <x:f>IF(D73="","",IFERROR(VLOOKUP(D73,'01 Staff Master'!$A$6:$M$105,2,FALSE),"Staff ID not found"))</x:f>
      </x:c>
      <x:c r="F73" s="25" t="str">
        <x:f>IF(D73="","",IFERROR(VLOOKUP(D73,'01 Staff Master'!$A$6:$M$105,3,FALSE),""))</x:f>
      </x:c>
      <x:c r="G73" s="25" t="str">
        <x:f>IF(D73="","",IFERROR(VLOOKUP(D73,'01 Staff Master'!$A$6:$M$105,5,FALSE),""))</x:f>
      </x:c>
      <x:c r="H73" s="25" t="str">
        <x:f>IF(D73="","",IFERROR(VLOOKUP(D73,'01 Staff Master'!$A$6:$M$105,6,FALSE),""))</x:f>
      </x:c>
      <x:c r="I73" s="25" t="str">
        <x:f>IF(OR(F73="",G73="",J73=""),"",F73&amp;"|"&amp;G73&amp;"|"&amp;J73)</x:f>
      </x:c>
      <x:c r="J73" s="24"/>
      <x:c r="K73" s="25" t="str">
        <x:f>IF(J73="","",IFERROR(VLOOKUP(J73,'02 Skill Catalogue'!$A$6:$K$95,4,FALSE),"Skill ID not found"))</x:f>
      </x:c>
      <x:c r="L73" s="25" t="str">
        <x:f>IF(I73="","",IFERROR(VLOOKUP(I73,'03 Position Requirements'!$A$6:$R$285,8,FALSE),"No Requirement"))</x:f>
      </x:c>
      <x:c r="M73" s="29" t="str">
        <x:f>IF(I73="","",IFERROR(VLOOKUP(I73,'03 Position Requirements'!$A$6:$R$285,9,FALSE),""))</x:f>
      </x:c>
      <x:c r="N73" s="25" t="str">
        <x:f>IF(I73="","",IFERROR(VLOOKUP(I73,'03 Position Requirements'!$A$6:$R$285,10,FALSE),""))</x:f>
      </x:c>
      <x:c r="O73" s="24"/>
      <x:c r="P73" s="25" t="str">
        <x:f>IF(OR(N73="",O73=""),"",MAX(N73-O73,0))</x:f>
      </x:c>
      <x:c r="Q73" s="30" t="str">
        <x:f>IF(P73="","",P73*M73)</x:f>
      </x:c>
      <x:c r="R73" s="30" t="str">
        <x:f>IF(OR(P73="",L73=""),"",P73*M73*IFERROR(VLOOKUP(L73,'99 Lists'!$A$19:$B$21,2,FALSE),1))</x:f>
      </x:c>
      <x:c r="S73" s="25" t="str">
        <x:f>IF(A73="","",IF(O73="","Not Assessed",IF(P73=0,"Meets / Exceeds",IF(P73=1,"Minor Gap",IF(P73=2,"Major Gap","Critical Gap")))))</x:f>
      </x:c>
      <x:c r="T73" s="24"/>
      <x:c r="U73" s="27"/>
      <x:c r="V73" s="24"/>
      <x:c r="W73" s="24"/>
      <x:c r="X73" s="24"/>
      <x:c r="Y73" s="26"/>
      <x:c r="Z73" s="31" t="str">
        <x:f>IF(B73="","",IF(Y73&lt;&gt;"",Y73,EDATE(B73,IFERROR(VLOOKUP(I73,'03 Position Requirements'!$A$6:$R$285,12,FALSE),12))))</x:f>
      </x:c>
      <x:c r="AA73" s="25" t="str">
        <x:f>IF(OR(B73="",D73="",J73=""),"",IF(COUNTIFS($D$6:$D$155,D73,$J$6:$J$155,J73,$B$6:$B$155,"&gt;"&amp;B73)=0,"Yes","No"))</x:f>
      </x:c>
      <x:c r="AB73" s="25" t="str">
        <x:f>IF(AA73="","",IF(AND(AA73="Yes",OR(P73&gt;0,AD73="Expired")),"Yes","No"))</x:f>
      </x:c>
      <x:c r="AC73" s="25" t="str">
        <x:f>IF(Z73="","",Z73-TODAY())</x:f>
      </x:c>
      <x:c r="AD73" s="25" t="str">
        <x:f>IF(A73="","",IF(O73="","Not Assessed",IF(Z73&lt;TODAY(),"Expired",IF(Z73&lt;=TODAY()+30,"Due Soon","Current"))))</x:f>
      </x:c>
      <x:c r="AE73" s="24"/>
    </x:row>
    <x:row r="74">
      <x:c r="A74" s="24"/>
      <x:c r="B74" s="26"/>
      <x:c r="C74" s="24"/>
      <x:c r="D74" s="24"/>
      <x:c r="E74" s="25" t="str">
        <x:f>IF(D74="","",IFERROR(VLOOKUP(D74,'01 Staff Master'!$A$6:$M$105,2,FALSE),"Staff ID not found"))</x:f>
      </x:c>
      <x:c r="F74" s="25" t="str">
        <x:f>IF(D74="","",IFERROR(VLOOKUP(D74,'01 Staff Master'!$A$6:$M$105,3,FALSE),""))</x:f>
      </x:c>
      <x:c r="G74" s="25" t="str">
        <x:f>IF(D74="","",IFERROR(VLOOKUP(D74,'01 Staff Master'!$A$6:$M$105,5,FALSE),""))</x:f>
      </x:c>
      <x:c r="H74" s="25" t="str">
        <x:f>IF(D74="","",IFERROR(VLOOKUP(D74,'01 Staff Master'!$A$6:$M$105,6,FALSE),""))</x:f>
      </x:c>
      <x:c r="I74" s="25" t="str">
        <x:f>IF(OR(F74="",G74="",J74=""),"",F74&amp;"|"&amp;G74&amp;"|"&amp;J74)</x:f>
      </x:c>
      <x:c r="J74" s="24"/>
      <x:c r="K74" s="25" t="str">
        <x:f>IF(J74="","",IFERROR(VLOOKUP(J74,'02 Skill Catalogue'!$A$6:$K$95,4,FALSE),"Skill ID not found"))</x:f>
      </x:c>
      <x:c r="L74" s="25" t="str">
        <x:f>IF(I74="","",IFERROR(VLOOKUP(I74,'03 Position Requirements'!$A$6:$R$285,8,FALSE),"No Requirement"))</x:f>
      </x:c>
      <x:c r="M74" s="29" t="str">
        <x:f>IF(I74="","",IFERROR(VLOOKUP(I74,'03 Position Requirements'!$A$6:$R$285,9,FALSE),""))</x:f>
      </x:c>
      <x:c r="N74" s="25" t="str">
        <x:f>IF(I74="","",IFERROR(VLOOKUP(I74,'03 Position Requirements'!$A$6:$R$285,10,FALSE),""))</x:f>
      </x:c>
      <x:c r="O74" s="24"/>
      <x:c r="P74" s="25" t="str">
        <x:f>IF(OR(N74="",O74=""),"",MAX(N74-O74,0))</x:f>
      </x:c>
      <x:c r="Q74" s="30" t="str">
        <x:f>IF(P74="","",P74*M74)</x:f>
      </x:c>
      <x:c r="R74" s="30" t="str">
        <x:f>IF(OR(P74="",L74=""),"",P74*M74*IFERROR(VLOOKUP(L74,'99 Lists'!$A$19:$B$21,2,FALSE),1))</x:f>
      </x:c>
      <x:c r="S74" s="25" t="str">
        <x:f>IF(A74="","",IF(O74="","Not Assessed",IF(P74=0,"Meets / Exceeds",IF(P74=1,"Minor Gap",IF(P74=2,"Major Gap","Critical Gap")))))</x:f>
      </x:c>
      <x:c r="T74" s="24"/>
      <x:c r="U74" s="27"/>
      <x:c r="V74" s="24"/>
      <x:c r="W74" s="24"/>
      <x:c r="X74" s="24"/>
      <x:c r="Y74" s="26"/>
      <x:c r="Z74" s="31" t="str">
        <x:f>IF(B74="","",IF(Y74&lt;&gt;"",Y74,EDATE(B74,IFERROR(VLOOKUP(I74,'03 Position Requirements'!$A$6:$R$285,12,FALSE),12))))</x:f>
      </x:c>
      <x:c r="AA74" s="25" t="str">
        <x:f>IF(OR(B74="",D74="",J74=""),"",IF(COUNTIFS($D$6:$D$155,D74,$J$6:$J$155,J74,$B$6:$B$155,"&gt;"&amp;B74)=0,"Yes","No"))</x:f>
      </x:c>
      <x:c r="AB74" s="25" t="str">
        <x:f>IF(AA74="","",IF(AND(AA74="Yes",OR(P74&gt;0,AD74="Expired")),"Yes","No"))</x:f>
      </x:c>
      <x:c r="AC74" s="25" t="str">
        <x:f>IF(Z74="","",Z74-TODAY())</x:f>
      </x:c>
      <x:c r="AD74" s="25" t="str">
        <x:f>IF(A74="","",IF(O74="","Not Assessed",IF(Z74&lt;TODAY(),"Expired",IF(Z74&lt;=TODAY()+30,"Due Soon","Current"))))</x:f>
      </x:c>
      <x:c r="AE74" s="24"/>
    </x:row>
    <x:row r="75">
      <x:c r="A75" s="24"/>
      <x:c r="B75" s="26"/>
      <x:c r="C75" s="24"/>
      <x:c r="D75" s="24"/>
      <x:c r="E75" s="25" t="str">
        <x:f>IF(D75="","",IFERROR(VLOOKUP(D75,'01 Staff Master'!$A$6:$M$105,2,FALSE),"Staff ID not found"))</x:f>
      </x:c>
      <x:c r="F75" s="25" t="str">
        <x:f>IF(D75="","",IFERROR(VLOOKUP(D75,'01 Staff Master'!$A$6:$M$105,3,FALSE),""))</x:f>
      </x:c>
      <x:c r="G75" s="25" t="str">
        <x:f>IF(D75="","",IFERROR(VLOOKUP(D75,'01 Staff Master'!$A$6:$M$105,5,FALSE),""))</x:f>
      </x:c>
      <x:c r="H75" s="25" t="str">
        <x:f>IF(D75="","",IFERROR(VLOOKUP(D75,'01 Staff Master'!$A$6:$M$105,6,FALSE),""))</x:f>
      </x:c>
      <x:c r="I75" s="25" t="str">
        <x:f>IF(OR(F75="",G75="",J75=""),"",F75&amp;"|"&amp;G75&amp;"|"&amp;J75)</x:f>
      </x:c>
      <x:c r="J75" s="24"/>
      <x:c r="K75" s="25" t="str">
        <x:f>IF(J75="","",IFERROR(VLOOKUP(J75,'02 Skill Catalogue'!$A$6:$K$95,4,FALSE),"Skill ID not found"))</x:f>
      </x:c>
      <x:c r="L75" s="25" t="str">
        <x:f>IF(I75="","",IFERROR(VLOOKUP(I75,'03 Position Requirements'!$A$6:$R$285,8,FALSE),"No Requirement"))</x:f>
      </x:c>
      <x:c r="M75" s="29" t="str">
        <x:f>IF(I75="","",IFERROR(VLOOKUP(I75,'03 Position Requirements'!$A$6:$R$285,9,FALSE),""))</x:f>
      </x:c>
      <x:c r="N75" s="25" t="str">
        <x:f>IF(I75="","",IFERROR(VLOOKUP(I75,'03 Position Requirements'!$A$6:$R$285,10,FALSE),""))</x:f>
      </x:c>
      <x:c r="O75" s="24"/>
      <x:c r="P75" s="25" t="str">
        <x:f>IF(OR(N75="",O75=""),"",MAX(N75-O75,0))</x:f>
      </x:c>
      <x:c r="Q75" s="30" t="str">
        <x:f>IF(P75="","",P75*M75)</x:f>
      </x:c>
      <x:c r="R75" s="30" t="str">
        <x:f>IF(OR(P75="",L75=""),"",P75*M75*IFERROR(VLOOKUP(L75,'99 Lists'!$A$19:$B$21,2,FALSE),1))</x:f>
      </x:c>
      <x:c r="S75" s="25" t="str">
        <x:f>IF(A75="","",IF(O75="","Not Assessed",IF(P75=0,"Meets / Exceeds",IF(P75=1,"Minor Gap",IF(P75=2,"Major Gap","Critical Gap")))))</x:f>
      </x:c>
      <x:c r="T75" s="24"/>
      <x:c r="U75" s="27"/>
      <x:c r="V75" s="24"/>
      <x:c r="W75" s="24"/>
      <x:c r="X75" s="24"/>
      <x:c r="Y75" s="26"/>
      <x:c r="Z75" s="31" t="str">
        <x:f>IF(B75="","",IF(Y75&lt;&gt;"",Y75,EDATE(B75,IFERROR(VLOOKUP(I75,'03 Position Requirements'!$A$6:$R$285,12,FALSE),12))))</x:f>
      </x:c>
      <x:c r="AA75" s="25" t="str">
        <x:f>IF(OR(B75="",D75="",J75=""),"",IF(COUNTIFS($D$6:$D$155,D75,$J$6:$J$155,J75,$B$6:$B$155,"&gt;"&amp;B75)=0,"Yes","No"))</x:f>
      </x:c>
      <x:c r="AB75" s="25" t="str">
        <x:f>IF(AA75="","",IF(AND(AA75="Yes",OR(P75&gt;0,AD75="Expired")),"Yes","No"))</x:f>
      </x:c>
      <x:c r="AC75" s="25" t="str">
        <x:f>IF(Z75="","",Z75-TODAY())</x:f>
      </x:c>
      <x:c r="AD75" s="25" t="str">
        <x:f>IF(A75="","",IF(O75="","Not Assessed",IF(Z75&lt;TODAY(),"Expired",IF(Z75&lt;=TODAY()+30,"Due Soon","Current"))))</x:f>
      </x:c>
      <x:c r="AE75" s="24"/>
    </x:row>
    <x:row r="76">
      <x:c r="A76" s="24"/>
      <x:c r="B76" s="26"/>
      <x:c r="C76" s="24"/>
      <x:c r="D76" s="24"/>
      <x:c r="E76" s="25" t="str">
        <x:f>IF(D76="","",IFERROR(VLOOKUP(D76,'01 Staff Master'!$A$6:$M$105,2,FALSE),"Staff ID not found"))</x:f>
      </x:c>
      <x:c r="F76" s="25" t="str">
        <x:f>IF(D76="","",IFERROR(VLOOKUP(D76,'01 Staff Master'!$A$6:$M$105,3,FALSE),""))</x:f>
      </x:c>
      <x:c r="G76" s="25" t="str">
        <x:f>IF(D76="","",IFERROR(VLOOKUP(D76,'01 Staff Master'!$A$6:$M$105,5,FALSE),""))</x:f>
      </x:c>
      <x:c r="H76" s="25" t="str">
        <x:f>IF(D76="","",IFERROR(VLOOKUP(D76,'01 Staff Master'!$A$6:$M$105,6,FALSE),""))</x:f>
      </x:c>
      <x:c r="I76" s="25" t="str">
        <x:f>IF(OR(F76="",G76="",J76=""),"",F76&amp;"|"&amp;G76&amp;"|"&amp;J76)</x:f>
      </x:c>
      <x:c r="J76" s="24"/>
      <x:c r="K76" s="25" t="str">
        <x:f>IF(J76="","",IFERROR(VLOOKUP(J76,'02 Skill Catalogue'!$A$6:$K$95,4,FALSE),"Skill ID not found"))</x:f>
      </x:c>
      <x:c r="L76" s="25" t="str">
        <x:f>IF(I76="","",IFERROR(VLOOKUP(I76,'03 Position Requirements'!$A$6:$R$285,8,FALSE),"No Requirement"))</x:f>
      </x:c>
      <x:c r="M76" s="29" t="str">
        <x:f>IF(I76="","",IFERROR(VLOOKUP(I76,'03 Position Requirements'!$A$6:$R$285,9,FALSE),""))</x:f>
      </x:c>
      <x:c r="N76" s="25" t="str">
        <x:f>IF(I76="","",IFERROR(VLOOKUP(I76,'03 Position Requirements'!$A$6:$R$285,10,FALSE),""))</x:f>
      </x:c>
      <x:c r="O76" s="24"/>
      <x:c r="P76" s="25" t="str">
        <x:f>IF(OR(N76="",O76=""),"",MAX(N76-O76,0))</x:f>
      </x:c>
      <x:c r="Q76" s="30" t="str">
        <x:f>IF(P76="","",P76*M76)</x:f>
      </x:c>
      <x:c r="R76" s="30" t="str">
        <x:f>IF(OR(P76="",L76=""),"",P76*M76*IFERROR(VLOOKUP(L76,'99 Lists'!$A$19:$B$21,2,FALSE),1))</x:f>
      </x:c>
      <x:c r="S76" s="25" t="str">
        <x:f>IF(A76="","",IF(O76="","Not Assessed",IF(P76=0,"Meets / Exceeds",IF(P76=1,"Minor Gap",IF(P76=2,"Major Gap","Critical Gap")))))</x:f>
      </x:c>
      <x:c r="T76" s="24"/>
      <x:c r="U76" s="27"/>
      <x:c r="V76" s="24"/>
      <x:c r="W76" s="24"/>
      <x:c r="X76" s="24"/>
      <x:c r="Y76" s="26"/>
      <x:c r="Z76" s="31" t="str">
        <x:f>IF(B76="","",IF(Y76&lt;&gt;"",Y76,EDATE(B76,IFERROR(VLOOKUP(I76,'03 Position Requirements'!$A$6:$R$285,12,FALSE),12))))</x:f>
      </x:c>
      <x:c r="AA76" s="25" t="str">
        <x:f>IF(OR(B76="",D76="",J76=""),"",IF(COUNTIFS($D$6:$D$155,D76,$J$6:$J$155,J76,$B$6:$B$155,"&gt;"&amp;B76)=0,"Yes","No"))</x:f>
      </x:c>
      <x:c r="AB76" s="25" t="str">
        <x:f>IF(AA76="","",IF(AND(AA76="Yes",OR(P76&gt;0,AD76="Expired")),"Yes","No"))</x:f>
      </x:c>
      <x:c r="AC76" s="25" t="str">
        <x:f>IF(Z76="","",Z76-TODAY())</x:f>
      </x:c>
      <x:c r="AD76" s="25" t="str">
        <x:f>IF(A76="","",IF(O76="","Not Assessed",IF(Z76&lt;TODAY(),"Expired",IF(Z76&lt;=TODAY()+30,"Due Soon","Current"))))</x:f>
      </x:c>
      <x:c r="AE76" s="24"/>
    </x:row>
    <x:row r="77">
      <x:c r="A77" s="24"/>
      <x:c r="B77" s="26"/>
      <x:c r="C77" s="24"/>
      <x:c r="D77" s="24"/>
      <x:c r="E77" s="25" t="str">
        <x:f>IF(D77="","",IFERROR(VLOOKUP(D77,'01 Staff Master'!$A$6:$M$105,2,FALSE),"Staff ID not found"))</x:f>
      </x:c>
      <x:c r="F77" s="25" t="str">
        <x:f>IF(D77="","",IFERROR(VLOOKUP(D77,'01 Staff Master'!$A$6:$M$105,3,FALSE),""))</x:f>
      </x:c>
      <x:c r="G77" s="25" t="str">
        <x:f>IF(D77="","",IFERROR(VLOOKUP(D77,'01 Staff Master'!$A$6:$M$105,5,FALSE),""))</x:f>
      </x:c>
      <x:c r="H77" s="25" t="str">
        <x:f>IF(D77="","",IFERROR(VLOOKUP(D77,'01 Staff Master'!$A$6:$M$105,6,FALSE),""))</x:f>
      </x:c>
      <x:c r="I77" s="25" t="str">
        <x:f>IF(OR(F77="",G77="",J77=""),"",F77&amp;"|"&amp;G77&amp;"|"&amp;J77)</x:f>
      </x:c>
      <x:c r="J77" s="24"/>
      <x:c r="K77" s="25" t="str">
        <x:f>IF(J77="","",IFERROR(VLOOKUP(J77,'02 Skill Catalogue'!$A$6:$K$95,4,FALSE),"Skill ID not found"))</x:f>
      </x:c>
      <x:c r="L77" s="25" t="str">
        <x:f>IF(I77="","",IFERROR(VLOOKUP(I77,'03 Position Requirements'!$A$6:$R$285,8,FALSE),"No Requirement"))</x:f>
      </x:c>
      <x:c r="M77" s="29" t="str">
        <x:f>IF(I77="","",IFERROR(VLOOKUP(I77,'03 Position Requirements'!$A$6:$R$285,9,FALSE),""))</x:f>
      </x:c>
      <x:c r="N77" s="25" t="str">
        <x:f>IF(I77="","",IFERROR(VLOOKUP(I77,'03 Position Requirements'!$A$6:$R$285,10,FALSE),""))</x:f>
      </x:c>
      <x:c r="O77" s="24"/>
      <x:c r="P77" s="25" t="str">
        <x:f>IF(OR(N77="",O77=""),"",MAX(N77-O77,0))</x:f>
      </x:c>
      <x:c r="Q77" s="30" t="str">
        <x:f>IF(P77="","",P77*M77)</x:f>
      </x:c>
      <x:c r="R77" s="30" t="str">
        <x:f>IF(OR(P77="",L77=""),"",P77*M77*IFERROR(VLOOKUP(L77,'99 Lists'!$A$19:$B$21,2,FALSE),1))</x:f>
      </x:c>
      <x:c r="S77" s="25" t="str">
        <x:f>IF(A77="","",IF(O77="","Not Assessed",IF(P77=0,"Meets / Exceeds",IF(P77=1,"Minor Gap",IF(P77=2,"Major Gap","Critical Gap")))))</x:f>
      </x:c>
      <x:c r="T77" s="24"/>
      <x:c r="U77" s="27"/>
      <x:c r="V77" s="24"/>
      <x:c r="W77" s="24"/>
      <x:c r="X77" s="24"/>
      <x:c r="Y77" s="26"/>
      <x:c r="Z77" s="31" t="str">
        <x:f>IF(B77="","",IF(Y77&lt;&gt;"",Y77,EDATE(B77,IFERROR(VLOOKUP(I77,'03 Position Requirements'!$A$6:$R$285,12,FALSE),12))))</x:f>
      </x:c>
      <x:c r="AA77" s="25" t="str">
        <x:f>IF(OR(B77="",D77="",J77=""),"",IF(COUNTIFS($D$6:$D$155,D77,$J$6:$J$155,J77,$B$6:$B$155,"&gt;"&amp;B77)=0,"Yes","No"))</x:f>
      </x:c>
      <x:c r="AB77" s="25" t="str">
        <x:f>IF(AA77="","",IF(AND(AA77="Yes",OR(P77&gt;0,AD77="Expired")),"Yes","No"))</x:f>
      </x:c>
      <x:c r="AC77" s="25" t="str">
        <x:f>IF(Z77="","",Z77-TODAY())</x:f>
      </x:c>
      <x:c r="AD77" s="25" t="str">
        <x:f>IF(A77="","",IF(O77="","Not Assessed",IF(Z77&lt;TODAY(),"Expired",IF(Z77&lt;=TODAY()+30,"Due Soon","Current"))))</x:f>
      </x:c>
      <x:c r="AE77" s="24"/>
    </x:row>
    <x:row r="78">
      <x:c r="A78" s="24"/>
      <x:c r="B78" s="26"/>
      <x:c r="C78" s="24"/>
      <x:c r="D78" s="24"/>
      <x:c r="E78" s="25" t="str">
        <x:f>IF(D78="","",IFERROR(VLOOKUP(D78,'01 Staff Master'!$A$6:$M$105,2,FALSE),"Staff ID not found"))</x:f>
      </x:c>
      <x:c r="F78" s="25" t="str">
        <x:f>IF(D78="","",IFERROR(VLOOKUP(D78,'01 Staff Master'!$A$6:$M$105,3,FALSE),""))</x:f>
      </x:c>
      <x:c r="G78" s="25" t="str">
        <x:f>IF(D78="","",IFERROR(VLOOKUP(D78,'01 Staff Master'!$A$6:$M$105,5,FALSE),""))</x:f>
      </x:c>
      <x:c r="H78" s="25" t="str">
        <x:f>IF(D78="","",IFERROR(VLOOKUP(D78,'01 Staff Master'!$A$6:$M$105,6,FALSE),""))</x:f>
      </x:c>
      <x:c r="I78" s="25" t="str">
        <x:f>IF(OR(F78="",G78="",J78=""),"",F78&amp;"|"&amp;G78&amp;"|"&amp;J78)</x:f>
      </x:c>
      <x:c r="J78" s="24"/>
      <x:c r="K78" s="25" t="str">
        <x:f>IF(J78="","",IFERROR(VLOOKUP(J78,'02 Skill Catalogue'!$A$6:$K$95,4,FALSE),"Skill ID not found"))</x:f>
      </x:c>
      <x:c r="L78" s="25" t="str">
        <x:f>IF(I78="","",IFERROR(VLOOKUP(I78,'03 Position Requirements'!$A$6:$R$285,8,FALSE),"No Requirement"))</x:f>
      </x:c>
      <x:c r="M78" s="29" t="str">
        <x:f>IF(I78="","",IFERROR(VLOOKUP(I78,'03 Position Requirements'!$A$6:$R$285,9,FALSE),""))</x:f>
      </x:c>
      <x:c r="N78" s="25" t="str">
        <x:f>IF(I78="","",IFERROR(VLOOKUP(I78,'03 Position Requirements'!$A$6:$R$285,10,FALSE),""))</x:f>
      </x:c>
      <x:c r="O78" s="24"/>
      <x:c r="P78" s="25" t="str">
        <x:f>IF(OR(N78="",O78=""),"",MAX(N78-O78,0))</x:f>
      </x:c>
      <x:c r="Q78" s="30" t="str">
        <x:f>IF(P78="","",P78*M78)</x:f>
      </x:c>
      <x:c r="R78" s="30" t="str">
        <x:f>IF(OR(P78="",L78=""),"",P78*M78*IFERROR(VLOOKUP(L78,'99 Lists'!$A$19:$B$21,2,FALSE),1))</x:f>
      </x:c>
      <x:c r="S78" s="25" t="str">
        <x:f>IF(A78="","",IF(O78="","Not Assessed",IF(P78=0,"Meets / Exceeds",IF(P78=1,"Minor Gap",IF(P78=2,"Major Gap","Critical Gap")))))</x:f>
      </x:c>
      <x:c r="T78" s="24"/>
      <x:c r="U78" s="27"/>
      <x:c r="V78" s="24"/>
      <x:c r="W78" s="24"/>
      <x:c r="X78" s="24"/>
      <x:c r="Y78" s="26"/>
      <x:c r="Z78" s="31" t="str">
        <x:f>IF(B78="","",IF(Y78&lt;&gt;"",Y78,EDATE(B78,IFERROR(VLOOKUP(I78,'03 Position Requirements'!$A$6:$R$285,12,FALSE),12))))</x:f>
      </x:c>
      <x:c r="AA78" s="25" t="str">
        <x:f>IF(OR(B78="",D78="",J78=""),"",IF(COUNTIFS($D$6:$D$155,D78,$J$6:$J$155,J78,$B$6:$B$155,"&gt;"&amp;B78)=0,"Yes","No"))</x:f>
      </x:c>
      <x:c r="AB78" s="25" t="str">
        <x:f>IF(AA78="","",IF(AND(AA78="Yes",OR(P78&gt;0,AD78="Expired")),"Yes","No"))</x:f>
      </x:c>
      <x:c r="AC78" s="25" t="str">
        <x:f>IF(Z78="","",Z78-TODAY())</x:f>
      </x:c>
      <x:c r="AD78" s="25" t="str">
        <x:f>IF(A78="","",IF(O78="","Not Assessed",IF(Z78&lt;TODAY(),"Expired",IF(Z78&lt;=TODAY()+30,"Due Soon","Current"))))</x:f>
      </x:c>
      <x:c r="AE78" s="24"/>
    </x:row>
    <x:row r="79">
      <x:c r="A79" s="24"/>
      <x:c r="B79" s="26"/>
      <x:c r="C79" s="24"/>
      <x:c r="D79" s="24"/>
      <x:c r="E79" s="25" t="str">
        <x:f>IF(D79="","",IFERROR(VLOOKUP(D79,'01 Staff Master'!$A$6:$M$105,2,FALSE),"Staff ID not found"))</x:f>
      </x:c>
      <x:c r="F79" s="25" t="str">
        <x:f>IF(D79="","",IFERROR(VLOOKUP(D79,'01 Staff Master'!$A$6:$M$105,3,FALSE),""))</x:f>
      </x:c>
      <x:c r="G79" s="25" t="str">
        <x:f>IF(D79="","",IFERROR(VLOOKUP(D79,'01 Staff Master'!$A$6:$M$105,5,FALSE),""))</x:f>
      </x:c>
      <x:c r="H79" s="25" t="str">
        <x:f>IF(D79="","",IFERROR(VLOOKUP(D79,'01 Staff Master'!$A$6:$M$105,6,FALSE),""))</x:f>
      </x:c>
      <x:c r="I79" s="25" t="str">
        <x:f>IF(OR(F79="",G79="",J79=""),"",F79&amp;"|"&amp;G79&amp;"|"&amp;J79)</x:f>
      </x:c>
      <x:c r="J79" s="24"/>
      <x:c r="K79" s="25" t="str">
        <x:f>IF(J79="","",IFERROR(VLOOKUP(J79,'02 Skill Catalogue'!$A$6:$K$95,4,FALSE),"Skill ID not found"))</x:f>
      </x:c>
      <x:c r="L79" s="25" t="str">
        <x:f>IF(I79="","",IFERROR(VLOOKUP(I79,'03 Position Requirements'!$A$6:$R$285,8,FALSE),"No Requirement"))</x:f>
      </x:c>
      <x:c r="M79" s="29" t="str">
        <x:f>IF(I79="","",IFERROR(VLOOKUP(I79,'03 Position Requirements'!$A$6:$R$285,9,FALSE),""))</x:f>
      </x:c>
      <x:c r="N79" s="25" t="str">
        <x:f>IF(I79="","",IFERROR(VLOOKUP(I79,'03 Position Requirements'!$A$6:$R$285,10,FALSE),""))</x:f>
      </x:c>
      <x:c r="O79" s="24"/>
      <x:c r="P79" s="25" t="str">
        <x:f>IF(OR(N79="",O79=""),"",MAX(N79-O79,0))</x:f>
      </x:c>
      <x:c r="Q79" s="30" t="str">
        <x:f>IF(P79="","",P79*M79)</x:f>
      </x:c>
      <x:c r="R79" s="30" t="str">
        <x:f>IF(OR(P79="",L79=""),"",P79*M79*IFERROR(VLOOKUP(L79,'99 Lists'!$A$19:$B$21,2,FALSE),1))</x:f>
      </x:c>
      <x:c r="S79" s="25" t="str">
        <x:f>IF(A79="","",IF(O79="","Not Assessed",IF(P79=0,"Meets / Exceeds",IF(P79=1,"Minor Gap",IF(P79=2,"Major Gap","Critical Gap")))))</x:f>
      </x:c>
      <x:c r="T79" s="24"/>
      <x:c r="U79" s="27"/>
      <x:c r="V79" s="24"/>
      <x:c r="W79" s="24"/>
      <x:c r="X79" s="24"/>
      <x:c r="Y79" s="26"/>
      <x:c r="Z79" s="31" t="str">
        <x:f>IF(B79="","",IF(Y79&lt;&gt;"",Y79,EDATE(B79,IFERROR(VLOOKUP(I79,'03 Position Requirements'!$A$6:$R$285,12,FALSE),12))))</x:f>
      </x:c>
      <x:c r="AA79" s="25" t="str">
        <x:f>IF(OR(B79="",D79="",J79=""),"",IF(COUNTIFS($D$6:$D$155,D79,$J$6:$J$155,J79,$B$6:$B$155,"&gt;"&amp;B79)=0,"Yes","No"))</x:f>
      </x:c>
      <x:c r="AB79" s="25" t="str">
        <x:f>IF(AA79="","",IF(AND(AA79="Yes",OR(P79&gt;0,AD79="Expired")),"Yes","No"))</x:f>
      </x:c>
      <x:c r="AC79" s="25" t="str">
        <x:f>IF(Z79="","",Z79-TODAY())</x:f>
      </x:c>
      <x:c r="AD79" s="25" t="str">
        <x:f>IF(A79="","",IF(O79="","Not Assessed",IF(Z79&lt;TODAY(),"Expired",IF(Z79&lt;=TODAY()+30,"Due Soon","Current"))))</x:f>
      </x:c>
      <x:c r="AE79" s="24"/>
    </x:row>
    <x:row r="80">
      <x:c r="A80" s="24"/>
      <x:c r="B80" s="26"/>
      <x:c r="C80" s="24"/>
      <x:c r="D80" s="24"/>
      <x:c r="E80" s="25" t="str">
        <x:f>IF(D80="","",IFERROR(VLOOKUP(D80,'01 Staff Master'!$A$6:$M$105,2,FALSE),"Staff ID not found"))</x:f>
      </x:c>
      <x:c r="F80" s="25" t="str">
        <x:f>IF(D80="","",IFERROR(VLOOKUP(D80,'01 Staff Master'!$A$6:$M$105,3,FALSE),""))</x:f>
      </x:c>
      <x:c r="G80" s="25" t="str">
        <x:f>IF(D80="","",IFERROR(VLOOKUP(D80,'01 Staff Master'!$A$6:$M$105,5,FALSE),""))</x:f>
      </x:c>
      <x:c r="H80" s="25" t="str">
        <x:f>IF(D80="","",IFERROR(VLOOKUP(D80,'01 Staff Master'!$A$6:$M$105,6,FALSE),""))</x:f>
      </x:c>
      <x:c r="I80" s="25" t="str">
        <x:f>IF(OR(F80="",G80="",J80=""),"",F80&amp;"|"&amp;G80&amp;"|"&amp;J80)</x:f>
      </x:c>
      <x:c r="J80" s="24"/>
      <x:c r="K80" s="25" t="str">
        <x:f>IF(J80="","",IFERROR(VLOOKUP(J80,'02 Skill Catalogue'!$A$6:$K$95,4,FALSE),"Skill ID not found"))</x:f>
      </x:c>
      <x:c r="L80" s="25" t="str">
        <x:f>IF(I80="","",IFERROR(VLOOKUP(I80,'03 Position Requirements'!$A$6:$R$285,8,FALSE),"No Requirement"))</x:f>
      </x:c>
      <x:c r="M80" s="29" t="str">
        <x:f>IF(I80="","",IFERROR(VLOOKUP(I80,'03 Position Requirements'!$A$6:$R$285,9,FALSE),""))</x:f>
      </x:c>
      <x:c r="N80" s="25" t="str">
        <x:f>IF(I80="","",IFERROR(VLOOKUP(I80,'03 Position Requirements'!$A$6:$R$285,10,FALSE),""))</x:f>
      </x:c>
      <x:c r="O80" s="24"/>
      <x:c r="P80" s="25" t="str">
        <x:f>IF(OR(N80="",O80=""),"",MAX(N80-O80,0))</x:f>
      </x:c>
      <x:c r="Q80" s="30" t="str">
        <x:f>IF(P80="","",P80*M80)</x:f>
      </x:c>
      <x:c r="R80" s="30" t="str">
        <x:f>IF(OR(P80="",L80=""),"",P80*M80*IFERROR(VLOOKUP(L80,'99 Lists'!$A$19:$B$21,2,FALSE),1))</x:f>
      </x:c>
      <x:c r="S80" s="25" t="str">
        <x:f>IF(A80="","",IF(O80="","Not Assessed",IF(P80=0,"Meets / Exceeds",IF(P80=1,"Minor Gap",IF(P80=2,"Major Gap","Critical Gap")))))</x:f>
      </x:c>
      <x:c r="T80" s="24"/>
      <x:c r="U80" s="27"/>
      <x:c r="V80" s="24"/>
      <x:c r="W80" s="24"/>
      <x:c r="X80" s="24"/>
      <x:c r="Y80" s="26"/>
      <x:c r="Z80" s="31" t="str">
        <x:f>IF(B80="","",IF(Y80&lt;&gt;"",Y80,EDATE(B80,IFERROR(VLOOKUP(I80,'03 Position Requirements'!$A$6:$R$285,12,FALSE),12))))</x:f>
      </x:c>
      <x:c r="AA80" s="25" t="str">
        <x:f>IF(OR(B80="",D80="",J80=""),"",IF(COUNTIFS($D$6:$D$155,D80,$J$6:$J$155,J80,$B$6:$B$155,"&gt;"&amp;B80)=0,"Yes","No"))</x:f>
      </x:c>
      <x:c r="AB80" s="25" t="str">
        <x:f>IF(AA80="","",IF(AND(AA80="Yes",OR(P80&gt;0,AD80="Expired")),"Yes","No"))</x:f>
      </x:c>
      <x:c r="AC80" s="25" t="str">
        <x:f>IF(Z80="","",Z80-TODAY())</x:f>
      </x:c>
      <x:c r="AD80" s="25" t="str">
        <x:f>IF(A80="","",IF(O80="","Not Assessed",IF(Z80&lt;TODAY(),"Expired",IF(Z80&lt;=TODAY()+30,"Due Soon","Current"))))</x:f>
      </x:c>
      <x:c r="AE80" s="24"/>
    </x:row>
    <x:row r="81">
      <x:c r="A81" s="24"/>
      <x:c r="B81" s="26"/>
      <x:c r="C81" s="24"/>
      <x:c r="D81" s="24"/>
      <x:c r="E81" s="25" t="str">
        <x:f>IF(D81="","",IFERROR(VLOOKUP(D81,'01 Staff Master'!$A$6:$M$105,2,FALSE),"Staff ID not found"))</x:f>
      </x:c>
      <x:c r="F81" s="25" t="str">
        <x:f>IF(D81="","",IFERROR(VLOOKUP(D81,'01 Staff Master'!$A$6:$M$105,3,FALSE),""))</x:f>
      </x:c>
      <x:c r="G81" s="25" t="str">
        <x:f>IF(D81="","",IFERROR(VLOOKUP(D81,'01 Staff Master'!$A$6:$M$105,5,FALSE),""))</x:f>
      </x:c>
      <x:c r="H81" s="25" t="str">
        <x:f>IF(D81="","",IFERROR(VLOOKUP(D81,'01 Staff Master'!$A$6:$M$105,6,FALSE),""))</x:f>
      </x:c>
      <x:c r="I81" s="25" t="str">
        <x:f>IF(OR(F81="",G81="",J81=""),"",F81&amp;"|"&amp;G81&amp;"|"&amp;J81)</x:f>
      </x:c>
      <x:c r="J81" s="24"/>
      <x:c r="K81" s="25" t="str">
        <x:f>IF(J81="","",IFERROR(VLOOKUP(J81,'02 Skill Catalogue'!$A$6:$K$95,4,FALSE),"Skill ID not found"))</x:f>
      </x:c>
      <x:c r="L81" s="25" t="str">
        <x:f>IF(I81="","",IFERROR(VLOOKUP(I81,'03 Position Requirements'!$A$6:$R$285,8,FALSE),"No Requirement"))</x:f>
      </x:c>
      <x:c r="M81" s="29" t="str">
        <x:f>IF(I81="","",IFERROR(VLOOKUP(I81,'03 Position Requirements'!$A$6:$R$285,9,FALSE),""))</x:f>
      </x:c>
      <x:c r="N81" s="25" t="str">
        <x:f>IF(I81="","",IFERROR(VLOOKUP(I81,'03 Position Requirements'!$A$6:$R$285,10,FALSE),""))</x:f>
      </x:c>
      <x:c r="O81" s="24"/>
      <x:c r="P81" s="25" t="str">
        <x:f>IF(OR(N81="",O81=""),"",MAX(N81-O81,0))</x:f>
      </x:c>
      <x:c r="Q81" s="30" t="str">
        <x:f>IF(P81="","",P81*M81)</x:f>
      </x:c>
      <x:c r="R81" s="30" t="str">
        <x:f>IF(OR(P81="",L81=""),"",P81*M81*IFERROR(VLOOKUP(L81,'99 Lists'!$A$19:$B$21,2,FALSE),1))</x:f>
      </x:c>
      <x:c r="S81" s="25" t="str">
        <x:f>IF(A81="","",IF(O81="","Not Assessed",IF(P81=0,"Meets / Exceeds",IF(P81=1,"Minor Gap",IF(P81=2,"Major Gap","Critical Gap")))))</x:f>
      </x:c>
      <x:c r="T81" s="24"/>
      <x:c r="U81" s="27"/>
      <x:c r="V81" s="24"/>
      <x:c r="W81" s="24"/>
      <x:c r="X81" s="24"/>
      <x:c r="Y81" s="26"/>
      <x:c r="Z81" s="31" t="str">
        <x:f>IF(B81="","",IF(Y81&lt;&gt;"",Y81,EDATE(B81,IFERROR(VLOOKUP(I81,'03 Position Requirements'!$A$6:$R$285,12,FALSE),12))))</x:f>
      </x:c>
      <x:c r="AA81" s="25" t="str">
        <x:f>IF(OR(B81="",D81="",J81=""),"",IF(COUNTIFS($D$6:$D$155,D81,$J$6:$J$155,J81,$B$6:$B$155,"&gt;"&amp;B81)=0,"Yes","No"))</x:f>
      </x:c>
      <x:c r="AB81" s="25" t="str">
        <x:f>IF(AA81="","",IF(AND(AA81="Yes",OR(P81&gt;0,AD81="Expired")),"Yes","No"))</x:f>
      </x:c>
      <x:c r="AC81" s="25" t="str">
        <x:f>IF(Z81="","",Z81-TODAY())</x:f>
      </x:c>
      <x:c r="AD81" s="25" t="str">
        <x:f>IF(A81="","",IF(O81="","Not Assessed",IF(Z81&lt;TODAY(),"Expired",IF(Z81&lt;=TODAY()+30,"Due Soon","Current"))))</x:f>
      </x:c>
      <x:c r="AE81" s="24"/>
    </x:row>
    <x:row r="82">
      <x:c r="A82" s="24"/>
      <x:c r="B82" s="26"/>
      <x:c r="C82" s="24"/>
      <x:c r="D82" s="24"/>
      <x:c r="E82" s="25" t="str">
        <x:f>IF(D82="","",IFERROR(VLOOKUP(D82,'01 Staff Master'!$A$6:$M$105,2,FALSE),"Staff ID not found"))</x:f>
      </x:c>
      <x:c r="F82" s="25" t="str">
        <x:f>IF(D82="","",IFERROR(VLOOKUP(D82,'01 Staff Master'!$A$6:$M$105,3,FALSE),""))</x:f>
      </x:c>
      <x:c r="G82" s="25" t="str">
        <x:f>IF(D82="","",IFERROR(VLOOKUP(D82,'01 Staff Master'!$A$6:$M$105,5,FALSE),""))</x:f>
      </x:c>
      <x:c r="H82" s="25" t="str">
        <x:f>IF(D82="","",IFERROR(VLOOKUP(D82,'01 Staff Master'!$A$6:$M$105,6,FALSE),""))</x:f>
      </x:c>
      <x:c r="I82" s="25" t="str">
        <x:f>IF(OR(F82="",G82="",J82=""),"",F82&amp;"|"&amp;G82&amp;"|"&amp;J82)</x:f>
      </x:c>
      <x:c r="J82" s="24"/>
      <x:c r="K82" s="25" t="str">
        <x:f>IF(J82="","",IFERROR(VLOOKUP(J82,'02 Skill Catalogue'!$A$6:$K$95,4,FALSE),"Skill ID not found"))</x:f>
      </x:c>
      <x:c r="L82" s="25" t="str">
        <x:f>IF(I82="","",IFERROR(VLOOKUP(I82,'03 Position Requirements'!$A$6:$R$285,8,FALSE),"No Requirement"))</x:f>
      </x:c>
      <x:c r="M82" s="29" t="str">
        <x:f>IF(I82="","",IFERROR(VLOOKUP(I82,'03 Position Requirements'!$A$6:$R$285,9,FALSE),""))</x:f>
      </x:c>
      <x:c r="N82" s="25" t="str">
        <x:f>IF(I82="","",IFERROR(VLOOKUP(I82,'03 Position Requirements'!$A$6:$R$285,10,FALSE),""))</x:f>
      </x:c>
      <x:c r="O82" s="24"/>
      <x:c r="P82" s="25" t="str">
        <x:f>IF(OR(N82="",O82=""),"",MAX(N82-O82,0))</x:f>
      </x:c>
      <x:c r="Q82" s="30" t="str">
        <x:f>IF(P82="","",P82*M82)</x:f>
      </x:c>
      <x:c r="R82" s="30" t="str">
        <x:f>IF(OR(P82="",L82=""),"",P82*M82*IFERROR(VLOOKUP(L82,'99 Lists'!$A$19:$B$21,2,FALSE),1))</x:f>
      </x:c>
      <x:c r="S82" s="25" t="str">
        <x:f>IF(A82="","",IF(O82="","Not Assessed",IF(P82=0,"Meets / Exceeds",IF(P82=1,"Minor Gap",IF(P82=2,"Major Gap","Critical Gap")))))</x:f>
      </x:c>
      <x:c r="T82" s="24"/>
      <x:c r="U82" s="27"/>
      <x:c r="V82" s="24"/>
      <x:c r="W82" s="24"/>
      <x:c r="X82" s="24"/>
      <x:c r="Y82" s="26"/>
      <x:c r="Z82" s="31" t="str">
        <x:f>IF(B82="","",IF(Y82&lt;&gt;"",Y82,EDATE(B82,IFERROR(VLOOKUP(I82,'03 Position Requirements'!$A$6:$R$285,12,FALSE),12))))</x:f>
      </x:c>
      <x:c r="AA82" s="25" t="str">
        <x:f>IF(OR(B82="",D82="",J82=""),"",IF(COUNTIFS($D$6:$D$155,D82,$J$6:$J$155,J82,$B$6:$B$155,"&gt;"&amp;B82)=0,"Yes","No"))</x:f>
      </x:c>
      <x:c r="AB82" s="25" t="str">
        <x:f>IF(AA82="","",IF(AND(AA82="Yes",OR(P82&gt;0,AD82="Expired")),"Yes","No"))</x:f>
      </x:c>
      <x:c r="AC82" s="25" t="str">
        <x:f>IF(Z82="","",Z82-TODAY())</x:f>
      </x:c>
      <x:c r="AD82" s="25" t="str">
        <x:f>IF(A82="","",IF(O82="","Not Assessed",IF(Z82&lt;TODAY(),"Expired",IF(Z82&lt;=TODAY()+30,"Due Soon","Current"))))</x:f>
      </x:c>
      <x:c r="AE82" s="24"/>
    </x:row>
    <x:row r="83">
      <x:c r="A83" s="24"/>
      <x:c r="B83" s="26"/>
      <x:c r="C83" s="24"/>
      <x:c r="D83" s="24"/>
      <x:c r="E83" s="25" t="str">
        <x:f>IF(D83="","",IFERROR(VLOOKUP(D83,'01 Staff Master'!$A$6:$M$105,2,FALSE),"Staff ID not found"))</x:f>
      </x:c>
      <x:c r="F83" s="25" t="str">
        <x:f>IF(D83="","",IFERROR(VLOOKUP(D83,'01 Staff Master'!$A$6:$M$105,3,FALSE),""))</x:f>
      </x:c>
      <x:c r="G83" s="25" t="str">
        <x:f>IF(D83="","",IFERROR(VLOOKUP(D83,'01 Staff Master'!$A$6:$M$105,5,FALSE),""))</x:f>
      </x:c>
      <x:c r="H83" s="25" t="str">
        <x:f>IF(D83="","",IFERROR(VLOOKUP(D83,'01 Staff Master'!$A$6:$M$105,6,FALSE),""))</x:f>
      </x:c>
      <x:c r="I83" s="25" t="str">
        <x:f>IF(OR(F83="",G83="",J83=""),"",F83&amp;"|"&amp;G83&amp;"|"&amp;J83)</x:f>
      </x:c>
      <x:c r="J83" s="24"/>
      <x:c r="K83" s="25" t="str">
        <x:f>IF(J83="","",IFERROR(VLOOKUP(J83,'02 Skill Catalogue'!$A$6:$K$95,4,FALSE),"Skill ID not found"))</x:f>
      </x:c>
      <x:c r="L83" s="25" t="str">
        <x:f>IF(I83="","",IFERROR(VLOOKUP(I83,'03 Position Requirements'!$A$6:$R$285,8,FALSE),"No Requirement"))</x:f>
      </x:c>
      <x:c r="M83" s="29" t="str">
        <x:f>IF(I83="","",IFERROR(VLOOKUP(I83,'03 Position Requirements'!$A$6:$R$285,9,FALSE),""))</x:f>
      </x:c>
      <x:c r="N83" s="25" t="str">
        <x:f>IF(I83="","",IFERROR(VLOOKUP(I83,'03 Position Requirements'!$A$6:$R$285,10,FALSE),""))</x:f>
      </x:c>
      <x:c r="O83" s="24"/>
      <x:c r="P83" s="25" t="str">
        <x:f>IF(OR(N83="",O83=""),"",MAX(N83-O83,0))</x:f>
      </x:c>
      <x:c r="Q83" s="30" t="str">
        <x:f>IF(P83="","",P83*M83)</x:f>
      </x:c>
      <x:c r="R83" s="30" t="str">
        <x:f>IF(OR(P83="",L83=""),"",P83*M83*IFERROR(VLOOKUP(L83,'99 Lists'!$A$19:$B$21,2,FALSE),1))</x:f>
      </x:c>
      <x:c r="S83" s="25" t="str">
        <x:f>IF(A83="","",IF(O83="","Not Assessed",IF(P83=0,"Meets / Exceeds",IF(P83=1,"Minor Gap",IF(P83=2,"Major Gap","Critical Gap")))))</x:f>
      </x:c>
      <x:c r="T83" s="24"/>
      <x:c r="U83" s="27"/>
      <x:c r="V83" s="24"/>
      <x:c r="W83" s="24"/>
      <x:c r="X83" s="24"/>
      <x:c r="Y83" s="26"/>
      <x:c r="Z83" s="31" t="str">
        <x:f>IF(B83="","",IF(Y83&lt;&gt;"",Y83,EDATE(B83,IFERROR(VLOOKUP(I83,'03 Position Requirements'!$A$6:$R$285,12,FALSE),12))))</x:f>
      </x:c>
      <x:c r="AA83" s="25" t="str">
        <x:f>IF(OR(B83="",D83="",J83=""),"",IF(COUNTIFS($D$6:$D$155,D83,$J$6:$J$155,J83,$B$6:$B$155,"&gt;"&amp;B83)=0,"Yes","No"))</x:f>
      </x:c>
      <x:c r="AB83" s="25" t="str">
        <x:f>IF(AA83="","",IF(AND(AA83="Yes",OR(P83&gt;0,AD83="Expired")),"Yes","No"))</x:f>
      </x:c>
      <x:c r="AC83" s="25" t="str">
        <x:f>IF(Z83="","",Z83-TODAY())</x:f>
      </x:c>
      <x:c r="AD83" s="25" t="str">
        <x:f>IF(A83="","",IF(O83="","Not Assessed",IF(Z83&lt;TODAY(),"Expired",IF(Z83&lt;=TODAY()+30,"Due Soon","Current"))))</x:f>
      </x:c>
      <x:c r="AE83" s="24"/>
    </x:row>
    <x:row r="84">
      <x:c r="A84" s="24"/>
      <x:c r="B84" s="26"/>
      <x:c r="C84" s="24"/>
      <x:c r="D84" s="24"/>
      <x:c r="E84" s="25" t="str">
        <x:f>IF(D84="","",IFERROR(VLOOKUP(D84,'01 Staff Master'!$A$6:$M$105,2,FALSE),"Staff ID not found"))</x:f>
      </x:c>
      <x:c r="F84" s="25" t="str">
        <x:f>IF(D84="","",IFERROR(VLOOKUP(D84,'01 Staff Master'!$A$6:$M$105,3,FALSE),""))</x:f>
      </x:c>
      <x:c r="G84" s="25" t="str">
        <x:f>IF(D84="","",IFERROR(VLOOKUP(D84,'01 Staff Master'!$A$6:$M$105,5,FALSE),""))</x:f>
      </x:c>
      <x:c r="H84" s="25" t="str">
        <x:f>IF(D84="","",IFERROR(VLOOKUP(D84,'01 Staff Master'!$A$6:$M$105,6,FALSE),""))</x:f>
      </x:c>
      <x:c r="I84" s="25" t="str">
        <x:f>IF(OR(F84="",G84="",J84=""),"",F84&amp;"|"&amp;G84&amp;"|"&amp;J84)</x:f>
      </x:c>
      <x:c r="J84" s="24"/>
      <x:c r="K84" s="25" t="str">
        <x:f>IF(J84="","",IFERROR(VLOOKUP(J84,'02 Skill Catalogue'!$A$6:$K$95,4,FALSE),"Skill ID not found"))</x:f>
      </x:c>
      <x:c r="L84" s="25" t="str">
        <x:f>IF(I84="","",IFERROR(VLOOKUP(I84,'03 Position Requirements'!$A$6:$R$285,8,FALSE),"No Requirement"))</x:f>
      </x:c>
      <x:c r="M84" s="29" t="str">
        <x:f>IF(I84="","",IFERROR(VLOOKUP(I84,'03 Position Requirements'!$A$6:$R$285,9,FALSE),""))</x:f>
      </x:c>
      <x:c r="N84" s="25" t="str">
        <x:f>IF(I84="","",IFERROR(VLOOKUP(I84,'03 Position Requirements'!$A$6:$R$285,10,FALSE),""))</x:f>
      </x:c>
      <x:c r="O84" s="24"/>
      <x:c r="P84" s="25" t="str">
        <x:f>IF(OR(N84="",O84=""),"",MAX(N84-O84,0))</x:f>
      </x:c>
      <x:c r="Q84" s="30" t="str">
        <x:f>IF(P84="","",P84*M84)</x:f>
      </x:c>
      <x:c r="R84" s="30" t="str">
        <x:f>IF(OR(P84="",L84=""),"",P84*M84*IFERROR(VLOOKUP(L84,'99 Lists'!$A$19:$B$21,2,FALSE),1))</x:f>
      </x:c>
      <x:c r="S84" s="25" t="str">
        <x:f>IF(A84="","",IF(O84="","Not Assessed",IF(P84=0,"Meets / Exceeds",IF(P84=1,"Minor Gap",IF(P84=2,"Major Gap","Critical Gap")))))</x:f>
      </x:c>
      <x:c r="T84" s="24"/>
      <x:c r="U84" s="27"/>
      <x:c r="V84" s="24"/>
      <x:c r="W84" s="24"/>
      <x:c r="X84" s="24"/>
      <x:c r="Y84" s="26"/>
      <x:c r="Z84" s="31" t="str">
        <x:f>IF(B84="","",IF(Y84&lt;&gt;"",Y84,EDATE(B84,IFERROR(VLOOKUP(I84,'03 Position Requirements'!$A$6:$R$285,12,FALSE),12))))</x:f>
      </x:c>
      <x:c r="AA84" s="25" t="str">
        <x:f>IF(OR(B84="",D84="",J84=""),"",IF(COUNTIFS($D$6:$D$155,D84,$J$6:$J$155,J84,$B$6:$B$155,"&gt;"&amp;B84)=0,"Yes","No"))</x:f>
      </x:c>
      <x:c r="AB84" s="25" t="str">
        <x:f>IF(AA84="","",IF(AND(AA84="Yes",OR(P84&gt;0,AD84="Expired")),"Yes","No"))</x:f>
      </x:c>
      <x:c r="AC84" s="25" t="str">
        <x:f>IF(Z84="","",Z84-TODAY())</x:f>
      </x:c>
      <x:c r="AD84" s="25" t="str">
        <x:f>IF(A84="","",IF(O84="","Not Assessed",IF(Z84&lt;TODAY(),"Expired",IF(Z84&lt;=TODAY()+30,"Due Soon","Current"))))</x:f>
      </x:c>
      <x:c r="AE84" s="24"/>
    </x:row>
    <x:row r="85">
      <x:c r="A85" s="24"/>
      <x:c r="B85" s="26"/>
      <x:c r="C85" s="24"/>
      <x:c r="D85" s="24"/>
      <x:c r="E85" s="25" t="str">
        <x:f>IF(D85="","",IFERROR(VLOOKUP(D85,'01 Staff Master'!$A$6:$M$105,2,FALSE),"Staff ID not found"))</x:f>
      </x:c>
      <x:c r="F85" s="25" t="str">
        <x:f>IF(D85="","",IFERROR(VLOOKUP(D85,'01 Staff Master'!$A$6:$M$105,3,FALSE),""))</x:f>
      </x:c>
      <x:c r="G85" s="25" t="str">
        <x:f>IF(D85="","",IFERROR(VLOOKUP(D85,'01 Staff Master'!$A$6:$M$105,5,FALSE),""))</x:f>
      </x:c>
      <x:c r="H85" s="25" t="str">
        <x:f>IF(D85="","",IFERROR(VLOOKUP(D85,'01 Staff Master'!$A$6:$M$105,6,FALSE),""))</x:f>
      </x:c>
      <x:c r="I85" s="25" t="str">
        <x:f>IF(OR(F85="",G85="",J85=""),"",F85&amp;"|"&amp;G85&amp;"|"&amp;J85)</x:f>
      </x:c>
      <x:c r="J85" s="24"/>
      <x:c r="K85" s="25" t="str">
        <x:f>IF(J85="","",IFERROR(VLOOKUP(J85,'02 Skill Catalogue'!$A$6:$K$95,4,FALSE),"Skill ID not found"))</x:f>
      </x:c>
      <x:c r="L85" s="25" t="str">
        <x:f>IF(I85="","",IFERROR(VLOOKUP(I85,'03 Position Requirements'!$A$6:$R$285,8,FALSE),"No Requirement"))</x:f>
      </x:c>
      <x:c r="M85" s="29" t="str">
        <x:f>IF(I85="","",IFERROR(VLOOKUP(I85,'03 Position Requirements'!$A$6:$R$285,9,FALSE),""))</x:f>
      </x:c>
      <x:c r="N85" s="25" t="str">
        <x:f>IF(I85="","",IFERROR(VLOOKUP(I85,'03 Position Requirements'!$A$6:$R$285,10,FALSE),""))</x:f>
      </x:c>
      <x:c r="O85" s="24"/>
      <x:c r="P85" s="25" t="str">
        <x:f>IF(OR(N85="",O85=""),"",MAX(N85-O85,0))</x:f>
      </x:c>
      <x:c r="Q85" s="30" t="str">
        <x:f>IF(P85="","",P85*M85)</x:f>
      </x:c>
      <x:c r="R85" s="30" t="str">
        <x:f>IF(OR(P85="",L85=""),"",P85*M85*IFERROR(VLOOKUP(L85,'99 Lists'!$A$19:$B$21,2,FALSE),1))</x:f>
      </x:c>
      <x:c r="S85" s="25" t="str">
        <x:f>IF(A85="","",IF(O85="","Not Assessed",IF(P85=0,"Meets / Exceeds",IF(P85=1,"Minor Gap",IF(P85=2,"Major Gap","Critical Gap")))))</x:f>
      </x:c>
      <x:c r="T85" s="24"/>
      <x:c r="U85" s="27"/>
      <x:c r="V85" s="24"/>
      <x:c r="W85" s="24"/>
      <x:c r="X85" s="24"/>
      <x:c r="Y85" s="26"/>
      <x:c r="Z85" s="31" t="str">
        <x:f>IF(B85="","",IF(Y85&lt;&gt;"",Y85,EDATE(B85,IFERROR(VLOOKUP(I85,'03 Position Requirements'!$A$6:$R$285,12,FALSE),12))))</x:f>
      </x:c>
      <x:c r="AA85" s="25" t="str">
        <x:f>IF(OR(B85="",D85="",J85=""),"",IF(COUNTIFS($D$6:$D$155,D85,$J$6:$J$155,J85,$B$6:$B$155,"&gt;"&amp;B85)=0,"Yes","No"))</x:f>
      </x:c>
      <x:c r="AB85" s="25" t="str">
        <x:f>IF(AA85="","",IF(AND(AA85="Yes",OR(P85&gt;0,AD85="Expired")),"Yes","No"))</x:f>
      </x:c>
      <x:c r="AC85" s="25" t="str">
        <x:f>IF(Z85="","",Z85-TODAY())</x:f>
      </x:c>
      <x:c r="AD85" s="25" t="str">
        <x:f>IF(A85="","",IF(O85="","Not Assessed",IF(Z85&lt;TODAY(),"Expired",IF(Z85&lt;=TODAY()+30,"Due Soon","Current"))))</x:f>
      </x:c>
      <x:c r="AE85" s="24"/>
    </x:row>
    <x:row r="86">
      <x:c r="A86" s="24"/>
      <x:c r="B86" s="26"/>
      <x:c r="C86" s="24"/>
      <x:c r="D86" s="24"/>
      <x:c r="E86" s="25" t="str">
        <x:f>IF(D86="","",IFERROR(VLOOKUP(D86,'01 Staff Master'!$A$6:$M$105,2,FALSE),"Staff ID not found"))</x:f>
      </x:c>
      <x:c r="F86" s="25" t="str">
        <x:f>IF(D86="","",IFERROR(VLOOKUP(D86,'01 Staff Master'!$A$6:$M$105,3,FALSE),""))</x:f>
      </x:c>
      <x:c r="G86" s="25" t="str">
        <x:f>IF(D86="","",IFERROR(VLOOKUP(D86,'01 Staff Master'!$A$6:$M$105,5,FALSE),""))</x:f>
      </x:c>
      <x:c r="H86" s="25" t="str">
        <x:f>IF(D86="","",IFERROR(VLOOKUP(D86,'01 Staff Master'!$A$6:$M$105,6,FALSE),""))</x:f>
      </x:c>
      <x:c r="I86" s="25" t="str">
        <x:f>IF(OR(F86="",G86="",J86=""),"",F86&amp;"|"&amp;G86&amp;"|"&amp;J86)</x:f>
      </x:c>
      <x:c r="J86" s="24"/>
      <x:c r="K86" s="25" t="str">
        <x:f>IF(J86="","",IFERROR(VLOOKUP(J86,'02 Skill Catalogue'!$A$6:$K$95,4,FALSE),"Skill ID not found"))</x:f>
      </x:c>
      <x:c r="L86" s="25" t="str">
        <x:f>IF(I86="","",IFERROR(VLOOKUP(I86,'03 Position Requirements'!$A$6:$R$285,8,FALSE),"No Requirement"))</x:f>
      </x:c>
      <x:c r="M86" s="29" t="str">
        <x:f>IF(I86="","",IFERROR(VLOOKUP(I86,'03 Position Requirements'!$A$6:$R$285,9,FALSE),""))</x:f>
      </x:c>
      <x:c r="N86" s="25" t="str">
        <x:f>IF(I86="","",IFERROR(VLOOKUP(I86,'03 Position Requirements'!$A$6:$R$285,10,FALSE),""))</x:f>
      </x:c>
      <x:c r="O86" s="24"/>
      <x:c r="P86" s="25" t="str">
        <x:f>IF(OR(N86="",O86=""),"",MAX(N86-O86,0))</x:f>
      </x:c>
      <x:c r="Q86" s="30" t="str">
        <x:f>IF(P86="","",P86*M86)</x:f>
      </x:c>
      <x:c r="R86" s="30" t="str">
        <x:f>IF(OR(P86="",L86=""),"",P86*M86*IFERROR(VLOOKUP(L86,'99 Lists'!$A$19:$B$21,2,FALSE),1))</x:f>
      </x:c>
      <x:c r="S86" s="25" t="str">
        <x:f>IF(A86="","",IF(O86="","Not Assessed",IF(P86=0,"Meets / Exceeds",IF(P86=1,"Minor Gap",IF(P86=2,"Major Gap","Critical Gap")))))</x:f>
      </x:c>
      <x:c r="T86" s="24"/>
      <x:c r="U86" s="27"/>
      <x:c r="V86" s="24"/>
      <x:c r="W86" s="24"/>
      <x:c r="X86" s="24"/>
      <x:c r="Y86" s="26"/>
      <x:c r="Z86" s="31" t="str">
        <x:f>IF(B86="","",IF(Y86&lt;&gt;"",Y86,EDATE(B86,IFERROR(VLOOKUP(I86,'03 Position Requirements'!$A$6:$R$285,12,FALSE),12))))</x:f>
      </x:c>
      <x:c r="AA86" s="25" t="str">
        <x:f>IF(OR(B86="",D86="",J86=""),"",IF(COUNTIFS($D$6:$D$155,D86,$J$6:$J$155,J86,$B$6:$B$155,"&gt;"&amp;B86)=0,"Yes","No"))</x:f>
      </x:c>
      <x:c r="AB86" s="25" t="str">
        <x:f>IF(AA86="","",IF(AND(AA86="Yes",OR(P86&gt;0,AD86="Expired")),"Yes","No"))</x:f>
      </x:c>
      <x:c r="AC86" s="25" t="str">
        <x:f>IF(Z86="","",Z86-TODAY())</x:f>
      </x:c>
      <x:c r="AD86" s="25" t="str">
        <x:f>IF(A86="","",IF(O86="","Not Assessed",IF(Z86&lt;TODAY(),"Expired",IF(Z86&lt;=TODAY()+30,"Due Soon","Current"))))</x:f>
      </x:c>
      <x:c r="AE86" s="24"/>
    </x:row>
    <x:row r="87">
      <x:c r="A87" s="24"/>
      <x:c r="B87" s="26"/>
      <x:c r="C87" s="24"/>
      <x:c r="D87" s="24"/>
      <x:c r="E87" s="25" t="str">
        <x:f>IF(D87="","",IFERROR(VLOOKUP(D87,'01 Staff Master'!$A$6:$M$105,2,FALSE),"Staff ID not found"))</x:f>
      </x:c>
      <x:c r="F87" s="25" t="str">
        <x:f>IF(D87="","",IFERROR(VLOOKUP(D87,'01 Staff Master'!$A$6:$M$105,3,FALSE),""))</x:f>
      </x:c>
      <x:c r="G87" s="25" t="str">
        <x:f>IF(D87="","",IFERROR(VLOOKUP(D87,'01 Staff Master'!$A$6:$M$105,5,FALSE),""))</x:f>
      </x:c>
      <x:c r="H87" s="25" t="str">
        <x:f>IF(D87="","",IFERROR(VLOOKUP(D87,'01 Staff Master'!$A$6:$M$105,6,FALSE),""))</x:f>
      </x:c>
      <x:c r="I87" s="25" t="str">
        <x:f>IF(OR(F87="",G87="",J87=""),"",F87&amp;"|"&amp;G87&amp;"|"&amp;J87)</x:f>
      </x:c>
      <x:c r="J87" s="24"/>
      <x:c r="K87" s="25" t="str">
        <x:f>IF(J87="","",IFERROR(VLOOKUP(J87,'02 Skill Catalogue'!$A$6:$K$95,4,FALSE),"Skill ID not found"))</x:f>
      </x:c>
      <x:c r="L87" s="25" t="str">
        <x:f>IF(I87="","",IFERROR(VLOOKUP(I87,'03 Position Requirements'!$A$6:$R$285,8,FALSE),"No Requirement"))</x:f>
      </x:c>
      <x:c r="M87" s="29" t="str">
        <x:f>IF(I87="","",IFERROR(VLOOKUP(I87,'03 Position Requirements'!$A$6:$R$285,9,FALSE),""))</x:f>
      </x:c>
      <x:c r="N87" s="25" t="str">
        <x:f>IF(I87="","",IFERROR(VLOOKUP(I87,'03 Position Requirements'!$A$6:$R$285,10,FALSE),""))</x:f>
      </x:c>
      <x:c r="O87" s="24"/>
      <x:c r="P87" s="25" t="str">
        <x:f>IF(OR(N87="",O87=""),"",MAX(N87-O87,0))</x:f>
      </x:c>
      <x:c r="Q87" s="30" t="str">
        <x:f>IF(P87="","",P87*M87)</x:f>
      </x:c>
      <x:c r="R87" s="30" t="str">
        <x:f>IF(OR(P87="",L87=""),"",P87*M87*IFERROR(VLOOKUP(L87,'99 Lists'!$A$19:$B$21,2,FALSE),1))</x:f>
      </x:c>
      <x:c r="S87" s="25" t="str">
        <x:f>IF(A87="","",IF(O87="","Not Assessed",IF(P87=0,"Meets / Exceeds",IF(P87=1,"Minor Gap",IF(P87=2,"Major Gap","Critical Gap")))))</x:f>
      </x:c>
      <x:c r="T87" s="24"/>
      <x:c r="U87" s="27"/>
      <x:c r="V87" s="24"/>
      <x:c r="W87" s="24"/>
      <x:c r="X87" s="24"/>
      <x:c r="Y87" s="26"/>
      <x:c r="Z87" s="31" t="str">
        <x:f>IF(B87="","",IF(Y87&lt;&gt;"",Y87,EDATE(B87,IFERROR(VLOOKUP(I87,'03 Position Requirements'!$A$6:$R$285,12,FALSE),12))))</x:f>
      </x:c>
      <x:c r="AA87" s="25" t="str">
        <x:f>IF(OR(B87="",D87="",J87=""),"",IF(COUNTIFS($D$6:$D$155,D87,$J$6:$J$155,J87,$B$6:$B$155,"&gt;"&amp;B87)=0,"Yes","No"))</x:f>
      </x:c>
      <x:c r="AB87" s="25" t="str">
        <x:f>IF(AA87="","",IF(AND(AA87="Yes",OR(P87&gt;0,AD87="Expired")),"Yes","No"))</x:f>
      </x:c>
      <x:c r="AC87" s="25" t="str">
        <x:f>IF(Z87="","",Z87-TODAY())</x:f>
      </x:c>
      <x:c r="AD87" s="25" t="str">
        <x:f>IF(A87="","",IF(O87="","Not Assessed",IF(Z87&lt;TODAY(),"Expired",IF(Z87&lt;=TODAY()+30,"Due Soon","Current"))))</x:f>
      </x:c>
      <x:c r="AE87" s="24"/>
    </x:row>
    <x:row r="88">
      <x:c r="A88" s="24"/>
      <x:c r="B88" s="26"/>
      <x:c r="C88" s="24"/>
      <x:c r="D88" s="24"/>
      <x:c r="E88" s="25" t="str">
        <x:f>IF(D88="","",IFERROR(VLOOKUP(D88,'01 Staff Master'!$A$6:$M$105,2,FALSE),"Staff ID not found"))</x:f>
      </x:c>
      <x:c r="F88" s="25" t="str">
        <x:f>IF(D88="","",IFERROR(VLOOKUP(D88,'01 Staff Master'!$A$6:$M$105,3,FALSE),""))</x:f>
      </x:c>
      <x:c r="G88" s="25" t="str">
        <x:f>IF(D88="","",IFERROR(VLOOKUP(D88,'01 Staff Master'!$A$6:$M$105,5,FALSE),""))</x:f>
      </x:c>
      <x:c r="H88" s="25" t="str">
        <x:f>IF(D88="","",IFERROR(VLOOKUP(D88,'01 Staff Master'!$A$6:$M$105,6,FALSE),""))</x:f>
      </x:c>
      <x:c r="I88" s="25" t="str">
        <x:f>IF(OR(F88="",G88="",J88=""),"",F88&amp;"|"&amp;G88&amp;"|"&amp;J88)</x:f>
      </x:c>
      <x:c r="J88" s="24"/>
      <x:c r="K88" s="25" t="str">
        <x:f>IF(J88="","",IFERROR(VLOOKUP(J88,'02 Skill Catalogue'!$A$6:$K$95,4,FALSE),"Skill ID not found"))</x:f>
      </x:c>
      <x:c r="L88" s="25" t="str">
        <x:f>IF(I88="","",IFERROR(VLOOKUP(I88,'03 Position Requirements'!$A$6:$R$285,8,FALSE),"No Requirement"))</x:f>
      </x:c>
      <x:c r="M88" s="29" t="str">
        <x:f>IF(I88="","",IFERROR(VLOOKUP(I88,'03 Position Requirements'!$A$6:$R$285,9,FALSE),""))</x:f>
      </x:c>
      <x:c r="N88" s="25" t="str">
        <x:f>IF(I88="","",IFERROR(VLOOKUP(I88,'03 Position Requirements'!$A$6:$R$285,10,FALSE),""))</x:f>
      </x:c>
      <x:c r="O88" s="24"/>
      <x:c r="P88" s="25" t="str">
        <x:f>IF(OR(N88="",O88=""),"",MAX(N88-O88,0))</x:f>
      </x:c>
      <x:c r="Q88" s="30" t="str">
        <x:f>IF(P88="","",P88*M88)</x:f>
      </x:c>
      <x:c r="R88" s="30" t="str">
        <x:f>IF(OR(P88="",L88=""),"",P88*M88*IFERROR(VLOOKUP(L88,'99 Lists'!$A$19:$B$21,2,FALSE),1))</x:f>
      </x:c>
      <x:c r="S88" s="25" t="str">
        <x:f>IF(A88="","",IF(O88="","Not Assessed",IF(P88=0,"Meets / Exceeds",IF(P88=1,"Minor Gap",IF(P88=2,"Major Gap","Critical Gap")))))</x:f>
      </x:c>
      <x:c r="T88" s="24"/>
      <x:c r="U88" s="27"/>
      <x:c r="V88" s="24"/>
      <x:c r="W88" s="24"/>
      <x:c r="X88" s="24"/>
      <x:c r="Y88" s="26"/>
      <x:c r="Z88" s="31" t="str">
        <x:f>IF(B88="","",IF(Y88&lt;&gt;"",Y88,EDATE(B88,IFERROR(VLOOKUP(I88,'03 Position Requirements'!$A$6:$R$285,12,FALSE),12))))</x:f>
      </x:c>
      <x:c r="AA88" s="25" t="str">
        <x:f>IF(OR(B88="",D88="",J88=""),"",IF(COUNTIFS($D$6:$D$155,D88,$J$6:$J$155,J88,$B$6:$B$155,"&gt;"&amp;B88)=0,"Yes","No"))</x:f>
      </x:c>
      <x:c r="AB88" s="25" t="str">
        <x:f>IF(AA88="","",IF(AND(AA88="Yes",OR(P88&gt;0,AD88="Expired")),"Yes","No"))</x:f>
      </x:c>
      <x:c r="AC88" s="25" t="str">
        <x:f>IF(Z88="","",Z88-TODAY())</x:f>
      </x:c>
      <x:c r="AD88" s="25" t="str">
        <x:f>IF(A88="","",IF(O88="","Not Assessed",IF(Z88&lt;TODAY(),"Expired",IF(Z88&lt;=TODAY()+30,"Due Soon","Current"))))</x:f>
      </x:c>
      <x:c r="AE88" s="24"/>
    </x:row>
    <x:row r="89">
      <x:c r="A89" s="24"/>
      <x:c r="B89" s="26"/>
      <x:c r="C89" s="24"/>
      <x:c r="D89" s="24"/>
      <x:c r="E89" s="25" t="str">
        <x:f>IF(D89="","",IFERROR(VLOOKUP(D89,'01 Staff Master'!$A$6:$M$105,2,FALSE),"Staff ID not found"))</x:f>
      </x:c>
      <x:c r="F89" s="25" t="str">
        <x:f>IF(D89="","",IFERROR(VLOOKUP(D89,'01 Staff Master'!$A$6:$M$105,3,FALSE),""))</x:f>
      </x:c>
      <x:c r="G89" s="25" t="str">
        <x:f>IF(D89="","",IFERROR(VLOOKUP(D89,'01 Staff Master'!$A$6:$M$105,5,FALSE),""))</x:f>
      </x:c>
      <x:c r="H89" s="25" t="str">
        <x:f>IF(D89="","",IFERROR(VLOOKUP(D89,'01 Staff Master'!$A$6:$M$105,6,FALSE),""))</x:f>
      </x:c>
      <x:c r="I89" s="25" t="str">
        <x:f>IF(OR(F89="",G89="",J89=""),"",F89&amp;"|"&amp;G89&amp;"|"&amp;J89)</x:f>
      </x:c>
      <x:c r="J89" s="24"/>
      <x:c r="K89" s="25" t="str">
        <x:f>IF(J89="","",IFERROR(VLOOKUP(J89,'02 Skill Catalogue'!$A$6:$K$95,4,FALSE),"Skill ID not found"))</x:f>
      </x:c>
      <x:c r="L89" s="25" t="str">
        <x:f>IF(I89="","",IFERROR(VLOOKUP(I89,'03 Position Requirements'!$A$6:$R$285,8,FALSE),"No Requirement"))</x:f>
      </x:c>
      <x:c r="M89" s="29" t="str">
        <x:f>IF(I89="","",IFERROR(VLOOKUP(I89,'03 Position Requirements'!$A$6:$R$285,9,FALSE),""))</x:f>
      </x:c>
      <x:c r="N89" s="25" t="str">
        <x:f>IF(I89="","",IFERROR(VLOOKUP(I89,'03 Position Requirements'!$A$6:$R$285,10,FALSE),""))</x:f>
      </x:c>
      <x:c r="O89" s="24"/>
      <x:c r="P89" s="25" t="str">
        <x:f>IF(OR(N89="",O89=""),"",MAX(N89-O89,0))</x:f>
      </x:c>
      <x:c r="Q89" s="30" t="str">
        <x:f>IF(P89="","",P89*M89)</x:f>
      </x:c>
      <x:c r="R89" s="30" t="str">
        <x:f>IF(OR(P89="",L89=""),"",P89*M89*IFERROR(VLOOKUP(L89,'99 Lists'!$A$19:$B$21,2,FALSE),1))</x:f>
      </x:c>
      <x:c r="S89" s="25" t="str">
        <x:f>IF(A89="","",IF(O89="","Not Assessed",IF(P89=0,"Meets / Exceeds",IF(P89=1,"Minor Gap",IF(P89=2,"Major Gap","Critical Gap")))))</x:f>
      </x:c>
      <x:c r="T89" s="24"/>
      <x:c r="U89" s="27"/>
      <x:c r="V89" s="24"/>
      <x:c r="W89" s="24"/>
      <x:c r="X89" s="24"/>
      <x:c r="Y89" s="26"/>
      <x:c r="Z89" s="31" t="str">
        <x:f>IF(B89="","",IF(Y89&lt;&gt;"",Y89,EDATE(B89,IFERROR(VLOOKUP(I89,'03 Position Requirements'!$A$6:$R$285,12,FALSE),12))))</x:f>
      </x:c>
      <x:c r="AA89" s="25" t="str">
        <x:f>IF(OR(B89="",D89="",J89=""),"",IF(COUNTIFS($D$6:$D$155,D89,$J$6:$J$155,J89,$B$6:$B$155,"&gt;"&amp;B89)=0,"Yes","No"))</x:f>
      </x:c>
      <x:c r="AB89" s="25" t="str">
        <x:f>IF(AA89="","",IF(AND(AA89="Yes",OR(P89&gt;0,AD89="Expired")),"Yes","No"))</x:f>
      </x:c>
      <x:c r="AC89" s="25" t="str">
        <x:f>IF(Z89="","",Z89-TODAY())</x:f>
      </x:c>
      <x:c r="AD89" s="25" t="str">
        <x:f>IF(A89="","",IF(O89="","Not Assessed",IF(Z89&lt;TODAY(),"Expired",IF(Z89&lt;=TODAY()+30,"Due Soon","Current"))))</x:f>
      </x:c>
      <x:c r="AE89" s="24"/>
    </x:row>
    <x:row r="90">
      <x:c r="A90" s="24"/>
      <x:c r="B90" s="26"/>
      <x:c r="C90" s="24"/>
      <x:c r="D90" s="24"/>
      <x:c r="E90" s="25" t="str">
        <x:f>IF(D90="","",IFERROR(VLOOKUP(D90,'01 Staff Master'!$A$6:$M$105,2,FALSE),"Staff ID not found"))</x:f>
      </x:c>
      <x:c r="F90" s="25" t="str">
        <x:f>IF(D90="","",IFERROR(VLOOKUP(D90,'01 Staff Master'!$A$6:$M$105,3,FALSE),""))</x:f>
      </x:c>
      <x:c r="G90" s="25" t="str">
        <x:f>IF(D90="","",IFERROR(VLOOKUP(D90,'01 Staff Master'!$A$6:$M$105,5,FALSE),""))</x:f>
      </x:c>
      <x:c r="H90" s="25" t="str">
        <x:f>IF(D90="","",IFERROR(VLOOKUP(D90,'01 Staff Master'!$A$6:$M$105,6,FALSE),""))</x:f>
      </x:c>
      <x:c r="I90" s="25" t="str">
        <x:f>IF(OR(F90="",G90="",J90=""),"",F90&amp;"|"&amp;G90&amp;"|"&amp;J90)</x:f>
      </x:c>
      <x:c r="J90" s="24"/>
      <x:c r="K90" s="25" t="str">
        <x:f>IF(J90="","",IFERROR(VLOOKUP(J90,'02 Skill Catalogue'!$A$6:$K$95,4,FALSE),"Skill ID not found"))</x:f>
      </x:c>
      <x:c r="L90" s="25" t="str">
        <x:f>IF(I90="","",IFERROR(VLOOKUP(I90,'03 Position Requirements'!$A$6:$R$285,8,FALSE),"No Requirement"))</x:f>
      </x:c>
      <x:c r="M90" s="29" t="str">
        <x:f>IF(I90="","",IFERROR(VLOOKUP(I90,'03 Position Requirements'!$A$6:$R$285,9,FALSE),""))</x:f>
      </x:c>
      <x:c r="N90" s="25" t="str">
        <x:f>IF(I90="","",IFERROR(VLOOKUP(I90,'03 Position Requirements'!$A$6:$R$285,10,FALSE),""))</x:f>
      </x:c>
      <x:c r="O90" s="24"/>
      <x:c r="P90" s="25" t="str">
        <x:f>IF(OR(N90="",O90=""),"",MAX(N90-O90,0))</x:f>
      </x:c>
      <x:c r="Q90" s="30" t="str">
        <x:f>IF(P90="","",P90*M90)</x:f>
      </x:c>
      <x:c r="R90" s="30" t="str">
        <x:f>IF(OR(P90="",L90=""),"",P90*M90*IFERROR(VLOOKUP(L90,'99 Lists'!$A$19:$B$21,2,FALSE),1))</x:f>
      </x:c>
      <x:c r="S90" s="25" t="str">
        <x:f>IF(A90="","",IF(O90="","Not Assessed",IF(P90=0,"Meets / Exceeds",IF(P90=1,"Minor Gap",IF(P90=2,"Major Gap","Critical Gap")))))</x:f>
      </x:c>
      <x:c r="T90" s="24"/>
      <x:c r="U90" s="27"/>
      <x:c r="V90" s="24"/>
      <x:c r="W90" s="24"/>
      <x:c r="X90" s="24"/>
      <x:c r="Y90" s="26"/>
      <x:c r="Z90" s="31" t="str">
        <x:f>IF(B90="","",IF(Y90&lt;&gt;"",Y90,EDATE(B90,IFERROR(VLOOKUP(I90,'03 Position Requirements'!$A$6:$R$285,12,FALSE),12))))</x:f>
      </x:c>
      <x:c r="AA90" s="25" t="str">
        <x:f>IF(OR(B90="",D90="",J90=""),"",IF(COUNTIFS($D$6:$D$155,D90,$J$6:$J$155,J90,$B$6:$B$155,"&gt;"&amp;B90)=0,"Yes","No"))</x:f>
      </x:c>
      <x:c r="AB90" s="25" t="str">
        <x:f>IF(AA90="","",IF(AND(AA90="Yes",OR(P90&gt;0,AD90="Expired")),"Yes","No"))</x:f>
      </x:c>
      <x:c r="AC90" s="25" t="str">
        <x:f>IF(Z90="","",Z90-TODAY())</x:f>
      </x:c>
      <x:c r="AD90" s="25" t="str">
        <x:f>IF(A90="","",IF(O90="","Not Assessed",IF(Z90&lt;TODAY(),"Expired",IF(Z90&lt;=TODAY()+30,"Due Soon","Current"))))</x:f>
      </x:c>
      <x:c r="AE90" s="24"/>
    </x:row>
    <x:row r="91">
      <x:c r="A91" s="24"/>
      <x:c r="B91" s="26"/>
      <x:c r="C91" s="24"/>
      <x:c r="D91" s="24"/>
      <x:c r="E91" s="25" t="str">
        <x:f>IF(D91="","",IFERROR(VLOOKUP(D91,'01 Staff Master'!$A$6:$M$105,2,FALSE),"Staff ID not found"))</x:f>
      </x:c>
      <x:c r="F91" s="25" t="str">
        <x:f>IF(D91="","",IFERROR(VLOOKUP(D91,'01 Staff Master'!$A$6:$M$105,3,FALSE),""))</x:f>
      </x:c>
      <x:c r="G91" s="25" t="str">
        <x:f>IF(D91="","",IFERROR(VLOOKUP(D91,'01 Staff Master'!$A$6:$M$105,5,FALSE),""))</x:f>
      </x:c>
      <x:c r="H91" s="25" t="str">
        <x:f>IF(D91="","",IFERROR(VLOOKUP(D91,'01 Staff Master'!$A$6:$M$105,6,FALSE),""))</x:f>
      </x:c>
      <x:c r="I91" s="25" t="str">
        <x:f>IF(OR(F91="",G91="",J91=""),"",F91&amp;"|"&amp;G91&amp;"|"&amp;J91)</x:f>
      </x:c>
      <x:c r="J91" s="24"/>
      <x:c r="K91" s="25" t="str">
        <x:f>IF(J91="","",IFERROR(VLOOKUP(J91,'02 Skill Catalogue'!$A$6:$K$95,4,FALSE),"Skill ID not found"))</x:f>
      </x:c>
      <x:c r="L91" s="25" t="str">
        <x:f>IF(I91="","",IFERROR(VLOOKUP(I91,'03 Position Requirements'!$A$6:$R$285,8,FALSE),"No Requirement"))</x:f>
      </x:c>
      <x:c r="M91" s="29" t="str">
        <x:f>IF(I91="","",IFERROR(VLOOKUP(I91,'03 Position Requirements'!$A$6:$R$285,9,FALSE),""))</x:f>
      </x:c>
      <x:c r="N91" s="25" t="str">
        <x:f>IF(I91="","",IFERROR(VLOOKUP(I91,'03 Position Requirements'!$A$6:$R$285,10,FALSE),""))</x:f>
      </x:c>
      <x:c r="O91" s="24"/>
      <x:c r="P91" s="25" t="str">
        <x:f>IF(OR(N91="",O91=""),"",MAX(N91-O91,0))</x:f>
      </x:c>
      <x:c r="Q91" s="30" t="str">
        <x:f>IF(P91="","",P91*M91)</x:f>
      </x:c>
      <x:c r="R91" s="30" t="str">
        <x:f>IF(OR(P91="",L91=""),"",P91*M91*IFERROR(VLOOKUP(L91,'99 Lists'!$A$19:$B$21,2,FALSE),1))</x:f>
      </x:c>
      <x:c r="S91" s="25" t="str">
        <x:f>IF(A91="","",IF(O91="","Not Assessed",IF(P91=0,"Meets / Exceeds",IF(P91=1,"Minor Gap",IF(P91=2,"Major Gap","Critical Gap")))))</x:f>
      </x:c>
      <x:c r="T91" s="24"/>
      <x:c r="U91" s="27"/>
      <x:c r="V91" s="24"/>
      <x:c r="W91" s="24"/>
      <x:c r="X91" s="24"/>
      <x:c r="Y91" s="26"/>
      <x:c r="Z91" s="31" t="str">
        <x:f>IF(B91="","",IF(Y91&lt;&gt;"",Y91,EDATE(B91,IFERROR(VLOOKUP(I91,'03 Position Requirements'!$A$6:$R$285,12,FALSE),12))))</x:f>
      </x:c>
      <x:c r="AA91" s="25" t="str">
        <x:f>IF(OR(B91="",D91="",J91=""),"",IF(COUNTIFS($D$6:$D$155,D91,$J$6:$J$155,J91,$B$6:$B$155,"&gt;"&amp;B91)=0,"Yes","No"))</x:f>
      </x:c>
      <x:c r="AB91" s="25" t="str">
        <x:f>IF(AA91="","",IF(AND(AA91="Yes",OR(P91&gt;0,AD91="Expired")),"Yes","No"))</x:f>
      </x:c>
      <x:c r="AC91" s="25" t="str">
        <x:f>IF(Z91="","",Z91-TODAY())</x:f>
      </x:c>
      <x:c r="AD91" s="25" t="str">
        <x:f>IF(A91="","",IF(O91="","Not Assessed",IF(Z91&lt;TODAY(),"Expired",IF(Z91&lt;=TODAY()+30,"Due Soon","Current"))))</x:f>
      </x:c>
      <x:c r="AE91" s="24"/>
    </x:row>
    <x:row r="92">
      <x:c r="A92" s="24"/>
      <x:c r="B92" s="26"/>
      <x:c r="C92" s="24"/>
      <x:c r="D92" s="24"/>
      <x:c r="E92" s="25" t="str">
        <x:f>IF(D92="","",IFERROR(VLOOKUP(D92,'01 Staff Master'!$A$6:$M$105,2,FALSE),"Staff ID not found"))</x:f>
      </x:c>
      <x:c r="F92" s="25" t="str">
        <x:f>IF(D92="","",IFERROR(VLOOKUP(D92,'01 Staff Master'!$A$6:$M$105,3,FALSE),""))</x:f>
      </x:c>
      <x:c r="G92" s="25" t="str">
        <x:f>IF(D92="","",IFERROR(VLOOKUP(D92,'01 Staff Master'!$A$6:$M$105,5,FALSE),""))</x:f>
      </x:c>
      <x:c r="H92" s="25" t="str">
        <x:f>IF(D92="","",IFERROR(VLOOKUP(D92,'01 Staff Master'!$A$6:$M$105,6,FALSE),""))</x:f>
      </x:c>
      <x:c r="I92" s="25" t="str">
        <x:f>IF(OR(F92="",G92="",J92=""),"",F92&amp;"|"&amp;G92&amp;"|"&amp;J92)</x:f>
      </x:c>
      <x:c r="J92" s="24"/>
      <x:c r="K92" s="25" t="str">
        <x:f>IF(J92="","",IFERROR(VLOOKUP(J92,'02 Skill Catalogue'!$A$6:$K$95,4,FALSE),"Skill ID not found"))</x:f>
      </x:c>
      <x:c r="L92" s="25" t="str">
        <x:f>IF(I92="","",IFERROR(VLOOKUP(I92,'03 Position Requirements'!$A$6:$R$285,8,FALSE),"No Requirement"))</x:f>
      </x:c>
      <x:c r="M92" s="29" t="str">
        <x:f>IF(I92="","",IFERROR(VLOOKUP(I92,'03 Position Requirements'!$A$6:$R$285,9,FALSE),""))</x:f>
      </x:c>
      <x:c r="N92" s="25" t="str">
        <x:f>IF(I92="","",IFERROR(VLOOKUP(I92,'03 Position Requirements'!$A$6:$R$285,10,FALSE),""))</x:f>
      </x:c>
      <x:c r="O92" s="24"/>
      <x:c r="P92" s="25" t="str">
        <x:f>IF(OR(N92="",O92=""),"",MAX(N92-O92,0))</x:f>
      </x:c>
      <x:c r="Q92" s="30" t="str">
        <x:f>IF(P92="","",P92*M92)</x:f>
      </x:c>
      <x:c r="R92" s="30" t="str">
        <x:f>IF(OR(P92="",L92=""),"",P92*M92*IFERROR(VLOOKUP(L92,'99 Lists'!$A$19:$B$21,2,FALSE),1))</x:f>
      </x:c>
      <x:c r="S92" s="25" t="str">
        <x:f>IF(A92="","",IF(O92="","Not Assessed",IF(P92=0,"Meets / Exceeds",IF(P92=1,"Minor Gap",IF(P92=2,"Major Gap","Critical Gap")))))</x:f>
      </x:c>
      <x:c r="T92" s="24"/>
      <x:c r="U92" s="27"/>
      <x:c r="V92" s="24"/>
      <x:c r="W92" s="24"/>
      <x:c r="X92" s="24"/>
      <x:c r="Y92" s="26"/>
      <x:c r="Z92" s="31" t="str">
        <x:f>IF(B92="","",IF(Y92&lt;&gt;"",Y92,EDATE(B92,IFERROR(VLOOKUP(I92,'03 Position Requirements'!$A$6:$R$285,12,FALSE),12))))</x:f>
      </x:c>
      <x:c r="AA92" s="25" t="str">
        <x:f>IF(OR(B92="",D92="",J92=""),"",IF(COUNTIFS($D$6:$D$155,D92,$J$6:$J$155,J92,$B$6:$B$155,"&gt;"&amp;B92)=0,"Yes","No"))</x:f>
      </x:c>
      <x:c r="AB92" s="25" t="str">
        <x:f>IF(AA92="","",IF(AND(AA92="Yes",OR(P92&gt;0,AD92="Expired")),"Yes","No"))</x:f>
      </x:c>
      <x:c r="AC92" s="25" t="str">
        <x:f>IF(Z92="","",Z92-TODAY())</x:f>
      </x:c>
      <x:c r="AD92" s="25" t="str">
        <x:f>IF(A92="","",IF(O92="","Not Assessed",IF(Z92&lt;TODAY(),"Expired",IF(Z92&lt;=TODAY()+30,"Due Soon","Current"))))</x:f>
      </x:c>
      <x:c r="AE92" s="24"/>
    </x:row>
    <x:row r="93">
      <x:c r="A93" s="24"/>
      <x:c r="B93" s="26"/>
      <x:c r="C93" s="24"/>
      <x:c r="D93" s="24"/>
      <x:c r="E93" s="25" t="str">
        <x:f>IF(D93="","",IFERROR(VLOOKUP(D93,'01 Staff Master'!$A$6:$M$105,2,FALSE),"Staff ID not found"))</x:f>
      </x:c>
      <x:c r="F93" s="25" t="str">
        <x:f>IF(D93="","",IFERROR(VLOOKUP(D93,'01 Staff Master'!$A$6:$M$105,3,FALSE),""))</x:f>
      </x:c>
      <x:c r="G93" s="25" t="str">
        <x:f>IF(D93="","",IFERROR(VLOOKUP(D93,'01 Staff Master'!$A$6:$M$105,5,FALSE),""))</x:f>
      </x:c>
      <x:c r="H93" s="25" t="str">
        <x:f>IF(D93="","",IFERROR(VLOOKUP(D93,'01 Staff Master'!$A$6:$M$105,6,FALSE),""))</x:f>
      </x:c>
      <x:c r="I93" s="25" t="str">
        <x:f>IF(OR(F93="",G93="",J93=""),"",F93&amp;"|"&amp;G93&amp;"|"&amp;J93)</x:f>
      </x:c>
      <x:c r="J93" s="24"/>
      <x:c r="K93" s="25" t="str">
        <x:f>IF(J93="","",IFERROR(VLOOKUP(J93,'02 Skill Catalogue'!$A$6:$K$95,4,FALSE),"Skill ID not found"))</x:f>
      </x:c>
      <x:c r="L93" s="25" t="str">
        <x:f>IF(I93="","",IFERROR(VLOOKUP(I93,'03 Position Requirements'!$A$6:$R$285,8,FALSE),"No Requirement"))</x:f>
      </x:c>
      <x:c r="M93" s="29" t="str">
        <x:f>IF(I93="","",IFERROR(VLOOKUP(I93,'03 Position Requirements'!$A$6:$R$285,9,FALSE),""))</x:f>
      </x:c>
      <x:c r="N93" s="25" t="str">
        <x:f>IF(I93="","",IFERROR(VLOOKUP(I93,'03 Position Requirements'!$A$6:$R$285,10,FALSE),""))</x:f>
      </x:c>
      <x:c r="O93" s="24"/>
      <x:c r="P93" s="25" t="str">
        <x:f>IF(OR(N93="",O93=""),"",MAX(N93-O93,0))</x:f>
      </x:c>
      <x:c r="Q93" s="30" t="str">
        <x:f>IF(P93="","",P93*M93)</x:f>
      </x:c>
      <x:c r="R93" s="30" t="str">
        <x:f>IF(OR(P93="",L93=""),"",P93*M93*IFERROR(VLOOKUP(L93,'99 Lists'!$A$19:$B$21,2,FALSE),1))</x:f>
      </x:c>
      <x:c r="S93" s="25" t="str">
        <x:f>IF(A93="","",IF(O93="","Not Assessed",IF(P93=0,"Meets / Exceeds",IF(P93=1,"Minor Gap",IF(P93=2,"Major Gap","Critical Gap")))))</x:f>
      </x:c>
      <x:c r="T93" s="24"/>
      <x:c r="U93" s="27"/>
      <x:c r="V93" s="24"/>
      <x:c r="W93" s="24"/>
      <x:c r="X93" s="24"/>
      <x:c r="Y93" s="26"/>
      <x:c r="Z93" s="31" t="str">
        <x:f>IF(B93="","",IF(Y93&lt;&gt;"",Y93,EDATE(B93,IFERROR(VLOOKUP(I93,'03 Position Requirements'!$A$6:$R$285,12,FALSE),12))))</x:f>
      </x:c>
      <x:c r="AA93" s="25" t="str">
        <x:f>IF(OR(B93="",D93="",J93=""),"",IF(COUNTIFS($D$6:$D$155,D93,$J$6:$J$155,J93,$B$6:$B$155,"&gt;"&amp;B93)=0,"Yes","No"))</x:f>
      </x:c>
      <x:c r="AB93" s="25" t="str">
        <x:f>IF(AA93="","",IF(AND(AA93="Yes",OR(P93&gt;0,AD93="Expired")),"Yes","No"))</x:f>
      </x:c>
      <x:c r="AC93" s="25" t="str">
        <x:f>IF(Z93="","",Z93-TODAY())</x:f>
      </x:c>
      <x:c r="AD93" s="25" t="str">
        <x:f>IF(A93="","",IF(O93="","Not Assessed",IF(Z93&lt;TODAY(),"Expired",IF(Z93&lt;=TODAY()+30,"Due Soon","Current"))))</x:f>
      </x:c>
      <x:c r="AE93" s="24"/>
    </x:row>
    <x:row r="94">
      <x:c r="A94" s="24"/>
      <x:c r="B94" s="26"/>
      <x:c r="C94" s="24"/>
      <x:c r="D94" s="24"/>
      <x:c r="E94" s="25" t="str">
        <x:f>IF(D94="","",IFERROR(VLOOKUP(D94,'01 Staff Master'!$A$6:$M$105,2,FALSE),"Staff ID not found"))</x:f>
      </x:c>
      <x:c r="F94" s="25" t="str">
        <x:f>IF(D94="","",IFERROR(VLOOKUP(D94,'01 Staff Master'!$A$6:$M$105,3,FALSE),""))</x:f>
      </x:c>
      <x:c r="G94" s="25" t="str">
        <x:f>IF(D94="","",IFERROR(VLOOKUP(D94,'01 Staff Master'!$A$6:$M$105,5,FALSE),""))</x:f>
      </x:c>
      <x:c r="H94" s="25" t="str">
        <x:f>IF(D94="","",IFERROR(VLOOKUP(D94,'01 Staff Master'!$A$6:$M$105,6,FALSE),""))</x:f>
      </x:c>
      <x:c r="I94" s="25" t="str">
        <x:f>IF(OR(F94="",G94="",J94=""),"",F94&amp;"|"&amp;G94&amp;"|"&amp;J94)</x:f>
      </x:c>
      <x:c r="J94" s="24"/>
      <x:c r="K94" s="25" t="str">
        <x:f>IF(J94="","",IFERROR(VLOOKUP(J94,'02 Skill Catalogue'!$A$6:$K$95,4,FALSE),"Skill ID not found"))</x:f>
      </x:c>
      <x:c r="L94" s="25" t="str">
        <x:f>IF(I94="","",IFERROR(VLOOKUP(I94,'03 Position Requirements'!$A$6:$R$285,8,FALSE),"No Requirement"))</x:f>
      </x:c>
      <x:c r="M94" s="29" t="str">
        <x:f>IF(I94="","",IFERROR(VLOOKUP(I94,'03 Position Requirements'!$A$6:$R$285,9,FALSE),""))</x:f>
      </x:c>
      <x:c r="N94" s="25" t="str">
        <x:f>IF(I94="","",IFERROR(VLOOKUP(I94,'03 Position Requirements'!$A$6:$R$285,10,FALSE),""))</x:f>
      </x:c>
      <x:c r="O94" s="24"/>
      <x:c r="P94" s="25" t="str">
        <x:f>IF(OR(N94="",O94=""),"",MAX(N94-O94,0))</x:f>
      </x:c>
      <x:c r="Q94" s="30" t="str">
        <x:f>IF(P94="","",P94*M94)</x:f>
      </x:c>
      <x:c r="R94" s="30" t="str">
        <x:f>IF(OR(P94="",L94=""),"",P94*M94*IFERROR(VLOOKUP(L94,'99 Lists'!$A$19:$B$21,2,FALSE),1))</x:f>
      </x:c>
      <x:c r="S94" s="25" t="str">
        <x:f>IF(A94="","",IF(O94="","Not Assessed",IF(P94=0,"Meets / Exceeds",IF(P94=1,"Minor Gap",IF(P94=2,"Major Gap","Critical Gap")))))</x:f>
      </x:c>
      <x:c r="T94" s="24"/>
      <x:c r="U94" s="27"/>
      <x:c r="V94" s="24"/>
      <x:c r="W94" s="24"/>
      <x:c r="X94" s="24"/>
      <x:c r="Y94" s="26"/>
      <x:c r="Z94" s="31" t="str">
        <x:f>IF(B94="","",IF(Y94&lt;&gt;"",Y94,EDATE(B94,IFERROR(VLOOKUP(I94,'03 Position Requirements'!$A$6:$R$285,12,FALSE),12))))</x:f>
      </x:c>
      <x:c r="AA94" s="25" t="str">
        <x:f>IF(OR(B94="",D94="",J94=""),"",IF(COUNTIFS($D$6:$D$155,D94,$J$6:$J$155,J94,$B$6:$B$155,"&gt;"&amp;B94)=0,"Yes","No"))</x:f>
      </x:c>
      <x:c r="AB94" s="25" t="str">
        <x:f>IF(AA94="","",IF(AND(AA94="Yes",OR(P94&gt;0,AD94="Expired")),"Yes","No"))</x:f>
      </x:c>
      <x:c r="AC94" s="25" t="str">
        <x:f>IF(Z94="","",Z94-TODAY())</x:f>
      </x:c>
      <x:c r="AD94" s="25" t="str">
        <x:f>IF(A94="","",IF(O94="","Not Assessed",IF(Z94&lt;TODAY(),"Expired",IF(Z94&lt;=TODAY()+30,"Due Soon","Current"))))</x:f>
      </x:c>
      <x:c r="AE94" s="24"/>
    </x:row>
    <x:row r="95">
      <x:c r="A95" s="24"/>
      <x:c r="B95" s="26"/>
      <x:c r="C95" s="24"/>
      <x:c r="D95" s="24"/>
      <x:c r="E95" s="25" t="str">
        <x:f>IF(D95="","",IFERROR(VLOOKUP(D95,'01 Staff Master'!$A$6:$M$105,2,FALSE),"Staff ID not found"))</x:f>
      </x:c>
      <x:c r="F95" s="25" t="str">
        <x:f>IF(D95="","",IFERROR(VLOOKUP(D95,'01 Staff Master'!$A$6:$M$105,3,FALSE),""))</x:f>
      </x:c>
      <x:c r="G95" s="25" t="str">
        <x:f>IF(D95="","",IFERROR(VLOOKUP(D95,'01 Staff Master'!$A$6:$M$105,5,FALSE),""))</x:f>
      </x:c>
      <x:c r="H95" s="25" t="str">
        <x:f>IF(D95="","",IFERROR(VLOOKUP(D95,'01 Staff Master'!$A$6:$M$105,6,FALSE),""))</x:f>
      </x:c>
      <x:c r="I95" s="25" t="str">
        <x:f>IF(OR(F95="",G95="",J95=""),"",F95&amp;"|"&amp;G95&amp;"|"&amp;J95)</x:f>
      </x:c>
      <x:c r="J95" s="24"/>
      <x:c r="K95" s="25" t="str">
        <x:f>IF(J95="","",IFERROR(VLOOKUP(J95,'02 Skill Catalogue'!$A$6:$K$95,4,FALSE),"Skill ID not found"))</x:f>
      </x:c>
      <x:c r="L95" s="25" t="str">
        <x:f>IF(I95="","",IFERROR(VLOOKUP(I95,'03 Position Requirements'!$A$6:$R$285,8,FALSE),"No Requirement"))</x:f>
      </x:c>
      <x:c r="M95" s="29" t="str">
        <x:f>IF(I95="","",IFERROR(VLOOKUP(I95,'03 Position Requirements'!$A$6:$R$285,9,FALSE),""))</x:f>
      </x:c>
      <x:c r="N95" s="25" t="str">
        <x:f>IF(I95="","",IFERROR(VLOOKUP(I95,'03 Position Requirements'!$A$6:$R$285,10,FALSE),""))</x:f>
      </x:c>
      <x:c r="O95" s="24"/>
      <x:c r="P95" s="25" t="str">
        <x:f>IF(OR(N95="",O95=""),"",MAX(N95-O95,0))</x:f>
      </x:c>
      <x:c r="Q95" s="30" t="str">
        <x:f>IF(P95="","",P95*M95)</x:f>
      </x:c>
      <x:c r="R95" s="30" t="str">
        <x:f>IF(OR(P95="",L95=""),"",P95*M95*IFERROR(VLOOKUP(L95,'99 Lists'!$A$19:$B$21,2,FALSE),1))</x:f>
      </x:c>
      <x:c r="S95" s="25" t="str">
        <x:f>IF(A95="","",IF(O95="","Not Assessed",IF(P95=0,"Meets / Exceeds",IF(P95=1,"Minor Gap",IF(P95=2,"Major Gap","Critical Gap")))))</x:f>
      </x:c>
      <x:c r="T95" s="24"/>
      <x:c r="U95" s="27"/>
      <x:c r="V95" s="24"/>
      <x:c r="W95" s="24"/>
      <x:c r="X95" s="24"/>
      <x:c r="Y95" s="26"/>
      <x:c r="Z95" s="31" t="str">
        <x:f>IF(B95="","",IF(Y95&lt;&gt;"",Y95,EDATE(B95,IFERROR(VLOOKUP(I95,'03 Position Requirements'!$A$6:$R$285,12,FALSE),12))))</x:f>
      </x:c>
      <x:c r="AA95" s="25" t="str">
        <x:f>IF(OR(B95="",D95="",J95=""),"",IF(COUNTIFS($D$6:$D$155,D95,$J$6:$J$155,J95,$B$6:$B$155,"&gt;"&amp;B95)=0,"Yes","No"))</x:f>
      </x:c>
      <x:c r="AB95" s="25" t="str">
        <x:f>IF(AA95="","",IF(AND(AA95="Yes",OR(P95&gt;0,AD95="Expired")),"Yes","No"))</x:f>
      </x:c>
      <x:c r="AC95" s="25" t="str">
        <x:f>IF(Z95="","",Z95-TODAY())</x:f>
      </x:c>
      <x:c r="AD95" s="25" t="str">
        <x:f>IF(A95="","",IF(O95="","Not Assessed",IF(Z95&lt;TODAY(),"Expired",IF(Z95&lt;=TODAY()+30,"Due Soon","Current"))))</x:f>
      </x:c>
      <x:c r="AE95" s="24"/>
    </x:row>
    <x:row r="96">
      <x:c r="A96" s="24"/>
      <x:c r="B96" s="26"/>
      <x:c r="C96" s="24"/>
      <x:c r="D96" s="24"/>
      <x:c r="E96" s="25" t="str">
        <x:f>IF(D96="","",IFERROR(VLOOKUP(D96,'01 Staff Master'!$A$6:$M$105,2,FALSE),"Staff ID not found"))</x:f>
      </x:c>
      <x:c r="F96" s="25" t="str">
        <x:f>IF(D96="","",IFERROR(VLOOKUP(D96,'01 Staff Master'!$A$6:$M$105,3,FALSE),""))</x:f>
      </x:c>
      <x:c r="G96" s="25" t="str">
        <x:f>IF(D96="","",IFERROR(VLOOKUP(D96,'01 Staff Master'!$A$6:$M$105,5,FALSE),""))</x:f>
      </x:c>
      <x:c r="H96" s="25" t="str">
        <x:f>IF(D96="","",IFERROR(VLOOKUP(D96,'01 Staff Master'!$A$6:$M$105,6,FALSE),""))</x:f>
      </x:c>
      <x:c r="I96" s="25" t="str">
        <x:f>IF(OR(F96="",G96="",J96=""),"",F96&amp;"|"&amp;G96&amp;"|"&amp;J96)</x:f>
      </x:c>
      <x:c r="J96" s="24"/>
      <x:c r="K96" s="25" t="str">
        <x:f>IF(J96="","",IFERROR(VLOOKUP(J96,'02 Skill Catalogue'!$A$6:$K$95,4,FALSE),"Skill ID not found"))</x:f>
      </x:c>
      <x:c r="L96" s="25" t="str">
        <x:f>IF(I96="","",IFERROR(VLOOKUP(I96,'03 Position Requirements'!$A$6:$R$285,8,FALSE),"No Requirement"))</x:f>
      </x:c>
      <x:c r="M96" s="29" t="str">
        <x:f>IF(I96="","",IFERROR(VLOOKUP(I96,'03 Position Requirements'!$A$6:$R$285,9,FALSE),""))</x:f>
      </x:c>
      <x:c r="N96" s="25" t="str">
        <x:f>IF(I96="","",IFERROR(VLOOKUP(I96,'03 Position Requirements'!$A$6:$R$285,10,FALSE),""))</x:f>
      </x:c>
      <x:c r="O96" s="24"/>
      <x:c r="P96" s="25" t="str">
        <x:f>IF(OR(N96="",O96=""),"",MAX(N96-O96,0))</x:f>
      </x:c>
      <x:c r="Q96" s="30" t="str">
        <x:f>IF(P96="","",P96*M96)</x:f>
      </x:c>
      <x:c r="R96" s="30" t="str">
        <x:f>IF(OR(P96="",L96=""),"",P96*M96*IFERROR(VLOOKUP(L96,'99 Lists'!$A$19:$B$21,2,FALSE),1))</x:f>
      </x:c>
      <x:c r="S96" s="25" t="str">
        <x:f>IF(A96="","",IF(O96="","Not Assessed",IF(P96=0,"Meets / Exceeds",IF(P96=1,"Minor Gap",IF(P96=2,"Major Gap","Critical Gap")))))</x:f>
      </x:c>
      <x:c r="T96" s="24"/>
      <x:c r="U96" s="27"/>
      <x:c r="V96" s="24"/>
      <x:c r="W96" s="24"/>
      <x:c r="X96" s="24"/>
      <x:c r="Y96" s="26"/>
      <x:c r="Z96" s="31" t="str">
        <x:f>IF(B96="","",IF(Y96&lt;&gt;"",Y96,EDATE(B96,IFERROR(VLOOKUP(I96,'03 Position Requirements'!$A$6:$R$285,12,FALSE),12))))</x:f>
      </x:c>
      <x:c r="AA96" s="25" t="str">
        <x:f>IF(OR(B96="",D96="",J96=""),"",IF(COUNTIFS($D$6:$D$155,D96,$J$6:$J$155,J96,$B$6:$B$155,"&gt;"&amp;B96)=0,"Yes","No"))</x:f>
      </x:c>
      <x:c r="AB96" s="25" t="str">
        <x:f>IF(AA96="","",IF(AND(AA96="Yes",OR(P96&gt;0,AD96="Expired")),"Yes","No"))</x:f>
      </x:c>
      <x:c r="AC96" s="25" t="str">
        <x:f>IF(Z96="","",Z96-TODAY())</x:f>
      </x:c>
      <x:c r="AD96" s="25" t="str">
        <x:f>IF(A96="","",IF(O96="","Not Assessed",IF(Z96&lt;TODAY(),"Expired",IF(Z96&lt;=TODAY()+30,"Due Soon","Current"))))</x:f>
      </x:c>
      <x:c r="AE96" s="24"/>
    </x:row>
    <x:row r="97">
      <x:c r="A97" s="24"/>
      <x:c r="B97" s="26"/>
      <x:c r="C97" s="24"/>
      <x:c r="D97" s="24"/>
      <x:c r="E97" s="25" t="str">
        <x:f>IF(D97="","",IFERROR(VLOOKUP(D97,'01 Staff Master'!$A$6:$M$105,2,FALSE),"Staff ID not found"))</x:f>
      </x:c>
      <x:c r="F97" s="25" t="str">
        <x:f>IF(D97="","",IFERROR(VLOOKUP(D97,'01 Staff Master'!$A$6:$M$105,3,FALSE),""))</x:f>
      </x:c>
      <x:c r="G97" s="25" t="str">
        <x:f>IF(D97="","",IFERROR(VLOOKUP(D97,'01 Staff Master'!$A$6:$M$105,5,FALSE),""))</x:f>
      </x:c>
      <x:c r="H97" s="25" t="str">
        <x:f>IF(D97="","",IFERROR(VLOOKUP(D97,'01 Staff Master'!$A$6:$M$105,6,FALSE),""))</x:f>
      </x:c>
      <x:c r="I97" s="25" t="str">
        <x:f>IF(OR(F97="",G97="",J97=""),"",F97&amp;"|"&amp;G97&amp;"|"&amp;J97)</x:f>
      </x:c>
      <x:c r="J97" s="24"/>
      <x:c r="K97" s="25" t="str">
        <x:f>IF(J97="","",IFERROR(VLOOKUP(J97,'02 Skill Catalogue'!$A$6:$K$95,4,FALSE),"Skill ID not found"))</x:f>
      </x:c>
      <x:c r="L97" s="25" t="str">
        <x:f>IF(I97="","",IFERROR(VLOOKUP(I97,'03 Position Requirements'!$A$6:$R$285,8,FALSE),"No Requirement"))</x:f>
      </x:c>
      <x:c r="M97" s="29" t="str">
        <x:f>IF(I97="","",IFERROR(VLOOKUP(I97,'03 Position Requirements'!$A$6:$R$285,9,FALSE),""))</x:f>
      </x:c>
      <x:c r="N97" s="25" t="str">
        <x:f>IF(I97="","",IFERROR(VLOOKUP(I97,'03 Position Requirements'!$A$6:$R$285,10,FALSE),""))</x:f>
      </x:c>
      <x:c r="O97" s="24"/>
      <x:c r="P97" s="25" t="str">
        <x:f>IF(OR(N97="",O97=""),"",MAX(N97-O97,0))</x:f>
      </x:c>
      <x:c r="Q97" s="30" t="str">
        <x:f>IF(P97="","",P97*M97)</x:f>
      </x:c>
      <x:c r="R97" s="30" t="str">
        <x:f>IF(OR(P97="",L97=""),"",P97*M97*IFERROR(VLOOKUP(L97,'99 Lists'!$A$19:$B$21,2,FALSE),1))</x:f>
      </x:c>
      <x:c r="S97" s="25" t="str">
        <x:f>IF(A97="","",IF(O97="","Not Assessed",IF(P97=0,"Meets / Exceeds",IF(P97=1,"Minor Gap",IF(P97=2,"Major Gap","Critical Gap")))))</x:f>
      </x:c>
      <x:c r="T97" s="24"/>
      <x:c r="U97" s="27"/>
      <x:c r="V97" s="24"/>
      <x:c r="W97" s="24"/>
      <x:c r="X97" s="24"/>
      <x:c r="Y97" s="26"/>
      <x:c r="Z97" s="31" t="str">
        <x:f>IF(B97="","",IF(Y97&lt;&gt;"",Y97,EDATE(B97,IFERROR(VLOOKUP(I97,'03 Position Requirements'!$A$6:$R$285,12,FALSE),12))))</x:f>
      </x:c>
      <x:c r="AA97" s="25" t="str">
        <x:f>IF(OR(B97="",D97="",J97=""),"",IF(COUNTIFS($D$6:$D$155,D97,$J$6:$J$155,J97,$B$6:$B$155,"&gt;"&amp;B97)=0,"Yes","No"))</x:f>
      </x:c>
      <x:c r="AB97" s="25" t="str">
        <x:f>IF(AA97="","",IF(AND(AA97="Yes",OR(P97&gt;0,AD97="Expired")),"Yes","No"))</x:f>
      </x:c>
      <x:c r="AC97" s="25" t="str">
        <x:f>IF(Z97="","",Z97-TODAY())</x:f>
      </x:c>
      <x:c r="AD97" s="25" t="str">
        <x:f>IF(A97="","",IF(O97="","Not Assessed",IF(Z97&lt;TODAY(),"Expired",IF(Z97&lt;=TODAY()+30,"Due Soon","Current"))))</x:f>
      </x:c>
      <x:c r="AE97" s="24"/>
    </x:row>
    <x:row r="98">
      <x:c r="A98" s="24"/>
      <x:c r="B98" s="26"/>
      <x:c r="C98" s="24"/>
      <x:c r="D98" s="24"/>
      <x:c r="E98" s="25" t="str">
        <x:f>IF(D98="","",IFERROR(VLOOKUP(D98,'01 Staff Master'!$A$6:$M$105,2,FALSE),"Staff ID not found"))</x:f>
      </x:c>
      <x:c r="F98" s="25" t="str">
        <x:f>IF(D98="","",IFERROR(VLOOKUP(D98,'01 Staff Master'!$A$6:$M$105,3,FALSE),""))</x:f>
      </x:c>
      <x:c r="G98" s="25" t="str">
        <x:f>IF(D98="","",IFERROR(VLOOKUP(D98,'01 Staff Master'!$A$6:$M$105,5,FALSE),""))</x:f>
      </x:c>
      <x:c r="H98" s="25" t="str">
        <x:f>IF(D98="","",IFERROR(VLOOKUP(D98,'01 Staff Master'!$A$6:$M$105,6,FALSE),""))</x:f>
      </x:c>
      <x:c r="I98" s="25" t="str">
        <x:f>IF(OR(F98="",G98="",J98=""),"",F98&amp;"|"&amp;G98&amp;"|"&amp;J98)</x:f>
      </x:c>
      <x:c r="J98" s="24"/>
      <x:c r="K98" s="25" t="str">
        <x:f>IF(J98="","",IFERROR(VLOOKUP(J98,'02 Skill Catalogue'!$A$6:$K$95,4,FALSE),"Skill ID not found"))</x:f>
      </x:c>
      <x:c r="L98" s="25" t="str">
        <x:f>IF(I98="","",IFERROR(VLOOKUP(I98,'03 Position Requirements'!$A$6:$R$285,8,FALSE),"No Requirement"))</x:f>
      </x:c>
      <x:c r="M98" s="29" t="str">
        <x:f>IF(I98="","",IFERROR(VLOOKUP(I98,'03 Position Requirements'!$A$6:$R$285,9,FALSE),""))</x:f>
      </x:c>
      <x:c r="N98" s="25" t="str">
        <x:f>IF(I98="","",IFERROR(VLOOKUP(I98,'03 Position Requirements'!$A$6:$R$285,10,FALSE),""))</x:f>
      </x:c>
      <x:c r="O98" s="24"/>
      <x:c r="P98" s="25" t="str">
        <x:f>IF(OR(N98="",O98=""),"",MAX(N98-O98,0))</x:f>
      </x:c>
      <x:c r="Q98" s="30" t="str">
        <x:f>IF(P98="","",P98*M98)</x:f>
      </x:c>
      <x:c r="R98" s="30" t="str">
        <x:f>IF(OR(P98="",L98=""),"",P98*M98*IFERROR(VLOOKUP(L98,'99 Lists'!$A$19:$B$21,2,FALSE),1))</x:f>
      </x:c>
      <x:c r="S98" s="25" t="str">
        <x:f>IF(A98="","",IF(O98="","Not Assessed",IF(P98=0,"Meets / Exceeds",IF(P98=1,"Minor Gap",IF(P98=2,"Major Gap","Critical Gap")))))</x:f>
      </x:c>
      <x:c r="T98" s="24"/>
      <x:c r="U98" s="27"/>
      <x:c r="V98" s="24"/>
      <x:c r="W98" s="24"/>
      <x:c r="X98" s="24"/>
      <x:c r="Y98" s="26"/>
      <x:c r="Z98" s="31" t="str">
        <x:f>IF(B98="","",IF(Y98&lt;&gt;"",Y98,EDATE(B98,IFERROR(VLOOKUP(I98,'03 Position Requirements'!$A$6:$R$285,12,FALSE),12))))</x:f>
      </x:c>
      <x:c r="AA98" s="25" t="str">
        <x:f>IF(OR(B98="",D98="",J98=""),"",IF(COUNTIFS($D$6:$D$155,D98,$J$6:$J$155,J98,$B$6:$B$155,"&gt;"&amp;B98)=0,"Yes","No"))</x:f>
      </x:c>
      <x:c r="AB98" s="25" t="str">
        <x:f>IF(AA98="","",IF(AND(AA98="Yes",OR(P98&gt;0,AD98="Expired")),"Yes","No"))</x:f>
      </x:c>
      <x:c r="AC98" s="25" t="str">
        <x:f>IF(Z98="","",Z98-TODAY())</x:f>
      </x:c>
      <x:c r="AD98" s="25" t="str">
        <x:f>IF(A98="","",IF(O98="","Not Assessed",IF(Z98&lt;TODAY(),"Expired",IF(Z98&lt;=TODAY()+30,"Due Soon","Current"))))</x:f>
      </x:c>
      <x:c r="AE98" s="24"/>
    </x:row>
    <x:row r="99">
      <x:c r="A99" s="24"/>
      <x:c r="B99" s="26"/>
      <x:c r="C99" s="24"/>
      <x:c r="D99" s="24"/>
      <x:c r="E99" s="25" t="str">
        <x:f>IF(D99="","",IFERROR(VLOOKUP(D99,'01 Staff Master'!$A$6:$M$105,2,FALSE),"Staff ID not found"))</x:f>
      </x:c>
      <x:c r="F99" s="25" t="str">
        <x:f>IF(D99="","",IFERROR(VLOOKUP(D99,'01 Staff Master'!$A$6:$M$105,3,FALSE),""))</x:f>
      </x:c>
      <x:c r="G99" s="25" t="str">
        <x:f>IF(D99="","",IFERROR(VLOOKUP(D99,'01 Staff Master'!$A$6:$M$105,5,FALSE),""))</x:f>
      </x:c>
      <x:c r="H99" s="25" t="str">
        <x:f>IF(D99="","",IFERROR(VLOOKUP(D99,'01 Staff Master'!$A$6:$M$105,6,FALSE),""))</x:f>
      </x:c>
      <x:c r="I99" s="25" t="str">
        <x:f>IF(OR(F99="",G99="",J99=""),"",F99&amp;"|"&amp;G99&amp;"|"&amp;J99)</x:f>
      </x:c>
      <x:c r="J99" s="24"/>
      <x:c r="K99" s="25" t="str">
        <x:f>IF(J99="","",IFERROR(VLOOKUP(J99,'02 Skill Catalogue'!$A$6:$K$95,4,FALSE),"Skill ID not found"))</x:f>
      </x:c>
      <x:c r="L99" s="25" t="str">
        <x:f>IF(I99="","",IFERROR(VLOOKUP(I99,'03 Position Requirements'!$A$6:$R$285,8,FALSE),"No Requirement"))</x:f>
      </x:c>
      <x:c r="M99" s="29" t="str">
        <x:f>IF(I99="","",IFERROR(VLOOKUP(I99,'03 Position Requirements'!$A$6:$R$285,9,FALSE),""))</x:f>
      </x:c>
      <x:c r="N99" s="25" t="str">
        <x:f>IF(I99="","",IFERROR(VLOOKUP(I99,'03 Position Requirements'!$A$6:$R$285,10,FALSE),""))</x:f>
      </x:c>
      <x:c r="O99" s="24"/>
      <x:c r="P99" s="25" t="str">
        <x:f>IF(OR(N99="",O99=""),"",MAX(N99-O99,0))</x:f>
      </x:c>
      <x:c r="Q99" s="30" t="str">
        <x:f>IF(P99="","",P99*M99)</x:f>
      </x:c>
      <x:c r="R99" s="30" t="str">
        <x:f>IF(OR(P99="",L99=""),"",P99*M99*IFERROR(VLOOKUP(L99,'99 Lists'!$A$19:$B$21,2,FALSE),1))</x:f>
      </x:c>
      <x:c r="S99" s="25" t="str">
        <x:f>IF(A99="","",IF(O99="","Not Assessed",IF(P99=0,"Meets / Exceeds",IF(P99=1,"Minor Gap",IF(P99=2,"Major Gap","Critical Gap")))))</x:f>
      </x:c>
      <x:c r="T99" s="24"/>
      <x:c r="U99" s="27"/>
      <x:c r="V99" s="24"/>
      <x:c r="W99" s="24"/>
      <x:c r="X99" s="24"/>
      <x:c r="Y99" s="26"/>
      <x:c r="Z99" s="31" t="str">
        <x:f>IF(B99="","",IF(Y99&lt;&gt;"",Y99,EDATE(B99,IFERROR(VLOOKUP(I99,'03 Position Requirements'!$A$6:$R$285,12,FALSE),12))))</x:f>
      </x:c>
      <x:c r="AA99" s="25" t="str">
        <x:f>IF(OR(B99="",D99="",J99=""),"",IF(COUNTIFS($D$6:$D$155,D99,$J$6:$J$155,J99,$B$6:$B$155,"&gt;"&amp;B99)=0,"Yes","No"))</x:f>
      </x:c>
      <x:c r="AB99" s="25" t="str">
        <x:f>IF(AA99="","",IF(AND(AA99="Yes",OR(P99&gt;0,AD99="Expired")),"Yes","No"))</x:f>
      </x:c>
      <x:c r="AC99" s="25" t="str">
        <x:f>IF(Z99="","",Z99-TODAY())</x:f>
      </x:c>
      <x:c r="AD99" s="25" t="str">
        <x:f>IF(A99="","",IF(O99="","Not Assessed",IF(Z99&lt;TODAY(),"Expired",IF(Z99&lt;=TODAY()+30,"Due Soon","Current"))))</x:f>
      </x:c>
      <x:c r="AE99" s="24"/>
    </x:row>
    <x:row r="100">
      <x:c r="A100" s="24"/>
      <x:c r="B100" s="26"/>
      <x:c r="C100" s="24"/>
      <x:c r="D100" s="24"/>
      <x:c r="E100" s="25" t="str">
        <x:f>IF(D100="","",IFERROR(VLOOKUP(D100,'01 Staff Master'!$A$6:$M$105,2,FALSE),"Staff ID not found"))</x:f>
      </x:c>
      <x:c r="F100" s="25" t="str">
        <x:f>IF(D100="","",IFERROR(VLOOKUP(D100,'01 Staff Master'!$A$6:$M$105,3,FALSE),""))</x:f>
      </x:c>
      <x:c r="G100" s="25" t="str">
        <x:f>IF(D100="","",IFERROR(VLOOKUP(D100,'01 Staff Master'!$A$6:$M$105,5,FALSE),""))</x:f>
      </x:c>
      <x:c r="H100" s="25" t="str">
        <x:f>IF(D100="","",IFERROR(VLOOKUP(D100,'01 Staff Master'!$A$6:$M$105,6,FALSE),""))</x:f>
      </x:c>
      <x:c r="I100" s="25" t="str">
        <x:f>IF(OR(F100="",G100="",J100=""),"",F100&amp;"|"&amp;G100&amp;"|"&amp;J100)</x:f>
      </x:c>
      <x:c r="J100" s="24"/>
      <x:c r="K100" s="25" t="str">
        <x:f>IF(J100="","",IFERROR(VLOOKUP(J100,'02 Skill Catalogue'!$A$6:$K$95,4,FALSE),"Skill ID not found"))</x:f>
      </x:c>
      <x:c r="L100" s="25" t="str">
        <x:f>IF(I100="","",IFERROR(VLOOKUP(I100,'03 Position Requirements'!$A$6:$R$285,8,FALSE),"No Requirement"))</x:f>
      </x:c>
      <x:c r="M100" s="29" t="str">
        <x:f>IF(I100="","",IFERROR(VLOOKUP(I100,'03 Position Requirements'!$A$6:$R$285,9,FALSE),""))</x:f>
      </x:c>
      <x:c r="N100" s="25" t="str">
        <x:f>IF(I100="","",IFERROR(VLOOKUP(I100,'03 Position Requirements'!$A$6:$R$285,10,FALSE),""))</x:f>
      </x:c>
      <x:c r="O100" s="24"/>
      <x:c r="P100" s="25" t="str">
        <x:f>IF(OR(N100="",O100=""),"",MAX(N100-O100,0))</x:f>
      </x:c>
      <x:c r="Q100" s="30" t="str">
        <x:f>IF(P100="","",P100*M100)</x:f>
      </x:c>
      <x:c r="R100" s="30" t="str">
        <x:f>IF(OR(P100="",L100=""),"",P100*M100*IFERROR(VLOOKUP(L100,'99 Lists'!$A$19:$B$21,2,FALSE),1))</x:f>
      </x:c>
      <x:c r="S100" s="25" t="str">
        <x:f>IF(A100="","",IF(O100="","Not Assessed",IF(P100=0,"Meets / Exceeds",IF(P100=1,"Minor Gap",IF(P100=2,"Major Gap","Critical Gap")))))</x:f>
      </x:c>
      <x:c r="T100" s="24"/>
      <x:c r="U100" s="27"/>
      <x:c r="V100" s="24"/>
      <x:c r="W100" s="24"/>
      <x:c r="X100" s="24"/>
      <x:c r="Y100" s="26"/>
      <x:c r="Z100" s="31" t="str">
        <x:f>IF(B100="","",IF(Y100&lt;&gt;"",Y100,EDATE(B100,IFERROR(VLOOKUP(I100,'03 Position Requirements'!$A$6:$R$285,12,FALSE),12))))</x:f>
      </x:c>
      <x:c r="AA100" s="25" t="str">
        <x:f>IF(OR(B100="",D100="",J100=""),"",IF(COUNTIFS($D$6:$D$155,D100,$J$6:$J$155,J100,$B$6:$B$155,"&gt;"&amp;B100)=0,"Yes","No"))</x:f>
      </x:c>
      <x:c r="AB100" s="25" t="str">
        <x:f>IF(AA100="","",IF(AND(AA100="Yes",OR(P100&gt;0,AD100="Expired")),"Yes","No"))</x:f>
      </x:c>
      <x:c r="AC100" s="25" t="str">
        <x:f>IF(Z100="","",Z100-TODAY())</x:f>
      </x:c>
      <x:c r="AD100" s="25" t="str">
        <x:f>IF(A100="","",IF(O100="","Not Assessed",IF(Z100&lt;TODAY(),"Expired",IF(Z100&lt;=TODAY()+30,"Due Soon","Current"))))</x:f>
      </x:c>
      <x:c r="AE100" s="24"/>
    </x:row>
    <x:row r="101">
      <x:c r="A101" s="24"/>
      <x:c r="B101" s="26"/>
      <x:c r="C101" s="24"/>
      <x:c r="D101" s="24"/>
      <x:c r="E101" s="25" t="str">
        <x:f>IF(D101="","",IFERROR(VLOOKUP(D101,'01 Staff Master'!$A$6:$M$105,2,FALSE),"Staff ID not found"))</x:f>
      </x:c>
      <x:c r="F101" s="25" t="str">
        <x:f>IF(D101="","",IFERROR(VLOOKUP(D101,'01 Staff Master'!$A$6:$M$105,3,FALSE),""))</x:f>
      </x:c>
      <x:c r="G101" s="25" t="str">
        <x:f>IF(D101="","",IFERROR(VLOOKUP(D101,'01 Staff Master'!$A$6:$M$105,5,FALSE),""))</x:f>
      </x:c>
      <x:c r="H101" s="25" t="str">
        <x:f>IF(D101="","",IFERROR(VLOOKUP(D101,'01 Staff Master'!$A$6:$M$105,6,FALSE),""))</x:f>
      </x:c>
      <x:c r="I101" s="25" t="str">
        <x:f>IF(OR(F101="",G101="",J101=""),"",F101&amp;"|"&amp;G101&amp;"|"&amp;J101)</x:f>
      </x:c>
      <x:c r="J101" s="24"/>
      <x:c r="K101" s="25" t="str">
        <x:f>IF(J101="","",IFERROR(VLOOKUP(J101,'02 Skill Catalogue'!$A$6:$K$95,4,FALSE),"Skill ID not found"))</x:f>
      </x:c>
      <x:c r="L101" s="25" t="str">
        <x:f>IF(I101="","",IFERROR(VLOOKUP(I101,'03 Position Requirements'!$A$6:$R$285,8,FALSE),"No Requirement"))</x:f>
      </x:c>
      <x:c r="M101" s="29" t="str">
        <x:f>IF(I101="","",IFERROR(VLOOKUP(I101,'03 Position Requirements'!$A$6:$R$285,9,FALSE),""))</x:f>
      </x:c>
      <x:c r="N101" s="25" t="str">
        <x:f>IF(I101="","",IFERROR(VLOOKUP(I101,'03 Position Requirements'!$A$6:$R$285,10,FALSE),""))</x:f>
      </x:c>
      <x:c r="O101" s="24"/>
      <x:c r="P101" s="25" t="str">
        <x:f>IF(OR(N101="",O101=""),"",MAX(N101-O101,0))</x:f>
      </x:c>
      <x:c r="Q101" s="30" t="str">
        <x:f>IF(P101="","",P101*M101)</x:f>
      </x:c>
      <x:c r="R101" s="30" t="str">
        <x:f>IF(OR(P101="",L101=""),"",P101*M101*IFERROR(VLOOKUP(L101,'99 Lists'!$A$19:$B$21,2,FALSE),1))</x:f>
      </x:c>
      <x:c r="S101" s="25" t="str">
        <x:f>IF(A101="","",IF(O101="","Not Assessed",IF(P101=0,"Meets / Exceeds",IF(P101=1,"Minor Gap",IF(P101=2,"Major Gap","Critical Gap")))))</x:f>
      </x:c>
      <x:c r="T101" s="24"/>
      <x:c r="U101" s="27"/>
      <x:c r="V101" s="24"/>
      <x:c r="W101" s="24"/>
      <x:c r="X101" s="24"/>
      <x:c r="Y101" s="26"/>
      <x:c r="Z101" s="31" t="str">
        <x:f>IF(B101="","",IF(Y101&lt;&gt;"",Y101,EDATE(B101,IFERROR(VLOOKUP(I101,'03 Position Requirements'!$A$6:$R$285,12,FALSE),12))))</x:f>
      </x:c>
      <x:c r="AA101" s="25" t="str">
        <x:f>IF(OR(B101="",D101="",J101=""),"",IF(COUNTIFS($D$6:$D$155,D101,$J$6:$J$155,J101,$B$6:$B$155,"&gt;"&amp;B101)=0,"Yes","No"))</x:f>
      </x:c>
      <x:c r="AB101" s="25" t="str">
        <x:f>IF(AA101="","",IF(AND(AA101="Yes",OR(P101&gt;0,AD101="Expired")),"Yes","No"))</x:f>
      </x:c>
      <x:c r="AC101" s="25" t="str">
        <x:f>IF(Z101="","",Z101-TODAY())</x:f>
      </x:c>
      <x:c r="AD101" s="25" t="str">
        <x:f>IF(A101="","",IF(O101="","Not Assessed",IF(Z101&lt;TODAY(),"Expired",IF(Z101&lt;=TODAY()+30,"Due Soon","Current"))))</x:f>
      </x:c>
      <x:c r="AE101" s="24"/>
    </x:row>
    <x:row r="102">
      <x:c r="A102" s="24"/>
      <x:c r="B102" s="26"/>
      <x:c r="C102" s="24"/>
      <x:c r="D102" s="24"/>
      <x:c r="E102" s="25" t="str">
        <x:f>IF(D102="","",IFERROR(VLOOKUP(D102,'01 Staff Master'!$A$6:$M$105,2,FALSE),"Staff ID not found"))</x:f>
      </x:c>
      <x:c r="F102" s="25" t="str">
        <x:f>IF(D102="","",IFERROR(VLOOKUP(D102,'01 Staff Master'!$A$6:$M$105,3,FALSE),""))</x:f>
      </x:c>
      <x:c r="G102" s="25" t="str">
        <x:f>IF(D102="","",IFERROR(VLOOKUP(D102,'01 Staff Master'!$A$6:$M$105,5,FALSE),""))</x:f>
      </x:c>
      <x:c r="H102" s="25" t="str">
        <x:f>IF(D102="","",IFERROR(VLOOKUP(D102,'01 Staff Master'!$A$6:$M$105,6,FALSE),""))</x:f>
      </x:c>
      <x:c r="I102" s="25" t="str">
        <x:f>IF(OR(F102="",G102="",J102=""),"",F102&amp;"|"&amp;G102&amp;"|"&amp;J102)</x:f>
      </x:c>
      <x:c r="J102" s="24"/>
      <x:c r="K102" s="25" t="str">
        <x:f>IF(J102="","",IFERROR(VLOOKUP(J102,'02 Skill Catalogue'!$A$6:$K$95,4,FALSE),"Skill ID not found"))</x:f>
      </x:c>
      <x:c r="L102" s="25" t="str">
        <x:f>IF(I102="","",IFERROR(VLOOKUP(I102,'03 Position Requirements'!$A$6:$R$285,8,FALSE),"No Requirement"))</x:f>
      </x:c>
      <x:c r="M102" s="29" t="str">
        <x:f>IF(I102="","",IFERROR(VLOOKUP(I102,'03 Position Requirements'!$A$6:$R$285,9,FALSE),""))</x:f>
      </x:c>
      <x:c r="N102" s="25" t="str">
        <x:f>IF(I102="","",IFERROR(VLOOKUP(I102,'03 Position Requirements'!$A$6:$R$285,10,FALSE),""))</x:f>
      </x:c>
      <x:c r="O102" s="24"/>
      <x:c r="P102" s="25" t="str">
        <x:f>IF(OR(N102="",O102=""),"",MAX(N102-O102,0))</x:f>
      </x:c>
      <x:c r="Q102" s="30" t="str">
        <x:f>IF(P102="","",P102*M102)</x:f>
      </x:c>
      <x:c r="R102" s="30" t="str">
        <x:f>IF(OR(P102="",L102=""),"",P102*M102*IFERROR(VLOOKUP(L102,'99 Lists'!$A$19:$B$21,2,FALSE),1))</x:f>
      </x:c>
      <x:c r="S102" s="25" t="str">
        <x:f>IF(A102="","",IF(O102="","Not Assessed",IF(P102=0,"Meets / Exceeds",IF(P102=1,"Minor Gap",IF(P102=2,"Major Gap","Critical Gap")))))</x:f>
      </x:c>
      <x:c r="T102" s="24"/>
      <x:c r="U102" s="27"/>
      <x:c r="V102" s="24"/>
      <x:c r="W102" s="24"/>
      <x:c r="X102" s="24"/>
      <x:c r="Y102" s="26"/>
      <x:c r="Z102" s="31" t="str">
        <x:f>IF(B102="","",IF(Y102&lt;&gt;"",Y102,EDATE(B102,IFERROR(VLOOKUP(I102,'03 Position Requirements'!$A$6:$R$285,12,FALSE),12))))</x:f>
      </x:c>
      <x:c r="AA102" s="25" t="str">
        <x:f>IF(OR(B102="",D102="",J102=""),"",IF(COUNTIFS($D$6:$D$155,D102,$J$6:$J$155,J102,$B$6:$B$155,"&gt;"&amp;B102)=0,"Yes","No"))</x:f>
      </x:c>
      <x:c r="AB102" s="25" t="str">
        <x:f>IF(AA102="","",IF(AND(AA102="Yes",OR(P102&gt;0,AD102="Expired")),"Yes","No"))</x:f>
      </x:c>
      <x:c r="AC102" s="25" t="str">
        <x:f>IF(Z102="","",Z102-TODAY())</x:f>
      </x:c>
      <x:c r="AD102" s="25" t="str">
        <x:f>IF(A102="","",IF(O102="","Not Assessed",IF(Z102&lt;TODAY(),"Expired",IF(Z102&lt;=TODAY()+30,"Due Soon","Current"))))</x:f>
      </x:c>
      <x:c r="AE102" s="24"/>
    </x:row>
    <x:row r="103">
      <x:c r="A103" s="24"/>
      <x:c r="B103" s="26"/>
      <x:c r="C103" s="24"/>
      <x:c r="D103" s="24"/>
      <x:c r="E103" s="25" t="str">
        <x:f>IF(D103="","",IFERROR(VLOOKUP(D103,'01 Staff Master'!$A$6:$M$105,2,FALSE),"Staff ID not found"))</x:f>
      </x:c>
      <x:c r="F103" s="25" t="str">
        <x:f>IF(D103="","",IFERROR(VLOOKUP(D103,'01 Staff Master'!$A$6:$M$105,3,FALSE),""))</x:f>
      </x:c>
      <x:c r="G103" s="25" t="str">
        <x:f>IF(D103="","",IFERROR(VLOOKUP(D103,'01 Staff Master'!$A$6:$M$105,5,FALSE),""))</x:f>
      </x:c>
      <x:c r="H103" s="25" t="str">
        <x:f>IF(D103="","",IFERROR(VLOOKUP(D103,'01 Staff Master'!$A$6:$M$105,6,FALSE),""))</x:f>
      </x:c>
      <x:c r="I103" s="25" t="str">
        <x:f>IF(OR(F103="",G103="",J103=""),"",F103&amp;"|"&amp;G103&amp;"|"&amp;J103)</x:f>
      </x:c>
      <x:c r="J103" s="24"/>
      <x:c r="K103" s="25" t="str">
        <x:f>IF(J103="","",IFERROR(VLOOKUP(J103,'02 Skill Catalogue'!$A$6:$K$95,4,FALSE),"Skill ID not found"))</x:f>
      </x:c>
      <x:c r="L103" s="25" t="str">
        <x:f>IF(I103="","",IFERROR(VLOOKUP(I103,'03 Position Requirements'!$A$6:$R$285,8,FALSE),"No Requirement"))</x:f>
      </x:c>
      <x:c r="M103" s="29" t="str">
        <x:f>IF(I103="","",IFERROR(VLOOKUP(I103,'03 Position Requirements'!$A$6:$R$285,9,FALSE),""))</x:f>
      </x:c>
      <x:c r="N103" s="25" t="str">
        <x:f>IF(I103="","",IFERROR(VLOOKUP(I103,'03 Position Requirements'!$A$6:$R$285,10,FALSE),""))</x:f>
      </x:c>
      <x:c r="O103" s="24"/>
      <x:c r="P103" s="25" t="str">
        <x:f>IF(OR(N103="",O103=""),"",MAX(N103-O103,0))</x:f>
      </x:c>
      <x:c r="Q103" s="30" t="str">
        <x:f>IF(P103="","",P103*M103)</x:f>
      </x:c>
      <x:c r="R103" s="30" t="str">
        <x:f>IF(OR(P103="",L103=""),"",P103*M103*IFERROR(VLOOKUP(L103,'99 Lists'!$A$19:$B$21,2,FALSE),1))</x:f>
      </x:c>
      <x:c r="S103" s="25" t="str">
        <x:f>IF(A103="","",IF(O103="","Not Assessed",IF(P103=0,"Meets / Exceeds",IF(P103=1,"Minor Gap",IF(P103=2,"Major Gap","Critical Gap")))))</x:f>
      </x:c>
      <x:c r="T103" s="24"/>
      <x:c r="U103" s="27"/>
      <x:c r="V103" s="24"/>
      <x:c r="W103" s="24"/>
      <x:c r="X103" s="24"/>
      <x:c r="Y103" s="26"/>
      <x:c r="Z103" s="31" t="str">
        <x:f>IF(B103="","",IF(Y103&lt;&gt;"",Y103,EDATE(B103,IFERROR(VLOOKUP(I103,'03 Position Requirements'!$A$6:$R$285,12,FALSE),12))))</x:f>
      </x:c>
      <x:c r="AA103" s="25" t="str">
        <x:f>IF(OR(B103="",D103="",J103=""),"",IF(COUNTIFS($D$6:$D$155,D103,$J$6:$J$155,J103,$B$6:$B$155,"&gt;"&amp;B103)=0,"Yes","No"))</x:f>
      </x:c>
      <x:c r="AB103" s="25" t="str">
        <x:f>IF(AA103="","",IF(AND(AA103="Yes",OR(P103&gt;0,AD103="Expired")),"Yes","No"))</x:f>
      </x:c>
      <x:c r="AC103" s="25" t="str">
        <x:f>IF(Z103="","",Z103-TODAY())</x:f>
      </x:c>
      <x:c r="AD103" s="25" t="str">
        <x:f>IF(A103="","",IF(O103="","Not Assessed",IF(Z103&lt;TODAY(),"Expired",IF(Z103&lt;=TODAY()+30,"Due Soon","Current"))))</x:f>
      </x:c>
      <x:c r="AE103" s="24"/>
    </x:row>
    <x:row r="104">
      <x:c r="A104" s="24"/>
      <x:c r="B104" s="26"/>
      <x:c r="C104" s="24"/>
      <x:c r="D104" s="24"/>
      <x:c r="E104" s="25" t="str">
        <x:f>IF(D104="","",IFERROR(VLOOKUP(D104,'01 Staff Master'!$A$6:$M$105,2,FALSE),"Staff ID not found"))</x:f>
      </x:c>
      <x:c r="F104" s="25" t="str">
        <x:f>IF(D104="","",IFERROR(VLOOKUP(D104,'01 Staff Master'!$A$6:$M$105,3,FALSE),""))</x:f>
      </x:c>
      <x:c r="G104" s="25" t="str">
        <x:f>IF(D104="","",IFERROR(VLOOKUP(D104,'01 Staff Master'!$A$6:$M$105,5,FALSE),""))</x:f>
      </x:c>
      <x:c r="H104" s="25" t="str">
        <x:f>IF(D104="","",IFERROR(VLOOKUP(D104,'01 Staff Master'!$A$6:$M$105,6,FALSE),""))</x:f>
      </x:c>
      <x:c r="I104" s="25" t="str">
        <x:f>IF(OR(F104="",G104="",J104=""),"",F104&amp;"|"&amp;G104&amp;"|"&amp;J104)</x:f>
      </x:c>
      <x:c r="J104" s="24"/>
      <x:c r="K104" s="25" t="str">
        <x:f>IF(J104="","",IFERROR(VLOOKUP(J104,'02 Skill Catalogue'!$A$6:$K$95,4,FALSE),"Skill ID not found"))</x:f>
      </x:c>
      <x:c r="L104" s="25" t="str">
        <x:f>IF(I104="","",IFERROR(VLOOKUP(I104,'03 Position Requirements'!$A$6:$R$285,8,FALSE),"No Requirement"))</x:f>
      </x:c>
      <x:c r="M104" s="29" t="str">
        <x:f>IF(I104="","",IFERROR(VLOOKUP(I104,'03 Position Requirements'!$A$6:$R$285,9,FALSE),""))</x:f>
      </x:c>
      <x:c r="N104" s="25" t="str">
        <x:f>IF(I104="","",IFERROR(VLOOKUP(I104,'03 Position Requirements'!$A$6:$R$285,10,FALSE),""))</x:f>
      </x:c>
      <x:c r="O104" s="24"/>
      <x:c r="P104" s="25" t="str">
        <x:f>IF(OR(N104="",O104=""),"",MAX(N104-O104,0))</x:f>
      </x:c>
      <x:c r="Q104" s="30" t="str">
        <x:f>IF(P104="","",P104*M104)</x:f>
      </x:c>
      <x:c r="R104" s="30" t="str">
        <x:f>IF(OR(P104="",L104=""),"",P104*M104*IFERROR(VLOOKUP(L104,'99 Lists'!$A$19:$B$21,2,FALSE),1))</x:f>
      </x:c>
      <x:c r="S104" s="25" t="str">
        <x:f>IF(A104="","",IF(O104="","Not Assessed",IF(P104=0,"Meets / Exceeds",IF(P104=1,"Minor Gap",IF(P104=2,"Major Gap","Critical Gap")))))</x:f>
      </x:c>
      <x:c r="T104" s="24"/>
      <x:c r="U104" s="27"/>
      <x:c r="V104" s="24"/>
      <x:c r="W104" s="24"/>
      <x:c r="X104" s="24"/>
      <x:c r="Y104" s="26"/>
      <x:c r="Z104" s="31" t="str">
        <x:f>IF(B104="","",IF(Y104&lt;&gt;"",Y104,EDATE(B104,IFERROR(VLOOKUP(I104,'03 Position Requirements'!$A$6:$R$285,12,FALSE),12))))</x:f>
      </x:c>
      <x:c r="AA104" s="25" t="str">
        <x:f>IF(OR(B104="",D104="",J104=""),"",IF(COUNTIFS($D$6:$D$155,D104,$J$6:$J$155,J104,$B$6:$B$155,"&gt;"&amp;B104)=0,"Yes","No"))</x:f>
      </x:c>
      <x:c r="AB104" s="25" t="str">
        <x:f>IF(AA104="","",IF(AND(AA104="Yes",OR(P104&gt;0,AD104="Expired")),"Yes","No"))</x:f>
      </x:c>
      <x:c r="AC104" s="25" t="str">
        <x:f>IF(Z104="","",Z104-TODAY())</x:f>
      </x:c>
      <x:c r="AD104" s="25" t="str">
        <x:f>IF(A104="","",IF(O104="","Not Assessed",IF(Z104&lt;TODAY(),"Expired",IF(Z104&lt;=TODAY()+30,"Due Soon","Current"))))</x:f>
      </x:c>
      <x:c r="AE104" s="24"/>
    </x:row>
    <x:row r="105">
      <x:c r="A105" s="24"/>
      <x:c r="B105" s="26"/>
      <x:c r="C105" s="24"/>
      <x:c r="D105" s="24"/>
      <x:c r="E105" s="25" t="str">
        <x:f>IF(D105="","",IFERROR(VLOOKUP(D105,'01 Staff Master'!$A$6:$M$105,2,FALSE),"Staff ID not found"))</x:f>
      </x:c>
      <x:c r="F105" s="25" t="str">
        <x:f>IF(D105="","",IFERROR(VLOOKUP(D105,'01 Staff Master'!$A$6:$M$105,3,FALSE),""))</x:f>
      </x:c>
      <x:c r="G105" s="25" t="str">
        <x:f>IF(D105="","",IFERROR(VLOOKUP(D105,'01 Staff Master'!$A$6:$M$105,5,FALSE),""))</x:f>
      </x:c>
      <x:c r="H105" s="25" t="str">
        <x:f>IF(D105="","",IFERROR(VLOOKUP(D105,'01 Staff Master'!$A$6:$M$105,6,FALSE),""))</x:f>
      </x:c>
      <x:c r="I105" s="25" t="str">
        <x:f>IF(OR(F105="",G105="",J105=""),"",F105&amp;"|"&amp;G105&amp;"|"&amp;J105)</x:f>
      </x:c>
      <x:c r="J105" s="24"/>
      <x:c r="K105" s="25" t="str">
        <x:f>IF(J105="","",IFERROR(VLOOKUP(J105,'02 Skill Catalogue'!$A$6:$K$95,4,FALSE),"Skill ID not found"))</x:f>
      </x:c>
      <x:c r="L105" s="25" t="str">
        <x:f>IF(I105="","",IFERROR(VLOOKUP(I105,'03 Position Requirements'!$A$6:$R$285,8,FALSE),"No Requirement"))</x:f>
      </x:c>
      <x:c r="M105" s="29" t="str">
        <x:f>IF(I105="","",IFERROR(VLOOKUP(I105,'03 Position Requirements'!$A$6:$R$285,9,FALSE),""))</x:f>
      </x:c>
      <x:c r="N105" s="25" t="str">
        <x:f>IF(I105="","",IFERROR(VLOOKUP(I105,'03 Position Requirements'!$A$6:$R$285,10,FALSE),""))</x:f>
      </x:c>
      <x:c r="O105" s="24"/>
      <x:c r="P105" s="25" t="str">
        <x:f>IF(OR(N105="",O105=""),"",MAX(N105-O105,0))</x:f>
      </x:c>
      <x:c r="Q105" s="30" t="str">
        <x:f>IF(P105="","",P105*M105)</x:f>
      </x:c>
      <x:c r="R105" s="30" t="str">
        <x:f>IF(OR(P105="",L105=""),"",P105*M105*IFERROR(VLOOKUP(L105,'99 Lists'!$A$19:$B$21,2,FALSE),1))</x:f>
      </x:c>
      <x:c r="S105" s="25" t="str">
        <x:f>IF(A105="","",IF(O105="","Not Assessed",IF(P105=0,"Meets / Exceeds",IF(P105=1,"Minor Gap",IF(P105=2,"Major Gap","Critical Gap")))))</x:f>
      </x:c>
      <x:c r="T105" s="24"/>
      <x:c r="U105" s="27"/>
      <x:c r="V105" s="24"/>
      <x:c r="W105" s="24"/>
      <x:c r="X105" s="24"/>
      <x:c r="Y105" s="26"/>
      <x:c r="Z105" s="31" t="str">
        <x:f>IF(B105="","",IF(Y105&lt;&gt;"",Y105,EDATE(B105,IFERROR(VLOOKUP(I105,'03 Position Requirements'!$A$6:$R$285,12,FALSE),12))))</x:f>
      </x:c>
      <x:c r="AA105" s="25" t="str">
        <x:f>IF(OR(B105="",D105="",J105=""),"",IF(COUNTIFS($D$6:$D$155,D105,$J$6:$J$155,J105,$B$6:$B$155,"&gt;"&amp;B105)=0,"Yes","No"))</x:f>
      </x:c>
      <x:c r="AB105" s="25" t="str">
        <x:f>IF(AA105="","",IF(AND(AA105="Yes",OR(P105&gt;0,AD105="Expired")),"Yes","No"))</x:f>
      </x:c>
      <x:c r="AC105" s="25" t="str">
        <x:f>IF(Z105="","",Z105-TODAY())</x:f>
      </x:c>
      <x:c r="AD105" s="25" t="str">
        <x:f>IF(A105="","",IF(O105="","Not Assessed",IF(Z105&lt;TODAY(),"Expired",IF(Z105&lt;=TODAY()+30,"Due Soon","Current"))))</x:f>
      </x:c>
      <x:c r="AE105" s="24"/>
    </x:row>
    <x:row r="106">
      <x:c r="A106" s="24"/>
      <x:c r="B106" s="26"/>
      <x:c r="C106" s="24"/>
      <x:c r="D106" s="24"/>
      <x:c r="E106" s="25" t="str">
        <x:f>IF(D106="","",IFERROR(VLOOKUP(D106,'01 Staff Master'!$A$6:$M$105,2,FALSE),"Staff ID not found"))</x:f>
      </x:c>
      <x:c r="F106" s="25" t="str">
        <x:f>IF(D106="","",IFERROR(VLOOKUP(D106,'01 Staff Master'!$A$6:$M$105,3,FALSE),""))</x:f>
      </x:c>
      <x:c r="G106" s="25" t="str">
        <x:f>IF(D106="","",IFERROR(VLOOKUP(D106,'01 Staff Master'!$A$6:$M$105,5,FALSE),""))</x:f>
      </x:c>
      <x:c r="H106" s="25" t="str">
        <x:f>IF(D106="","",IFERROR(VLOOKUP(D106,'01 Staff Master'!$A$6:$M$105,6,FALSE),""))</x:f>
      </x:c>
      <x:c r="I106" s="25" t="str">
        <x:f>IF(OR(F106="",G106="",J106=""),"",F106&amp;"|"&amp;G106&amp;"|"&amp;J106)</x:f>
      </x:c>
      <x:c r="J106" s="24"/>
      <x:c r="K106" s="25" t="str">
        <x:f>IF(J106="","",IFERROR(VLOOKUP(J106,'02 Skill Catalogue'!$A$6:$K$95,4,FALSE),"Skill ID not found"))</x:f>
      </x:c>
      <x:c r="L106" s="25" t="str">
        <x:f>IF(I106="","",IFERROR(VLOOKUP(I106,'03 Position Requirements'!$A$6:$R$285,8,FALSE),"No Requirement"))</x:f>
      </x:c>
      <x:c r="M106" s="29" t="str">
        <x:f>IF(I106="","",IFERROR(VLOOKUP(I106,'03 Position Requirements'!$A$6:$R$285,9,FALSE),""))</x:f>
      </x:c>
      <x:c r="N106" s="25" t="str">
        <x:f>IF(I106="","",IFERROR(VLOOKUP(I106,'03 Position Requirements'!$A$6:$R$285,10,FALSE),""))</x:f>
      </x:c>
      <x:c r="O106" s="24"/>
      <x:c r="P106" s="25" t="str">
        <x:f>IF(OR(N106="",O106=""),"",MAX(N106-O106,0))</x:f>
      </x:c>
      <x:c r="Q106" s="30" t="str">
        <x:f>IF(P106="","",P106*M106)</x:f>
      </x:c>
      <x:c r="R106" s="30" t="str">
        <x:f>IF(OR(P106="",L106=""),"",P106*M106*IFERROR(VLOOKUP(L106,'99 Lists'!$A$19:$B$21,2,FALSE),1))</x:f>
      </x:c>
      <x:c r="S106" s="25" t="str">
        <x:f>IF(A106="","",IF(O106="","Not Assessed",IF(P106=0,"Meets / Exceeds",IF(P106=1,"Minor Gap",IF(P106=2,"Major Gap","Critical Gap")))))</x:f>
      </x:c>
      <x:c r="T106" s="24"/>
      <x:c r="U106" s="27"/>
      <x:c r="V106" s="24"/>
      <x:c r="W106" s="24"/>
      <x:c r="X106" s="24"/>
      <x:c r="Y106" s="26"/>
      <x:c r="Z106" s="31" t="str">
        <x:f>IF(B106="","",IF(Y106&lt;&gt;"",Y106,EDATE(B106,IFERROR(VLOOKUP(I106,'03 Position Requirements'!$A$6:$R$285,12,FALSE),12))))</x:f>
      </x:c>
      <x:c r="AA106" s="25" t="str">
        <x:f>IF(OR(B106="",D106="",J106=""),"",IF(COUNTIFS($D$6:$D$155,D106,$J$6:$J$155,J106,$B$6:$B$155,"&gt;"&amp;B106)=0,"Yes","No"))</x:f>
      </x:c>
      <x:c r="AB106" s="25" t="str">
        <x:f>IF(AA106="","",IF(AND(AA106="Yes",OR(P106&gt;0,AD106="Expired")),"Yes","No"))</x:f>
      </x:c>
      <x:c r="AC106" s="25" t="str">
        <x:f>IF(Z106="","",Z106-TODAY())</x:f>
      </x:c>
      <x:c r="AD106" s="25" t="str">
        <x:f>IF(A106="","",IF(O106="","Not Assessed",IF(Z106&lt;TODAY(),"Expired",IF(Z106&lt;=TODAY()+30,"Due Soon","Current"))))</x:f>
      </x:c>
      <x:c r="AE106" s="24"/>
    </x:row>
    <x:row r="107">
      <x:c r="A107" s="24"/>
      <x:c r="B107" s="26"/>
      <x:c r="C107" s="24"/>
      <x:c r="D107" s="24"/>
      <x:c r="E107" s="25" t="str">
        <x:f>IF(D107="","",IFERROR(VLOOKUP(D107,'01 Staff Master'!$A$6:$M$105,2,FALSE),"Staff ID not found"))</x:f>
      </x:c>
      <x:c r="F107" s="25" t="str">
        <x:f>IF(D107="","",IFERROR(VLOOKUP(D107,'01 Staff Master'!$A$6:$M$105,3,FALSE),""))</x:f>
      </x:c>
      <x:c r="G107" s="25" t="str">
        <x:f>IF(D107="","",IFERROR(VLOOKUP(D107,'01 Staff Master'!$A$6:$M$105,5,FALSE),""))</x:f>
      </x:c>
      <x:c r="H107" s="25" t="str">
        <x:f>IF(D107="","",IFERROR(VLOOKUP(D107,'01 Staff Master'!$A$6:$M$105,6,FALSE),""))</x:f>
      </x:c>
      <x:c r="I107" s="25" t="str">
        <x:f>IF(OR(F107="",G107="",J107=""),"",F107&amp;"|"&amp;G107&amp;"|"&amp;J107)</x:f>
      </x:c>
      <x:c r="J107" s="24"/>
      <x:c r="K107" s="25" t="str">
        <x:f>IF(J107="","",IFERROR(VLOOKUP(J107,'02 Skill Catalogue'!$A$6:$K$95,4,FALSE),"Skill ID not found"))</x:f>
      </x:c>
      <x:c r="L107" s="25" t="str">
        <x:f>IF(I107="","",IFERROR(VLOOKUP(I107,'03 Position Requirements'!$A$6:$R$285,8,FALSE),"No Requirement"))</x:f>
      </x:c>
      <x:c r="M107" s="29" t="str">
        <x:f>IF(I107="","",IFERROR(VLOOKUP(I107,'03 Position Requirements'!$A$6:$R$285,9,FALSE),""))</x:f>
      </x:c>
      <x:c r="N107" s="25" t="str">
        <x:f>IF(I107="","",IFERROR(VLOOKUP(I107,'03 Position Requirements'!$A$6:$R$285,10,FALSE),""))</x:f>
      </x:c>
      <x:c r="O107" s="24"/>
      <x:c r="P107" s="25" t="str">
        <x:f>IF(OR(N107="",O107=""),"",MAX(N107-O107,0))</x:f>
      </x:c>
      <x:c r="Q107" s="30" t="str">
        <x:f>IF(P107="","",P107*M107)</x:f>
      </x:c>
      <x:c r="R107" s="30" t="str">
        <x:f>IF(OR(P107="",L107=""),"",P107*M107*IFERROR(VLOOKUP(L107,'99 Lists'!$A$19:$B$21,2,FALSE),1))</x:f>
      </x:c>
      <x:c r="S107" s="25" t="str">
        <x:f>IF(A107="","",IF(O107="","Not Assessed",IF(P107=0,"Meets / Exceeds",IF(P107=1,"Minor Gap",IF(P107=2,"Major Gap","Critical Gap")))))</x:f>
      </x:c>
      <x:c r="T107" s="24"/>
      <x:c r="U107" s="27"/>
      <x:c r="V107" s="24"/>
      <x:c r="W107" s="24"/>
      <x:c r="X107" s="24"/>
      <x:c r="Y107" s="26"/>
      <x:c r="Z107" s="31" t="str">
        <x:f>IF(B107="","",IF(Y107&lt;&gt;"",Y107,EDATE(B107,IFERROR(VLOOKUP(I107,'03 Position Requirements'!$A$6:$R$285,12,FALSE),12))))</x:f>
      </x:c>
      <x:c r="AA107" s="25" t="str">
        <x:f>IF(OR(B107="",D107="",J107=""),"",IF(COUNTIFS($D$6:$D$155,D107,$J$6:$J$155,J107,$B$6:$B$155,"&gt;"&amp;B107)=0,"Yes","No"))</x:f>
      </x:c>
      <x:c r="AB107" s="25" t="str">
        <x:f>IF(AA107="","",IF(AND(AA107="Yes",OR(P107&gt;0,AD107="Expired")),"Yes","No"))</x:f>
      </x:c>
      <x:c r="AC107" s="25" t="str">
        <x:f>IF(Z107="","",Z107-TODAY())</x:f>
      </x:c>
      <x:c r="AD107" s="25" t="str">
        <x:f>IF(A107="","",IF(O107="","Not Assessed",IF(Z107&lt;TODAY(),"Expired",IF(Z107&lt;=TODAY()+30,"Due Soon","Current"))))</x:f>
      </x:c>
      <x:c r="AE107" s="24"/>
    </x:row>
    <x:row r="108">
      <x:c r="A108" s="24"/>
      <x:c r="B108" s="26"/>
      <x:c r="C108" s="24"/>
      <x:c r="D108" s="24"/>
      <x:c r="E108" s="25" t="str">
        <x:f>IF(D108="","",IFERROR(VLOOKUP(D108,'01 Staff Master'!$A$6:$M$105,2,FALSE),"Staff ID not found"))</x:f>
      </x:c>
      <x:c r="F108" s="25" t="str">
        <x:f>IF(D108="","",IFERROR(VLOOKUP(D108,'01 Staff Master'!$A$6:$M$105,3,FALSE),""))</x:f>
      </x:c>
      <x:c r="G108" s="25" t="str">
        <x:f>IF(D108="","",IFERROR(VLOOKUP(D108,'01 Staff Master'!$A$6:$M$105,5,FALSE),""))</x:f>
      </x:c>
      <x:c r="H108" s="25" t="str">
        <x:f>IF(D108="","",IFERROR(VLOOKUP(D108,'01 Staff Master'!$A$6:$M$105,6,FALSE),""))</x:f>
      </x:c>
      <x:c r="I108" s="25" t="str">
        <x:f>IF(OR(F108="",G108="",J108=""),"",F108&amp;"|"&amp;G108&amp;"|"&amp;J108)</x:f>
      </x:c>
      <x:c r="J108" s="24"/>
      <x:c r="K108" s="25" t="str">
        <x:f>IF(J108="","",IFERROR(VLOOKUP(J108,'02 Skill Catalogue'!$A$6:$K$95,4,FALSE),"Skill ID not found"))</x:f>
      </x:c>
      <x:c r="L108" s="25" t="str">
        <x:f>IF(I108="","",IFERROR(VLOOKUP(I108,'03 Position Requirements'!$A$6:$R$285,8,FALSE),"No Requirement"))</x:f>
      </x:c>
      <x:c r="M108" s="29" t="str">
        <x:f>IF(I108="","",IFERROR(VLOOKUP(I108,'03 Position Requirements'!$A$6:$R$285,9,FALSE),""))</x:f>
      </x:c>
      <x:c r="N108" s="25" t="str">
        <x:f>IF(I108="","",IFERROR(VLOOKUP(I108,'03 Position Requirements'!$A$6:$R$285,10,FALSE),""))</x:f>
      </x:c>
      <x:c r="O108" s="24"/>
      <x:c r="P108" s="25" t="str">
        <x:f>IF(OR(N108="",O108=""),"",MAX(N108-O108,0))</x:f>
      </x:c>
      <x:c r="Q108" s="30" t="str">
        <x:f>IF(P108="","",P108*M108)</x:f>
      </x:c>
      <x:c r="R108" s="30" t="str">
        <x:f>IF(OR(P108="",L108=""),"",P108*M108*IFERROR(VLOOKUP(L108,'99 Lists'!$A$19:$B$21,2,FALSE),1))</x:f>
      </x:c>
      <x:c r="S108" s="25" t="str">
        <x:f>IF(A108="","",IF(O108="","Not Assessed",IF(P108=0,"Meets / Exceeds",IF(P108=1,"Minor Gap",IF(P108=2,"Major Gap","Critical Gap")))))</x:f>
      </x:c>
      <x:c r="T108" s="24"/>
      <x:c r="U108" s="27"/>
      <x:c r="V108" s="24"/>
      <x:c r="W108" s="24"/>
      <x:c r="X108" s="24"/>
      <x:c r="Y108" s="26"/>
      <x:c r="Z108" s="31" t="str">
        <x:f>IF(B108="","",IF(Y108&lt;&gt;"",Y108,EDATE(B108,IFERROR(VLOOKUP(I108,'03 Position Requirements'!$A$6:$R$285,12,FALSE),12))))</x:f>
      </x:c>
      <x:c r="AA108" s="25" t="str">
        <x:f>IF(OR(B108="",D108="",J108=""),"",IF(COUNTIFS($D$6:$D$155,D108,$J$6:$J$155,J108,$B$6:$B$155,"&gt;"&amp;B108)=0,"Yes","No"))</x:f>
      </x:c>
      <x:c r="AB108" s="25" t="str">
        <x:f>IF(AA108="","",IF(AND(AA108="Yes",OR(P108&gt;0,AD108="Expired")),"Yes","No"))</x:f>
      </x:c>
      <x:c r="AC108" s="25" t="str">
        <x:f>IF(Z108="","",Z108-TODAY())</x:f>
      </x:c>
      <x:c r="AD108" s="25" t="str">
        <x:f>IF(A108="","",IF(O108="","Not Assessed",IF(Z108&lt;TODAY(),"Expired",IF(Z108&lt;=TODAY()+30,"Due Soon","Current"))))</x:f>
      </x:c>
      <x:c r="AE108" s="24"/>
    </x:row>
    <x:row r="109">
      <x:c r="A109" s="24"/>
      <x:c r="B109" s="26"/>
      <x:c r="C109" s="24"/>
      <x:c r="D109" s="24"/>
      <x:c r="E109" s="25" t="str">
        <x:f>IF(D109="","",IFERROR(VLOOKUP(D109,'01 Staff Master'!$A$6:$M$105,2,FALSE),"Staff ID not found"))</x:f>
      </x:c>
      <x:c r="F109" s="25" t="str">
        <x:f>IF(D109="","",IFERROR(VLOOKUP(D109,'01 Staff Master'!$A$6:$M$105,3,FALSE),""))</x:f>
      </x:c>
      <x:c r="G109" s="25" t="str">
        <x:f>IF(D109="","",IFERROR(VLOOKUP(D109,'01 Staff Master'!$A$6:$M$105,5,FALSE),""))</x:f>
      </x:c>
      <x:c r="H109" s="25" t="str">
        <x:f>IF(D109="","",IFERROR(VLOOKUP(D109,'01 Staff Master'!$A$6:$M$105,6,FALSE),""))</x:f>
      </x:c>
      <x:c r="I109" s="25" t="str">
        <x:f>IF(OR(F109="",G109="",J109=""),"",F109&amp;"|"&amp;G109&amp;"|"&amp;J109)</x:f>
      </x:c>
      <x:c r="J109" s="24"/>
      <x:c r="K109" s="25" t="str">
        <x:f>IF(J109="","",IFERROR(VLOOKUP(J109,'02 Skill Catalogue'!$A$6:$K$95,4,FALSE),"Skill ID not found"))</x:f>
      </x:c>
      <x:c r="L109" s="25" t="str">
        <x:f>IF(I109="","",IFERROR(VLOOKUP(I109,'03 Position Requirements'!$A$6:$R$285,8,FALSE),"No Requirement"))</x:f>
      </x:c>
      <x:c r="M109" s="29" t="str">
        <x:f>IF(I109="","",IFERROR(VLOOKUP(I109,'03 Position Requirements'!$A$6:$R$285,9,FALSE),""))</x:f>
      </x:c>
      <x:c r="N109" s="25" t="str">
        <x:f>IF(I109="","",IFERROR(VLOOKUP(I109,'03 Position Requirements'!$A$6:$R$285,10,FALSE),""))</x:f>
      </x:c>
      <x:c r="O109" s="24"/>
      <x:c r="P109" s="25" t="str">
        <x:f>IF(OR(N109="",O109=""),"",MAX(N109-O109,0))</x:f>
      </x:c>
      <x:c r="Q109" s="30" t="str">
        <x:f>IF(P109="","",P109*M109)</x:f>
      </x:c>
      <x:c r="R109" s="30" t="str">
        <x:f>IF(OR(P109="",L109=""),"",P109*M109*IFERROR(VLOOKUP(L109,'99 Lists'!$A$19:$B$21,2,FALSE),1))</x:f>
      </x:c>
      <x:c r="S109" s="25" t="str">
        <x:f>IF(A109="","",IF(O109="","Not Assessed",IF(P109=0,"Meets / Exceeds",IF(P109=1,"Minor Gap",IF(P109=2,"Major Gap","Critical Gap")))))</x:f>
      </x:c>
      <x:c r="T109" s="24"/>
      <x:c r="U109" s="27"/>
      <x:c r="V109" s="24"/>
      <x:c r="W109" s="24"/>
      <x:c r="X109" s="24"/>
      <x:c r="Y109" s="26"/>
      <x:c r="Z109" s="31" t="str">
        <x:f>IF(B109="","",IF(Y109&lt;&gt;"",Y109,EDATE(B109,IFERROR(VLOOKUP(I109,'03 Position Requirements'!$A$6:$R$285,12,FALSE),12))))</x:f>
      </x:c>
      <x:c r="AA109" s="25" t="str">
        <x:f>IF(OR(B109="",D109="",J109=""),"",IF(COUNTIFS($D$6:$D$155,D109,$J$6:$J$155,J109,$B$6:$B$155,"&gt;"&amp;B109)=0,"Yes","No"))</x:f>
      </x:c>
      <x:c r="AB109" s="25" t="str">
        <x:f>IF(AA109="","",IF(AND(AA109="Yes",OR(P109&gt;0,AD109="Expired")),"Yes","No"))</x:f>
      </x:c>
      <x:c r="AC109" s="25" t="str">
        <x:f>IF(Z109="","",Z109-TODAY())</x:f>
      </x:c>
      <x:c r="AD109" s="25" t="str">
        <x:f>IF(A109="","",IF(O109="","Not Assessed",IF(Z109&lt;TODAY(),"Expired",IF(Z109&lt;=TODAY()+30,"Due Soon","Current"))))</x:f>
      </x:c>
      <x:c r="AE109" s="24"/>
    </x:row>
    <x:row r="110">
      <x:c r="A110" s="24"/>
      <x:c r="B110" s="26"/>
      <x:c r="C110" s="24"/>
      <x:c r="D110" s="24"/>
      <x:c r="E110" s="25" t="str">
        <x:f>IF(D110="","",IFERROR(VLOOKUP(D110,'01 Staff Master'!$A$6:$M$105,2,FALSE),"Staff ID not found"))</x:f>
      </x:c>
      <x:c r="F110" s="25" t="str">
        <x:f>IF(D110="","",IFERROR(VLOOKUP(D110,'01 Staff Master'!$A$6:$M$105,3,FALSE),""))</x:f>
      </x:c>
      <x:c r="G110" s="25" t="str">
        <x:f>IF(D110="","",IFERROR(VLOOKUP(D110,'01 Staff Master'!$A$6:$M$105,5,FALSE),""))</x:f>
      </x:c>
      <x:c r="H110" s="25" t="str">
        <x:f>IF(D110="","",IFERROR(VLOOKUP(D110,'01 Staff Master'!$A$6:$M$105,6,FALSE),""))</x:f>
      </x:c>
      <x:c r="I110" s="25" t="str">
        <x:f>IF(OR(F110="",G110="",J110=""),"",F110&amp;"|"&amp;G110&amp;"|"&amp;J110)</x:f>
      </x:c>
      <x:c r="J110" s="24"/>
      <x:c r="K110" s="25" t="str">
        <x:f>IF(J110="","",IFERROR(VLOOKUP(J110,'02 Skill Catalogue'!$A$6:$K$95,4,FALSE),"Skill ID not found"))</x:f>
      </x:c>
      <x:c r="L110" s="25" t="str">
        <x:f>IF(I110="","",IFERROR(VLOOKUP(I110,'03 Position Requirements'!$A$6:$R$285,8,FALSE),"No Requirement"))</x:f>
      </x:c>
      <x:c r="M110" s="29" t="str">
        <x:f>IF(I110="","",IFERROR(VLOOKUP(I110,'03 Position Requirements'!$A$6:$R$285,9,FALSE),""))</x:f>
      </x:c>
      <x:c r="N110" s="25" t="str">
        <x:f>IF(I110="","",IFERROR(VLOOKUP(I110,'03 Position Requirements'!$A$6:$R$285,10,FALSE),""))</x:f>
      </x:c>
      <x:c r="O110" s="24"/>
      <x:c r="P110" s="25" t="str">
        <x:f>IF(OR(N110="",O110=""),"",MAX(N110-O110,0))</x:f>
      </x:c>
      <x:c r="Q110" s="30" t="str">
        <x:f>IF(P110="","",P110*M110)</x:f>
      </x:c>
      <x:c r="R110" s="30" t="str">
        <x:f>IF(OR(P110="",L110=""),"",P110*M110*IFERROR(VLOOKUP(L110,'99 Lists'!$A$19:$B$21,2,FALSE),1))</x:f>
      </x:c>
      <x:c r="S110" s="25" t="str">
        <x:f>IF(A110="","",IF(O110="","Not Assessed",IF(P110=0,"Meets / Exceeds",IF(P110=1,"Minor Gap",IF(P110=2,"Major Gap","Critical Gap")))))</x:f>
      </x:c>
      <x:c r="T110" s="24"/>
      <x:c r="U110" s="27"/>
      <x:c r="V110" s="24"/>
      <x:c r="W110" s="24"/>
      <x:c r="X110" s="24"/>
      <x:c r="Y110" s="26"/>
      <x:c r="Z110" s="31" t="str">
        <x:f>IF(B110="","",IF(Y110&lt;&gt;"",Y110,EDATE(B110,IFERROR(VLOOKUP(I110,'03 Position Requirements'!$A$6:$R$285,12,FALSE),12))))</x:f>
      </x:c>
      <x:c r="AA110" s="25" t="str">
        <x:f>IF(OR(B110="",D110="",J110=""),"",IF(COUNTIFS($D$6:$D$155,D110,$J$6:$J$155,J110,$B$6:$B$155,"&gt;"&amp;B110)=0,"Yes","No"))</x:f>
      </x:c>
      <x:c r="AB110" s="25" t="str">
        <x:f>IF(AA110="","",IF(AND(AA110="Yes",OR(P110&gt;0,AD110="Expired")),"Yes","No"))</x:f>
      </x:c>
      <x:c r="AC110" s="25" t="str">
        <x:f>IF(Z110="","",Z110-TODAY())</x:f>
      </x:c>
      <x:c r="AD110" s="25" t="str">
        <x:f>IF(A110="","",IF(O110="","Not Assessed",IF(Z110&lt;TODAY(),"Expired",IF(Z110&lt;=TODAY()+30,"Due Soon","Current"))))</x:f>
      </x:c>
      <x:c r="AE110" s="24"/>
    </x:row>
    <x:row r="111">
      <x:c r="A111" s="24"/>
      <x:c r="B111" s="26"/>
      <x:c r="C111" s="24"/>
      <x:c r="D111" s="24"/>
      <x:c r="E111" s="25" t="str">
        <x:f>IF(D111="","",IFERROR(VLOOKUP(D111,'01 Staff Master'!$A$6:$M$105,2,FALSE),"Staff ID not found"))</x:f>
      </x:c>
      <x:c r="F111" s="25" t="str">
        <x:f>IF(D111="","",IFERROR(VLOOKUP(D111,'01 Staff Master'!$A$6:$M$105,3,FALSE),""))</x:f>
      </x:c>
      <x:c r="G111" s="25" t="str">
        <x:f>IF(D111="","",IFERROR(VLOOKUP(D111,'01 Staff Master'!$A$6:$M$105,5,FALSE),""))</x:f>
      </x:c>
      <x:c r="H111" s="25" t="str">
        <x:f>IF(D111="","",IFERROR(VLOOKUP(D111,'01 Staff Master'!$A$6:$M$105,6,FALSE),""))</x:f>
      </x:c>
      <x:c r="I111" s="25" t="str">
        <x:f>IF(OR(F111="",G111="",J111=""),"",F111&amp;"|"&amp;G111&amp;"|"&amp;J111)</x:f>
      </x:c>
      <x:c r="J111" s="24"/>
      <x:c r="K111" s="25" t="str">
        <x:f>IF(J111="","",IFERROR(VLOOKUP(J111,'02 Skill Catalogue'!$A$6:$K$95,4,FALSE),"Skill ID not found"))</x:f>
      </x:c>
      <x:c r="L111" s="25" t="str">
        <x:f>IF(I111="","",IFERROR(VLOOKUP(I111,'03 Position Requirements'!$A$6:$R$285,8,FALSE),"No Requirement"))</x:f>
      </x:c>
      <x:c r="M111" s="29" t="str">
        <x:f>IF(I111="","",IFERROR(VLOOKUP(I111,'03 Position Requirements'!$A$6:$R$285,9,FALSE),""))</x:f>
      </x:c>
      <x:c r="N111" s="25" t="str">
        <x:f>IF(I111="","",IFERROR(VLOOKUP(I111,'03 Position Requirements'!$A$6:$R$285,10,FALSE),""))</x:f>
      </x:c>
      <x:c r="O111" s="24"/>
      <x:c r="P111" s="25" t="str">
        <x:f>IF(OR(N111="",O111=""),"",MAX(N111-O111,0))</x:f>
      </x:c>
      <x:c r="Q111" s="30" t="str">
        <x:f>IF(P111="","",P111*M111)</x:f>
      </x:c>
      <x:c r="R111" s="30" t="str">
        <x:f>IF(OR(P111="",L111=""),"",P111*M111*IFERROR(VLOOKUP(L111,'99 Lists'!$A$19:$B$21,2,FALSE),1))</x:f>
      </x:c>
      <x:c r="S111" s="25" t="str">
        <x:f>IF(A111="","",IF(O111="","Not Assessed",IF(P111=0,"Meets / Exceeds",IF(P111=1,"Minor Gap",IF(P111=2,"Major Gap","Critical Gap")))))</x:f>
      </x:c>
      <x:c r="T111" s="24"/>
      <x:c r="U111" s="27"/>
      <x:c r="V111" s="24"/>
      <x:c r="W111" s="24"/>
      <x:c r="X111" s="24"/>
      <x:c r="Y111" s="26"/>
      <x:c r="Z111" s="31" t="str">
        <x:f>IF(B111="","",IF(Y111&lt;&gt;"",Y111,EDATE(B111,IFERROR(VLOOKUP(I111,'03 Position Requirements'!$A$6:$R$285,12,FALSE),12))))</x:f>
      </x:c>
      <x:c r="AA111" s="25" t="str">
        <x:f>IF(OR(B111="",D111="",J111=""),"",IF(COUNTIFS($D$6:$D$155,D111,$J$6:$J$155,J111,$B$6:$B$155,"&gt;"&amp;B111)=0,"Yes","No"))</x:f>
      </x:c>
      <x:c r="AB111" s="25" t="str">
        <x:f>IF(AA111="","",IF(AND(AA111="Yes",OR(P111&gt;0,AD111="Expired")),"Yes","No"))</x:f>
      </x:c>
      <x:c r="AC111" s="25" t="str">
        <x:f>IF(Z111="","",Z111-TODAY())</x:f>
      </x:c>
      <x:c r="AD111" s="25" t="str">
        <x:f>IF(A111="","",IF(O111="","Not Assessed",IF(Z111&lt;TODAY(),"Expired",IF(Z111&lt;=TODAY()+30,"Due Soon","Current"))))</x:f>
      </x:c>
      <x:c r="AE111" s="24"/>
    </x:row>
    <x:row r="112">
      <x:c r="A112" s="24"/>
      <x:c r="B112" s="26"/>
      <x:c r="C112" s="24"/>
      <x:c r="D112" s="24"/>
      <x:c r="E112" s="25" t="str">
        <x:f>IF(D112="","",IFERROR(VLOOKUP(D112,'01 Staff Master'!$A$6:$M$105,2,FALSE),"Staff ID not found"))</x:f>
      </x:c>
      <x:c r="F112" s="25" t="str">
        <x:f>IF(D112="","",IFERROR(VLOOKUP(D112,'01 Staff Master'!$A$6:$M$105,3,FALSE),""))</x:f>
      </x:c>
      <x:c r="G112" s="25" t="str">
        <x:f>IF(D112="","",IFERROR(VLOOKUP(D112,'01 Staff Master'!$A$6:$M$105,5,FALSE),""))</x:f>
      </x:c>
      <x:c r="H112" s="25" t="str">
        <x:f>IF(D112="","",IFERROR(VLOOKUP(D112,'01 Staff Master'!$A$6:$M$105,6,FALSE),""))</x:f>
      </x:c>
      <x:c r="I112" s="25" t="str">
        <x:f>IF(OR(F112="",G112="",J112=""),"",F112&amp;"|"&amp;G112&amp;"|"&amp;J112)</x:f>
      </x:c>
      <x:c r="J112" s="24"/>
      <x:c r="K112" s="25" t="str">
        <x:f>IF(J112="","",IFERROR(VLOOKUP(J112,'02 Skill Catalogue'!$A$6:$K$95,4,FALSE),"Skill ID not found"))</x:f>
      </x:c>
      <x:c r="L112" s="25" t="str">
        <x:f>IF(I112="","",IFERROR(VLOOKUP(I112,'03 Position Requirements'!$A$6:$R$285,8,FALSE),"No Requirement"))</x:f>
      </x:c>
      <x:c r="M112" s="29" t="str">
        <x:f>IF(I112="","",IFERROR(VLOOKUP(I112,'03 Position Requirements'!$A$6:$R$285,9,FALSE),""))</x:f>
      </x:c>
      <x:c r="N112" s="25" t="str">
        <x:f>IF(I112="","",IFERROR(VLOOKUP(I112,'03 Position Requirements'!$A$6:$R$285,10,FALSE),""))</x:f>
      </x:c>
      <x:c r="O112" s="24"/>
      <x:c r="P112" s="25" t="str">
        <x:f>IF(OR(N112="",O112=""),"",MAX(N112-O112,0))</x:f>
      </x:c>
      <x:c r="Q112" s="30" t="str">
        <x:f>IF(P112="","",P112*M112)</x:f>
      </x:c>
      <x:c r="R112" s="30" t="str">
        <x:f>IF(OR(P112="",L112=""),"",P112*M112*IFERROR(VLOOKUP(L112,'99 Lists'!$A$19:$B$21,2,FALSE),1))</x:f>
      </x:c>
      <x:c r="S112" s="25" t="str">
        <x:f>IF(A112="","",IF(O112="","Not Assessed",IF(P112=0,"Meets / Exceeds",IF(P112=1,"Minor Gap",IF(P112=2,"Major Gap","Critical Gap")))))</x:f>
      </x:c>
      <x:c r="T112" s="24"/>
      <x:c r="U112" s="27"/>
      <x:c r="V112" s="24"/>
      <x:c r="W112" s="24"/>
      <x:c r="X112" s="24"/>
      <x:c r="Y112" s="26"/>
      <x:c r="Z112" s="31" t="str">
        <x:f>IF(B112="","",IF(Y112&lt;&gt;"",Y112,EDATE(B112,IFERROR(VLOOKUP(I112,'03 Position Requirements'!$A$6:$R$285,12,FALSE),12))))</x:f>
      </x:c>
      <x:c r="AA112" s="25" t="str">
        <x:f>IF(OR(B112="",D112="",J112=""),"",IF(COUNTIFS($D$6:$D$155,D112,$J$6:$J$155,J112,$B$6:$B$155,"&gt;"&amp;B112)=0,"Yes","No"))</x:f>
      </x:c>
      <x:c r="AB112" s="25" t="str">
        <x:f>IF(AA112="","",IF(AND(AA112="Yes",OR(P112&gt;0,AD112="Expired")),"Yes","No"))</x:f>
      </x:c>
      <x:c r="AC112" s="25" t="str">
        <x:f>IF(Z112="","",Z112-TODAY())</x:f>
      </x:c>
      <x:c r="AD112" s="25" t="str">
        <x:f>IF(A112="","",IF(O112="","Not Assessed",IF(Z112&lt;TODAY(),"Expired",IF(Z112&lt;=TODAY()+30,"Due Soon","Current"))))</x:f>
      </x:c>
      <x:c r="AE112" s="24"/>
    </x:row>
    <x:row r="113">
      <x:c r="A113" s="24"/>
      <x:c r="B113" s="26"/>
      <x:c r="C113" s="24"/>
      <x:c r="D113" s="24"/>
      <x:c r="E113" s="25" t="str">
        <x:f>IF(D113="","",IFERROR(VLOOKUP(D113,'01 Staff Master'!$A$6:$M$105,2,FALSE),"Staff ID not found"))</x:f>
      </x:c>
      <x:c r="F113" s="25" t="str">
        <x:f>IF(D113="","",IFERROR(VLOOKUP(D113,'01 Staff Master'!$A$6:$M$105,3,FALSE),""))</x:f>
      </x:c>
      <x:c r="G113" s="25" t="str">
        <x:f>IF(D113="","",IFERROR(VLOOKUP(D113,'01 Staff Master'!$A$6:$M$105,5,FALSE),""))</x:f>
      </x:c>
      <x:c r="H113" s="25" t="str">
        <x:f>IF(D113="","",IFERROR(VLOOKUP(D113,'01 Staff Master'!$A$6:$M$105,6,FALSE),""))</x:f>
      </x:c>
      <x:c r="I113" s="25" t="str">
        <x:f>IF(OR(F113="",G113="",J113=""),"",F113&amp;"|"&amp;G113&amp;"|"&amp;J113)</x:f>
      </x:c>
      <x:c r="J113" s="24"/>
      <x:c r="K113" s="25" t="str">
        <x:f>IF(J113="","",IFERROR(VLOOKUP(J113,'02 Skill Catalogue'!$A$6:$K$95,4,FALSE),"Skill ID not found"))</x:f>
      </x:c>
      <x:c r="L113" s="25" t="str">
        <x:f>IF(I113="","",IFERROR(VLOOKUP(I113,'03 Position Requirements'!$A$6:$R$285,8,FALSE),"No Requirement"))</x:f>
      </x:c>
      <x:c r="M113" s="29" t="str">
        <x:f>IF(I113="","",IFERROR(VLOOKUP(I113,'03 Position Requirements'!$A$6:$R$285,9,FALSE),""))</x:f>
      </x:c>
      <x:c r="N113" s="25" t="str">
        <x:f>IF(I113="","",IFERROR(VLOOKUP(I113,'03 Position Requirements'!$A$6:$R$285,10,FALSE),""))</x:f>
      </x:c>
      <x:c r="O113" s="24"/>
      <x:c r="P113" s="25" t="str">
        <x:f>IF(OR(N113="",O113=""),"",MAX(N113-O113,0))</x:f>
      </x:c>
      <x:c r="Q113" s="30" t="str">
        <x:f>IF(P113="","",P113*M113)</x:f>
      </x:c>
      <x:c r="R113" s="30" t="str">
        <x:f>IF(OR(P113="",L113=""),"",P113*M113*IFERROR(VLOOKUP(L113,'99 Lists'!$A$19:$B$21,2,FALSE),1))</x:f>
      </x:c>
      <x:c r="S113" s="25" t="str">
        <x:f>IF(A113="","",IF(O113="","Not Assessed",IF(P113=0,"Meets / Exceeds",IF(P113=1,"Minor Gap",IF(P113=2,"Major Gap","Critical Gap")))))</x:f>
      </x:c>
      <x:c r="T113" s="24"/>
      <x:c r="U113" s="27"/>
      <x:c r="V113" s="24"/>
      <x:c r="W113" s="24"/>
      <x:c r="X113" s="24"/>
      <x:c r="Y113" s="26"/>
      <x:c r="Z113" s="31" t="str">
        <x:f>IF(B113="","",IF(Y113&lt;&gt;"",Y113,EDATE(B113,IFERROR(VLOOKUP(I113,'03 Position Requirements'!$A$6:$R$285,12,FALSE),12))))</x:f>
      </x:c>
      <x:c r="AA113" s="25" t="str">
        <x:f>IF(OR(B113="",D113="",J113=""),"",IF(COUNTIFS($D$6:$D$155,D113,$J$6:$J$155,J113,$B$6:$B$155,"&gt;"&amp;B113)=0,"Yes","No"))</x:f>
      </x:c>
      <x:c r="AB113" s="25" t="str">
        <x:f>IF(AA113="","",IF(AND(AA113="Yes",OR(P113&gt;0,AD113="Expired")),"Yes","No"))</x:f>
      </x:c>
      <x:c r="AC113" s="25" t="str">
        <x:f>IF(Z113="","",Z113-TODAY())</x:f>
      </x:c>
      <x:c r="AD113" s="25" t="str">
        <x:f>IF(A113="","",IF(O113="","Not Assessed",IF(Z113&lt;TODAY(),"Expired",IF(Z113&lt;=TODAY()+30,"Due Soon","Current"))))</x:f>
      </x:c>
      <x:c r="AE113" s="24"/>
    </x:row>
    <x:row r="114">
      <x:c r="A114" s="24"/>
      <x:c r="B114" s="26"/>
      <x:c r="C114" s="24"/>
      <x:c r="D114" s="24"/>
      <x:c r="E114" s="25" t="str">
        <x:f>IF(D114="","",IFERROR(VLOOKUP(D114,'01 Staff Master'!$A$6:$M$105,2,FALSE),"Staff ID not found"))</x:f>
      </x:c>
      <x:c r="F114" s="25" t="str">
        <x:f>IF(D114="","",IFERROR(VLOOKUP(D114,'01 Staff Master'!$A$6:$M$105,3,FALSE),""))</x:f>
      </x:c>
      <x:c r="G114" s="25" t="str">
        <x:f>IF(D114="","",IFERROR(VLOOKUP(D114,'01 Staff Master'!$A$6:$M$105,5,FALSE),""))</x:f>
      </x:c>
      <x:c r="H114" s="25" t="str">
        <x:f>IF(D114="","",IFERROR(VLOOKUP(D114,'01 Staff Master'!$A$6:$M$105,6,FALSE),""))</x:f>
      </x:c>
      <x:c r="I114" s="25" t="str">
        <x:f>IF(OR(F114="",G114="",J114=""),"",F114&amp;"|"&amp;G114&amp;"|"&amp;J114)</x:f>
      </x:c>
      <x:c r="J114" s="24"/>
      <x:c r="K114" s="25" t="str">
        <x:f>IF(J114="","",IFERROR(VLOOKUP(J114,'02 Skill Catalogue'!$A$6:$K$95,4,FALSE),"Skill ID not found"))</x:f>
      </x:c>
      <x:c r="L114" s="25" t="str">
        <x:f>IF(I114="","",IFERROR(VLOOKUP(I114,'03 Position Requirements'!$A$6:$R$285,8,FALSE),"No Requirement"))</x:f>
      </x:c>
      <x:c r="M114" s="29" t="str">
        <x:f>IF(I114="","",IFERROR(VLOOKUP(I114,'03 Position Requirements'!$A$6:$R$285,9,FALSE),""))</x:f>
      </x:c>
      <x:c r="N114" s="25" t="str">
        <x:f>IF(I114="","",IFERROR(VLOOKUP(I114,'03 Position Requirements'!$A$6:$R$285,10,FALSE),""))</x:f>
      </x:c>
      <x:c r="O114" s="24"/>
      <x:c r="P114" s="25" t="str">
        <x:f>IF(OR(N114="",O114=""),"",MAX(N114-O114,0))</x:f>
      </x:c>
      <x:c r="Q114" s="30" t="str">
        <x:f>IF(P114="","",P114*M114)</x:f>
      </x:c>
      <x:c r="R114" s="30" t="str">
        <x:f>IF(OR(P114="",L114=""),"",P114*M114*IFERROR(VLOOKUP(L114,'99 Lists'!$A$19:$B$21,2,FALSE),1))</x:f>
      </x:c>
      <x:c r="S114" s="25" t="str">
        <x:f>IF(A114="","",IF(O114="","Not Assessed",IF(P114=0,"Meets / Exceeds",IF(P114=1,"Minor Gap",IF(P114=2,"Major Gap","Critical Gap")))))</x:f>
      </x:c>
      <x:c r="T114" s="24"/>
      <x:c r="U114" s="27"/>
      <x:c r="V114" s="24"/>
      <x:c r="W114" s="24"/>
      <x:c r="X114" s="24"/>
      <x:c r="Y114" s="26"/>
      <x:c r="Z114" s="31" t="str">
        <x:f>IF(B114="","",IF(Y114&lt;&gt;"",Y114,EDATE(B114,IFERROR(VLOOKUP(I114,'03 Position Requirements'!$A$6:$R$285,12,FALSE),12))))</x:f>
      </x:c>
      <x:c r="AA114" s="25" t="str">
        <x:f>IF(OR(B114="",D114="",J114=""),"",IF(COUNTIFS($D$6:$D$155,D114,$J$6:$J$155,J114,$B$6:$B$155,"&gt;"&amp;B114)=0,"Yes","No"))</x:f>
      </x:c>
      <x:c r="AB114" s="25" t="str">
        <x:f>IF(AA114="","",IF(AND(AA114="Yes",OR(P114&gt;0,AD114="Expired")),"Yes","No"))</x:f>
      </x:c>
      <x:c r="AC114" s="25" t="str">
        <x:f>IF(Z114="","",Z114-TODAY())</x:f>
      </x:c>
      <x:c r="AD114" s="25" t="str">
        <x:f>IF(A114="","",IF(O114="","Not Assessed",IF(Z114&lt;TODAY(),"Expired",IF(Z114&lt;=TODAY()+30,"Due Soon","Current"))))</x:f>
      </x:c>
      <x:c r="AE114" s="24"/>
    </x:row>
    <x:row r="115">
      <x:c r="A115" s="24"/>
      <x:c r="B115" s="26"/>
      <x:c r="C115" s="24"/>
      <x:c r="D115" s="24"/>
      <x:c r="E115" s="25" t="str">
        <x:f>IF(D115="","",IFERROR(VLOOKUP(D115,'01 Staff Master'!$A$6:$M$105,2,FALSE),"Staff ID not found"))</x:f>
      </x:c>
      <x:c r="F115" s="25" t="str">
        <x:f>IF(D115="","",IFERROR(VLOOKUP(D115,'01 Staff Master'!$A$6:$M$105,3,FALSE),""))</x:f>
      </x:c>
      <x:c r="G115" s="25" t="str">
        <x:f>IF(D115="","",IFERROR(VLOOKUP(D115,'01 Staff Master'!$A$6:$M$105,5,FALSE),""))</x:f>
      </x:c>
      <x:c r="H115" s="25" t="str">
        <x:f>IF(D115="","",IFERROR(VLOOKUP(D115,'01 Staff Master'!$A$6:$M$105,6,FALSE),""))</x:f>
      </x:c>
      <x:c r="I115" s="25" t="str">
        <x:f>IF(OR(F115="",G115="",J115=""),"",F115&amp;"|"&amp;G115&amp;"|"&amp;J115)</x:f>
      </x:c>
      <x:c r="J115" s="24"/>
      <x:c r="K115" s="25" t="str">
        <x:f>IF(J115="","",IFERROR(VLOOKUP(J115,'02 Skill Catalogue'!$A$6:$K$95,4,FALSE),"Skill ID not found"))</x:f>
      </x:c>
      <x:c r="L115" s="25" t="str">
        <x:f>IF(I115="","",IFERROR(VLOOKUP(I115,'03 Position Requirements'!$A$6:$R$285,8,FALSE),"No Requirement"))</x:f>
      </x:c>
      <x:c r="M115" s="29" t="str">
        <x:f>IF(I115="","",IFERROR(VLOOKUP(I115,'03 Position Requirements'!$A$6:$R$285,9,FALSE),""))</x:f>
      </x:c>
      <x:c r="N115" s="25" t="str">
        <x:f>IF(I115="","",IFERROR(VLOOKUP(I115,'03 Position Requirements'!$A$6:$R$285,10,FALSE),""))</x:f>
      </x:c>
      <x:c r="O115" s="24"/>
      <x:c r="P115" s="25" t="str">
        <x:f>IF(OR(N115="",O115=""),"",MAX(N115-O115,0))</x:f>
      </x:c>
      <x:c r="Q115" s="30" t="str">
        <x:f>IF(P115="","",P115*M115)</x:f>
      </x:c>
      <x:c r="R115" s="30" t="str">
        <x:f>IF(OR(P115="",L115=""),"",P115*M115*IFERROR(VLOOKUP(L115,'99 Lists'!$A$19:$B$21,2,FALSE),1))</x:f>
      </x:c>
      <x:c r="S115" s="25" t="str">
        <x:f>IF(A115="","",IF(O115="","Not Assessed",IF(P115=0,"Meets / Exceeds",IF(P115=1,"Minor Gap",IF(P115=2,"Major Gap","Critical Gap")))))</x:f>
      </x:c>
      <x:c r="T115" s="24"/>
      <x:c r="U115" s="27"/>
      <x:c r="V115" s="24"/>
      <x:c r="W115" s="24"/>
      <x:c r="X115" s="24"/>
      <x:c r="Y115" s="26"/>
      <x:c r="Z115" s="31" t="str">
        <x:f>IF(B115="","",IF(Y115&lt;&gt;"",Y115,EDATE(B115,IFERROR(VLOOKUP(I115,'03 Position Requirements'!$A$6:$R$285,12,FALSE),12))))</x:f>
      </x:c>
      <x:c r="AA115" s="25" t="str">
        <x:f>IF(OR(B115="",D115="",J115=""),"",IF(COUNTIFS($D$6:$D$155,D115,$J$6:$J$155,J115,$B$6:$B$155,"&gt;"&amp;B115)=0,"Yes","No"))</x:f>
      </x:c>
      <x:c r="AB115" s="25" t="str">
        <x:f>IF(AA115="","",IF(AND(AA115="Yes",OR(P115&gt;0,AD115="Expired")),"Yes","No"))</x:f>
      </x:c>
      <x:c r="AC115" s="25" t="str">
        <x:f>IF(Z115="","",Z115-TODAY())</x:f>
      </x:c>
      <x:c r="AD115" s="25" t="str">
        <x:f>IF(A115="","",IF(O115="","Not Assessed",IF(Z115&lt;TODAY(),"Expired",IF(Z115&lt;=TODAY()+30,"Due Soon","Current"))))</x:f>
      </x:c>
      <x:c r="AE115" s="24"/>
    </x:row>
    <x:row r="116">
      <x:c r="A116" s="24"/>
      <x:c r="B116" s="26"/>
      <x:c r="C116" s="24"/>
      <x:c r="D116" s="24"/>
      <x:c r="E116" s="25" t="str">
        <x:f>IF(D116="","",IFERROR(VLOOKUP(D116,'01 Staff Master'!$A$6:$M$105,2,FALSE),"Staff ID not found"))</x:f>
      </x:c>
      <x:c r="F116" s="25" t="str">
        <x:f>IF(D116="","",IFERROR(VLOOKUP(D116,'01 Staff Master'!$A$6:$M$105,3,FALSE),""))</x:f>
      </x:c>
      <x:c r="G116" s="25" t="str">
        <x:f>IF(D116="","",IFERROR(VLOOKUP(D116,'01 Staff Master'!$A$6:$M$105,5,FALSE),""))</x:f>
      </x:c>
      <x:c r="H116" s="25" t="str">
        <x:f>IF(D116="","",IFERROR(VLOOKUP(D116,'01 Staff Master'!$A$6:$M$105,6,FALSE),""))</x:f>
      </x:c>
      <x:c r="I116" s="25" t="str">
        <x:f>IF(OR(F116="",G116="",J116=""),"",F116&amp;"|"&amp;G116&amp;"|"&amp;J116)</x:f>
      </x:c>
      <x:c r="J116" s="24"/>
      <x:c r="K116" s="25" t="str">
        <x:f>IF(J116="","",IFERROR(VLOOKUP(J116,'02 Skill Catalogue'!$A$6:$K$95,4,FALSE),"Skill ID not found"))</x:f>
      </x:c>
      <x:c r="L116" s="25" t="str">
        <x:f>IF(I116="","",IFERROR(VLOOKUP(I116,'03 Position Requirements'!$A$6:$R$285,8,FALSE),"No Requirement"))</x:f>
      </x:c>
      <x:c r="M116" s="29" t="str">
        <x:f>IF(I116="","",IFERROR(VLOOKUP(I116,'03 Position Requirements'!$A$6:$R$285,9,FALSE),""))</x:f>
      </x:c>
      <x:c r="N116" s="25" t="str">
        <x:f>IF(I116="","",IFERROR(VLOOKUP(I116,'03 Position Requirements'!$A$6:$R$285,10,FALSE),""))</x:f>
      </x:c>
      <x:c r="O116" s="24"/>
      <x:c r="P116" s="25" t="str">
        <x:f>IF(OR(N116="",O116=""),"",MAX(N116-O116,0))</x:f>
      </x:c>
      <x:c r="Q116" s="30" t="str">
        <x:f>IF(P116="","",P116*M116)</x:f>
      </x:c>
      <x:c r="R116" s="30" t="str">
        <x:f>IF(OR(P116="",L116=""),"",P116*M116*IFERROR(VLOOKUP(L116,'99 Lists'!$A$19:$B$21,2,FALSE),1))</x:f>
      </x:c>
      <x:c r="S116" s="25" t="str">
        <x:f>IF(A116="","",IF(O116="","Not Assessed",IF(P116=0,"Meets / Exceeds",IF(P116=1,"Minor Gap",IF(P116=2,"Major Gap","Critical Gap")))))</x:f>
      </x:c>
      <x:c r="T116" s="24"/>
      <x:c r="U116" s="27"/>
      <x:c r="V116" s="24"/>
      <x:c r="W116" s="24"/>
      <x:c r="X116" s="24"/>
      <x:c r="Y116" s="26"/>
      <x:c r="Z116" s="31" t="str">
        <x:f>IF(B116="","",IF(Y116&lt;&gt;"",Y116,EDATE(B116,IFERROR(VLOOKUP(I116,'03 Position Requirements'!$A$6:$R$285,12,FALSE),12))))</x:f>
      </x:c>
      <x:c r="AA116" s="25" t="str">
        <x:f>IF(OR(B116="",D116="",J116=""),"",IF(COUNTIFS($D$6:$D$155,D116,$J$6:$J$155,J116,$B$6:$B$155,"&gt;"&amp;B116)=0,"Yes","No"))</x:f>
      </x:c>
      <x:c r="AB116" s="25" t="str">
        <x:f>IF(AA116="","",IF(AND(AA116="Yes",OR(P116&gt;0,AD116="Expired")),"Yes","No"))</x:f>
      </x:c>
      <x:c r="AC116" s="25" t="str">
        <x:f>IF(Z116="","",Z116-TODAY())</x:f>
      </x:c>
      <x:c r="AD116" s="25" t="str">
        <x:f>IF(A116="","",IF(O116="","Not Assessed",IF(Z116&lt;TODAY(),"Expired",IF(Z116&lt;=TODAY()+30,"Due Soon","Current"))))</x:f>
      </x:c>
      <x:c r="AE116" s="24"/>
    </x:row>
    <x:row r="117">
      <x:c r="A117" s="24"/>
      <x:c r="B117" s="26"/>
      <x:c r="C117" s="24"/>
      <x:c r="D117" s="24"/>
      <x:c r="E117" s="25" t="str">
        <x:f>IF(D117="","",IFERROR(VLOOKUP(D117,'01 Staff Master'!$A$6:$M$105,2,FALSE),"Staff ID not found"))</x:f>
      </x:c>
      <x:c r="F117" s="25" t="str">
        <x:f>IF(D117="","",IFERROR(VLOOKUP(D117,'01 Staff Master'!$A$6:$M$105,3,FALSE),""))</x:f>
      </x:c>
      <x:c r="G117" s="25" t="str">
        <x:f>IF(D117="","",IFERROR(VLOOKUP(D117,'01 Staff Master'!$A$6:$M$105,5,FALSE),""))</x:f>
      </x:c>
      <x:c r="H117" s="25" t="str">
        <x:f>IF(D117="","",IFERROR(VLOOKUP(D117,'01 Staff Master'!$A$6:$M$105,6,FALSE),""))</x:f>
      </x:c>
      <x:c r="I117" s="25" t="str">
        <x:f>IF(OR(F117="",G117="",J117=""),"",F117&amp;"|"&amp;G117&amp;"|"&amp;J117)</x:f>
      </x:c>
      <x:c r="J117" s="24"/>
      <x:c r="K117" s="25" t="str">
        <x:f>IF(J117="","",IFERROR(VLOOKUP(J117,'02 Skill Catalogue'!$A$6:$K$95,4,FALSE),"Skill ID not found"))</x:f>
      </x:c>
      <x:c r="L117" s="25" t="str">
        <x:f>IF(I117="","",IFERROR(VLOOKUP(I117,'03 Position Requirements'!$A$6:$R$285,8,FALSE),"No Requirement"))</x:f>
      </x:c>
      <x:c r="M117" s="29" t="str">
        <x:f>IF(I117="","",IFERROR(VLOOKUP(I117,'03 Position Requirements'!$A$6:$R$285,9,FALSE),""))</x:f>
      </x:c>
      <x:c r="N117" s="25" t="str">
        <x:f>IF(I117="","",IFERROR(VLOOKUP(I117,'03 Position Requirements'!$A$6:$R$285,10,FALSE),""))</x:f>
      </x:c>
      <x:c r="O117" s="24"/>
      <x:c r="P117" s="25" t="str">
        <x:f>IF(OR(N117="",O117=""),"",MAX(N117-O117,0))</x:f>
      </x:c>
      <x:c r="Q117" s="30" t="str">
        <x:f>IF(P117="","",P117*M117)</x:f>
      </x:c>
      <x:c r="R117" s="30" t="str">
        <x:f>IF(OR(P117="",L117=""),"",P117*M117*IFERROR(VLOOKUP(L117,'99 Lists'!$A$19:$B$21,2,FALSE),1))</x:f>
      </x:c>
      <x:c r="S117" s="25" t="str">
        <x:f>IF(A117="","",IF(O117="","Not Assessed",IF(P117=0,"Meets / Exceeds",IF(P117=1,"Minor Gap",IF(P117=2,"Major Gap","Critical Gap")))))</x:f>
      </x:c>
      <x:c r="T117" s="24"/>
      <x:c r="U117" s="27"/>
      <x:c r="V117" s="24"/>
      <x:c r="W117" s="24"/>
      <x:c r="X117" s="24"/>
      <x:c r="Y117" s="26"/>
      <x:c r="Z117" s="31" t="str">
        <x:f>IF(B117="","",IF(Y117&lt;&gt;"",Y117,EDATE(B117,IFERROR(VLOOKUP(I117,'03 Position Requirements'!$A$6:$R$285,12,FALSE),12))))</x:f>
      </x:c>
      <x:c r="AA117" s="25" t="str">
        <x:f>IF(OR(B117="",D117="",J117=""),"",IF(COUNTIFS($D$6:$D$155,D117,$J$6:$J$155,J117,$B$6:$B$155,"&gt;"&amp;B117)=0,"Yes","No"))</x:f>
      </x:c>
      <x:c r="AB117" s="25" t="str">
        <x:f>IF(AA117="","",IF(AND(AA117="Yes",OR(P117&gt;0,AD117="Expired")),"Yes","No"))</x:f>
      </x:c>
      <x:c r="AC117" s="25" t="str">
        <x:f>IF(Z117="","",Z117-TODAY())</x:f>
      </x:c>
      <x:c r="AD117" s="25" t="str">
        <x:f>IF(A117="","",IF(O117="","Not Assessed",IF(Z117&lt;TODAY(),"Expired",IF(Z117&lt;=TODAY()+30,"Due Soon","Current"))))</x:f>
      </x:c>
      <x:c r="AE117" s="24"/>
    </x:row>
    <x:row r="118">
      <x:c r="A118" s="24"/>
      <x:c r="B118" s="26"/>
      <x:c r="C118" s="24"/>
      <x:c r="D118" s="24"/>
      <x:c r="E118" s="25" t="str">
        <x:f>IF(D118="","",IFERROR(VLOOKUP(D118,'01 Staff Master'!$A$6:$M$105,2,FALSE),"Staff ID not found"))</x:f>
      </x:c>
      <x:c r="F118" s="25" t="str">
        <x:f>IF(D118="","",IFERROR(VLOOKUP(D118,'01 Staff Master'!$A$6:$M$105,3,FALSE),""))</x:f>
      </x:c>
      <x:c r="G118" s="25" t="str">
        <x:f>IF(D118="","",IFERROR(VLOOKUP(D118,'01 Staff Master'!$A$6:$M$105,5,FALSE),""))</x:f>
      </x:c>
      <x:c r="H118" s="25" t="str">
        <x:f>IF(D118="","",IFERROR(VLOOKUP(D118,'01 Staff Master'!$A$6:$M$105,6,FALSE),""))</x:f>
      </x:c>
      <x:c r="I118" s="25" t="str">
        <x:f>IF(OR(F118="",G118="",J118=""),"",F118&amp;"|"&amp;G118&amp;"|"&amp;J118)</x:f>
      </x:c>
      <x:c r="J118" s="24"/>
      <x:c r="K118" s="25" t="str">
        <x:f>IF(J118="","",IFERROR(VLOOKUP(J118,'02 Skill Catalogue'!$A$6:$K$95,4,FALSE),"Skill ID not found"))</x:f>
      </x:c>
      <x:c r="L118" s="25" t="str">
        <x:f>IF(I118="","",IFERROR(VLOOKUP(I118,'03 Position Requirements'!$A$6:$R$285,8,FALSE),"No Requirement"))</x:f>
      </x:c>
      <x:c r="M118" s="29" t="str">
        <x:f>IF(I118="","",IFERROR(VLOOKUP(I118,'03 Position Requirements'!$A$6:$R$285,9,FALSE),""))</x:f>
      </x:c>
      <x:c r="N118" s="25" t="str">
        <x:f>IF(I118="","",IFERROR(VLOOKUP(I118,'03 Position Requirements'!$A$6:$R$285,10,FALSE),""))</x:f>
      </x:c>
      <x:c r="O118" s="24"/>
      <x:c r="P118" s="25" t="str">
        <x:f>IF(OR(N118="",O118=""),"",MAX(N118-O118,0))</x:f>
      </x:c>
      <x:c r="Q118" s="30" t="str">
        <x:f>IF(P118="","",P118*M118)</x:f>
      </x:c>
      <x:c r="R118" s="30" t="str">
        <x:f>IF(OR(P118="",L118=""),"",P118*M118*IFERROR(VLOOKUP(L118,'99 Lists'!$A$19:$B$21,2,FALSE),1))</x:f>
      </x:c>
      <x:c r="S118" s="25" t="str">
        <x:f>IF(A118="","",IF(O118="","Not Assessed",IF(P118=0,"Meets / Exceeds",IF(P118=1,"Minor Gap",IF(P118=2,"Major Gap","Critical Gap")))))</x:f>
      </x:c>
      <x:c r="T118" s="24"/>
      <x:c r="U118" s="27"/>
      <x:c r="V118" s="24"/>
      <x:c r="W118" s="24"/>
      <x:c r="X118" s="24"/>
      <x:c r="Y118" s="26"/>
      <x:c r="Z118" s="31" t="str">
        <x:f>IF(B118="","",IF(Y118&lt;&gt;"",Y118,EDATE(B118,IFERROR(VLOOKUP(I118,'03 Position Requirements'!$A$6:$R$285,12,FALSE),12))))</x:f>
      </x:c>
      <x:c r="AA118" s="25" t="str">
        <x:f>IF(OR(B118="",D118="",J118=""),"",IF(COUNTIFS($D$6:$D$155,D118,$J$6:$J$155,J118,$B$6:$B$155,"&gt;"&amp;B118)=0,"Yes","No"))</x:f>
      </x:c>
      <x:c r="AB118" s="25" t="str">
        <x:f>IF(AA118="","",IF(AND(AA118="Yes",OR(P118&gt;0,AD118="Expired")),"Yes","No"))</x:f>
      </x:c>
      <x:c r="AC118" s="25" t="str">
        <x:f>IF(Z118="","",Z118-TODAY())</x:f>
      </x:c>
      <x:c r="AD118" s="25" t="str">
        <x:f>IF(A118="","",IF(O118="","Not Assessed",IF(Z118&lt;TODAY(),"Expired",IF(Z118&lt;=TODAY()+30,"Due Soon","Current"))))</x:f>
      </x:c>
      <x:c r="AE118" s="24"/>
    </x:row>
    <x:row r="119">
      <x:c r="A119" s="24"/>
      <x:c r="B119" s="26"/>
      <x:c r="C119" s="24"/>
      <x:c r="D119" s="24"/>
      <x:c r="E119" s="25" t="str">
        <x:f>IF(D119="","",IFERROR(VLOOKUP(D119,'01 Staff Master'!$A$6:$M$105,2,FALSE),"Staff ID not found"))</x:f>
      </x:c>
      <x:c r="F119" s="25" t="str">
        <x:f>IF(D119="","",IFERROR(VLOOKUP(D119,'01 Staff Master'!$A$6:$M$105,3,FALSE),""))</x:f>
      </x:c>
      <x:c r="G119" s="25" t="str">
        <x:f>IF(D119="","",IFERROR(VLOOKUP(D119,'01 Staff Master'!$A$6:$M$105,5,FALSE),""))</x:f>
      </x:c>
      <x:c r="H119" s="25" t="str">
        <x:f>IF(D119="","",IFERROR(VLOOKUP(D119,'01 Staff Master'!$A$6:$M$105,6,FALSE),""))</x:f>
      </x:c>
      <x:c r="I119" s="25" t="str">
        <x:f>IF(OR(F119="",G119="",J119=""),"",F119&amp;"|"&amp;G119&amp;"|"&amp;J119)</x:f>
      </x:c>
      <x:c r="J119" s="24"/>
      <x:c r="K119" s="25" t="str">
        <x:f>IF(J119="","",IFERROR(VLOOKUP(J119,'02 Skill Catalogue'!$A$6:$K$95,4,FALSE),"Skill ID not found"))</x:f>
      </x:c>
      <x:c r="L119" s="25" t="str">
        <x:f>IF(I119="","",IFERROR(VLOOKUP(I119,'03 Position Requirements'!$A$6:$R$285,8,FALSE),"No Requirement"))</x:f>
      </x:c>
      <x:c r="M119" s="29" t="str">
        <x:f>IF(I119="","",IFERROR(VLOOKUP(I119,'03 Position Requirements'!$A$6:$R$285,9,FALSE),""))</x:f>
      </x:c>
      <x:c r="N119" s="25" t="str">
        <x:f>IF(I119="","",IFERROR(VLOOKUP(I119,'03 Position Requirements'!$A$6:$R$285,10,FALSE),""))</x:f>
      </x:c>
      <x:c r="O119" s="24"/>
      <x:c r="P119" s="25" t="str">
        <x:f>IF(OR(N119="",O119=""),"",MAX(N119-O119,0))</x:f>
      </x:c>
      <x:c r="Q119" s="30" t="str">
        <x:f>IF(P119="","",P119*M119)</x:f>
      </x:c>
      <x:c r="R119" s="30" t="str">
        <x:f>IF(OR(P119="",L119=""),"",P119*M119*IFERROR(VLOOKUP(L119,'99 Lists'!$A$19:$B$21,2,FALSE),1))</x:f>
      </x:c>
      <x:c r="S119" s="25" t="str">
        <x:f>IF(A119="","",IF(O119="","Not Assessed",IF(P119=0,"Meets / Exceeds",IF(P119=1,"Minor Gap",IF(P119=2,"Major Gap","Critical Gap")))))</x:f>
      </x:c>
      <x:c r="T119" s="24"/>
      <x:c r="U119" s="27"/>
      <x:c r="V119" s="24"/>
      <x:c r="W119" s="24"/>
      <x:c r="X119" s="24"/>
      <x:c r="Y119" s="26"/>
      <x:c r="Z119" s="31" t="str">
        <x:f>IF(B119="","",IF(Y119&lt;&gt;"",Y119,EDATE(B119,IFERROR(VLOOKUP(I119,'03 Position Requirements'!$A$6:$R$285,12,FALSE),12))))</x:f>
      </x:c>
      <x:c r="AA119" s="25" t="str">
        <x:f>IF(OR(B119="",D119="",J119=""),"",IF(COUNTIFS($D$6:$D$155,D119,$J$6:$J$155,J119,$B$6:$B$155,"&gt;"&amp;B119)=0,"Yes","No"))</x:f>
      </x:c>
      <x:c r="AB119" s="25" t="str">
        <x:f>IF(AA119="","",IF(AND(AA119="Yes",OR(P119&gt;0,AD119="Expired")),"Yes","No"))</x:f>
      </x:c>
      <x:c r="AC119" s="25" t="str">
        <x:f>IF(Z119="","",Z119-TODAY())</x:f>
      </x:c>
      <x:c r="AD119" s="25" t="str">
        <x:f>IF(A119="","",IF(O119="","Not Assessed",IF(Z119&lt;TODAY(),"Expired",IF(Z119&lt;=TODAY()+30,"Due Soon","Current"))))</x:f>
      </x:c>
      <x:c r="AE119" s="24"/>
    </x:row>
    <x:row r="120">
      <x:c r="A120" s="24"/>
      <x:c r="B120" s="26"/>
      <x:c r="C120" s="24"/>
      <x:c r="D120" s="24"/>
      <x:c r="E120" s="25" t="str">
        <x:f>IF(D120="","",IFERROR(VLOOKUP(D120,'01 Staff Master'!$A$6:$M$105,2,FALSE),"Staff ID not found"))</x:f>
      </x:c>
      <x:c r="F120" s="25" t="str">
        <x:f>IF(D120="","",IFERROR(VLOOKUP(D120,'01 Staff Master'!$A$6:$M$105,3,FALSE),""))</x:f>
      </x:c>
      <x:c r="G120" s="25" t="str">
        <x:f>IF(D120="","",IFERROR(VLOOKUP(D120,'01 Staff Master'!$A$6:$M$105,5,FALSE),""))</x:f>
      </x:c>
      <x:c r="H120" s="25" t="str">
        <x:f>IF(D120="","",IFERROR(VLOOKUP(D120,'01 Staff Master'!$A$6:$M$105,6,FALSE),""))</x:f>
      </x:c>
      <x:c r="I120" s="25" t="str">
        <x:f>IF(OR(F120="",G120="",J120=""),"",F120&amp;"|"&amp;G120&amp;"|"&amp;J120)</x:f>
      </x:c>
      <x:c r="J120" s="24"/>
      <x:c r="K120" s="25" t="str">
        <x:f>IF(J120="","",IFERROR(VLOOKUP(J120,'02 Skill Catalogue'!$A$6:$K$95,4,FALSE),"Skill ID not found"))</x:f>
      </x:c>
      <x:c r="L120" s="25" t="str">
        <x:f>IF(I120="","",IFERROR(VLOOKUP(I120,'03 Position Requirements'!$A$6:$R$285,8,FALSE),"No Requirement"))</x:f>
      </x:c>
      <x:c r="M120" s="29" t="str">
        <x:f>IF(I120="","",IFERROR(VLOOKUP(I120,'03 Position Requirements'!$A$6:$R$285,9,FALSE),""))</x:f>
      </x:c>
      <x:c r="N120" s="25" t="str">
        <x:f>IF(I120="","",IFERROR(VLOOKUP(I120,'03 Position Requirements'!$A$6:$R$285,10,FALSE),""))</x:f>
      </x:c>
      <x:c r="O120" s="24"/>
      <x:c r="P120" s="25" t="str">
        <x:f>IF(OR(N120="",O120=""),"",MAX(N120-O120,0))</x:f>
      </x:c>
      <x:c r="Q120" s="30" t="str">
        <x:f>IF(P120="","",P120*M120)</x:f>
      </x:c>
      <x:c r="R120" s="30" t="str">
        <x:f>IF(OR(P120="",L120=""),"",P120*M120*IFERROR(VLOOKUP(L120,'99 Lists'!$A$19:$B$21,2,FALSE),1))</x:f>
      </x:c>
      <x:c r="S120" s="25" t="str">
        <x:f>IF(A120="","",IF(O120="","Not Assessed",IF(P120=0,"Meets / Exceeds",IF(P120=1,"Minor Gap",IF(P120=2,"Major Gap","Critical Gap")))))</x:f>
      </x:c>
      <x:c r="T120" s="24"/>
      <x:c r="U120" s="27"/>
      <x:c r="V120" s="24"/>
      <x:c r="W120" s="24"/>
      <x:c r="X120" s="24"/>
      <x:c r="Y120" s="26"/>
      <x:c r="Z120" s="31" t="str">
        <x:f>IF(B120="","",IF(Y120&lt;&gt;"",Y120,EDATE(B120,IFERROR(VLOOKUP(I120,'03 Position Requirements'!$A$6:$R$285,12,FALSE),12))))</x:f>
      </x:c>
      <x:c r="AA120" s="25" t="str">
        <x:f>IF(OR(B120="",D120="",J120=""),"",IF(COUNTIFS($D$6:$D$155,D120,$J$6:$J$155,J120,$B$6:$B$155,"&gt;"&amp;B120)=0,"Yes","No"))</x:f>
      </x:c>
      <x:c r="AB120" s="25" t="str">
        <x:f>IF(AA120="","",IF(AND(AA120="Yes",OR(P120&gt;0,AD120="Expired")),"Yes","No"))</x:f>
      </x:c>
      <x:c r="AC120" s="25" t="str">
        <x:f>IF(Z120="","",Z120-TODAY())</x:f>
      </x:c>
      <x:c r="AD120" s="25" t="str">
        <x:f>IF(A120="","",IF(O120="","Not Assessed",IF(Z120&lt;TODAY(),"Expired",IF(Z120&lt;=TODAY()+30,"Due Soon","Current"))))</x:f>
      </x:c>
      <x:c r="AE120" s="24"/>
    </x:row>
    <x:row r="121">
      <x:c r="A121" s="24"/>
      <x:c r="B121" s="26"/>
      <x:c r="C121" s="24"/>
      <x:c r="D121" s="24"/>
      <x:c r="E121" s="25" t="str">
        <x:f>IF(D121="","",IFERROR(VLOOKUP(D121,'01 Staff Master'!$A$6:$M$105,2,FALSE),"Staff ID not found"))</x:f>
      </x:c>
      <x:c r="F121" s="25" t="str">
        <x:f>IF(D121="","",IFERROR(VLOOKUP(D121,'01 Staff Master'!$A$6:$M$105,3,FALSE),""))</x:f>
      </x:c>
      <x:c r="G121" s="25" t="str">
        <x:f>IF(D121="","",IFERROR(VLOOKUP(D121,'01 Staff Master'!$A$6:$M$105,5,FALSE),""))</x:f>
      </x:c>
      <x:c r="H121" s="25" t="str">
        <x:f>IF(D121="","",IFERROR(VLOOKUP(D121,'01 Staff Master'!$A$6:$M$105,6,FALSE),""))</x:f>
      </x:c>
      <x:c r="I121" s="25" t="str">
        <x:f>IF(OR(F121="",G121="",J121=""),"",F121&amp;"|"&amp;G121&amp;"|"&amp;J121)</x:f>
      </x:c>
      <x:c r="J121" s="24"/>
      <x:c r="K121" s="25" t="str">
        <x:f>IF(J121="","",IFERROR(VLOOKUP(J121,'02 Skill Catalogue'!$A$6:$K$95,4,FALSE),"Skill ID not found"))</x:f>
      </x:c>
      <x:c r="L121" s="25" t="str">
        <x:f>IF(I121="","",IFERROR(VLOOKUP(I121,'03 Position Requirements'!$A$6:$R$285,8,FALSE),"No Requirement"))</x:f>
      </x:c>
      <x:c r="M121" s="29" t="str">
        <x:f>IF(I121="","",IFERROR(VLOOKUP(I121,'03 Position Requirements'!$A$6:$R$285,9,FALSE),""))</x:f>
      </x:c>
      <x:c r="N121" s="25" t="str">
        <x:f>IF(I121="","",IFERROR(VLOOKUP(I121,'03 Position Requirements'!$A$6:$R$285,10,FALSE),""))</x:f>
      </x:c>
      <x:c r="O121" s="24"/>
      <x:c r="P121" s="25" t="str">
        <x:f>IF(OR(N121="",O121=""),"",MAX(N121-O121,0))</x:f>
      </x:c>
      <x:c r="Q121" s="30" t="str">
        <x:f>IF(P121="","",P121*M121)</x:f>
      </x:c>
      <x:c r="R121" s="30" t="str">
        <x:f>IF(OR(P121="",L121=""),"",P121*M121*IFERROR(VLOOKUP(L121,'99 Lists'!$A$19:$B$21,2,FALSE),1))</x:f>
      </x:c>
      <x:c r="S121" s="25" t="str">
        <x:f>IF(A121="","",IF(O121="","Not Assessed",IF(P121=0,"Meets / Exceeds",IF(P121=1,"Minor Gap",IF(P121=2,"Major Gap","Critical Gap")))))</x:f>
      </x:c>
      <x:c r="T121" s="24"/>
      <x:c r="U121" s="27"/>
      <x:c r="V121" s="24"/>
      <x:c r="W121" s="24"/>
      <x:c r="X121" s="24"/>
      <x:c r="Y121" s="26"/>
      <x:c r="Z121" s="31" t="str">
        <x:f>IF(B121="","",IF(Y121&lt;&gt;"",Y121,EDATE(B121,IFERROR(VLOOKUP(I121,'03 Position Requirements'!$A$6:$R$285,12,FALSE),12))))</x:f>
      </x:c>
      <x:c r="AA121" s="25" t="str">
        <x:f>IF(OR(B121="",D121="",J121=""),"",IF(COUNTIFS($D$6:$D$155,D121,$J$6:$J$155,J121,$B$6:$B$155,"&gt;"&amp;B121)=0,"Yes","No"))</x:f>
      </x:c>
      <x:c r="AB121" s="25" t="str">
        <x:f>IF(AA121="","",IF(AND(AA121="Yes",OR(P121&gt;0,AD121="Expired")),"Yes","No"))</x:f>
      </x:c>
      <x:c r="AC121" s="25" t="str">
        <x:f>IF(Z121="","",Z121-TODAY())</x:f>
      </x:c>
      <x:c r="AD121" s="25" t="str">
        <x:f>IF(A121="","",IF(O121="","Not Assessed",IF(Z121&lt;TODAY(),"Expired",IF(Z121&lt;=TODAY()+30,"Due Soon","Current"))))</x:f>
      </x:c>
      <x:c r="AE121" s="24"/>
    </x:row>
    <x:row r="122">
      <x:c r="A122" s="24"/>
      <x:c r="B122" s="26"/>
      <x:c r="C122" s="24"/>
      <x:c r="D122" s="24"/>
      <x:c r="E122" s="25" t="str">
        <x:f>IF(D122="","",IFERROR(VLOOKUP(D122,'01 Staff Master'!$A$6:$M$105,2,FALSE),"Staff ID not found"))</x:f>
      </x:c>
      <x:c r="F122" s="25" t="str">
        <x:f>IF(D122="","",IFERROR(VLOOKUP(D122,'01 Staff Master'!$A$6:$M$105,3,FALSE),""))</x:f>
      </x:c>
      <x:c r="G122" s="25" t="str">
        <x:f>IF(D122="","",IFERROR(VLOOKUP(D122,'01 Staff Master'!$A$6:$M$105,5,FALSE),""))</x:f>
      </x:c>
      <x:c r="H122" s="25" t="str">
        <x:f>IF(D122="","",IFERROR(VLOOKUP(D122,'01 Staff Master'!$A$6:$M$105,6,FALSE),""))</x:f>
      </x:c>
      <x:c r="I122" s="25" t="str">
        <x:f>IF(OR(F122="",G122="",J122=""),"",F122&amp;"|"&amp;G122&amp;"|"&amp;J122)</x:f>
      </x:c>
      <x:c r="J122" s="24"/>
      <x:c r="K122" s="25" t="str">
        <x:f>IF(J122="","",IFERROR(VLOOKUP(J122,'02 Skill Catalogue'!$A$6:$K$95,4,FALSE),"Skill ID not found"))</x:f>
      </x:c>
      <x:c r="L122" s="25" t="str">
        <x:f>IF(I122="","",IFERROR(VLOOKUP(I122,'03 Position Requirements'!$A$6:$R$285,8,FALSE),"No Requirement"))</x:f>
      </x:c>
      <x:c r="M122" s="29" t="str">
        <x:f>IF(I122="","",IFERROR(VLOOKUP(I122,'03 Position Requirements'!$A$6:$R$285,9,FALSE),""))</x:f>
      </x:c>
      <x:c r="N122" s="25" t="str">
        <x:f>IF(I122="","",IFERROR(VLOOKUP(I122,'03 Position Requirements'!$A$6:$R$285,10,FALSE),""))</x:f>
      </x:c>
      <x:c r="O122" s="24"/>
      <x:c r="P122" s="25" t="str">
        <x:f>IF(OR(N122="",O122=""),"",MAX(N122-O122,0))</x:f>
      </x:c>
      <x:c r="Q122" s="30" t="str">
        <x:f>IF(P122="","",P122*M122)</x:f>
      </x:c>
      <x:c r="R122" s="30" t="str">
        <x:f>IF(OR(P122="",L122=""),"",P122*M122*IFERROR(VLOOKUP(L122,'99 Lists'!$A$19:$B$21,2,FALSE),1))</x:f>
      </x:c>
      <x:c r="S122" s="25" t="str">
        <x:f>IF(A122="","",IF(O122="","Not Assessed",IF(P122=0,"Meets / Exceeds",IF(P122=1,"Minor Gap",IF(P122=2,"Major Gap","Critical Gap")))))</x:f>
      </x:c>
      <x:c r="T122" s="24"/>
      <x:c r="U122" s="27"/>
      <x:c r="V122" s="24"/>
      <x:c r="W122" s="24"/>
      <x:c r="X122" s="24"/>
      <x:c r="Y122" s="26"/>
      <x:c r="Z122" s="31" t="str">
        <x:f>IF(B122="","",IF(Y122&lt;&gt;"",Y122,EDATE(B122,IFERROR(VLOOKUP(I122,'03 Position Requirements'!$A$6:$R$285,12,FALSE),12))))</x:f>
      </x:c>
      <x:c r="AA122" s="25" t="str">
        <x:f>IF(OR(B122="",D122="",J122=""),"",IF(COUNTIFS($D$6:$D$155,D122,$J$6:$J$155,J122,$B$6:$B$155,"&gt;"&amp;B122)=0,"Yes","No"))</x:f>
      </x:c>
      <x:c r="AB122" s="25" t="str">
        <x:f>IF(AA122="","",IF(AND(AA122="Yes",OR(P122&gt;0,AD122="Expired")),"Yes","No"))</x:f>
      </x:c>
      <x:c r="AC122" s="25" t="str">
        <x:f>IF(Z122="","",Z122-TODAY())</x:f>
      </x:c>
      <x:c r="AD122" s="25" t="str">
        <x:f>IF(A122="","",IF(O122="","Not Assessed",IF(Z122&lt;TODAY(),"Expired",IF(Z122&lt;=TODAY()+30,"Due Soon","Current"))))</x:f>
      </x:c>
      <x:c r="AE122" s="24"/>
    </x:row>
    <x:row r="123">
      <x:c r="A123" s="24"/>
      <x:c r="B123" s="26"/>
      <x:c r="C123" s="24"/>
      <x:c r="D123" s="24"/>
      <x:c r="E123" s="25" t="str">
        <x:f>IF(D123="","",IFERROR(VLOOKUP(D123,'01 Staff Master'!$A$6:$M$105,2,FALSE),"Staff ID not found"))</x:f>
      </x:c>
      <x:c r="F123" s="25" t="str">
        <x:f>IF(D123="","",IFERROR(VLOOKUP(D123,'01 Staff Master'!$A$6:$M$105,3,FALSE),""))</x:f>
      </x:c>
      <x:c r="G123" s="25" t="str">
        <x:f>IF(D123="","",IFERROR(VLOOKUP(D123,'01 Staff Master'!$A$6:$M$105,5,FALSE),""))</x:f>
      </x:c>
      <x:c r="H123" s="25" t="str">
        <x:f>IF(D123="","",IFERROR(VLOOKUP(D123,'01 Staff Master'!$A$6:$M$105,6,FALSE),""))</x:f>
      </x:c>
      <x:c r="I123" s="25" t="str">
        <x:f>IF(OR(F123="",G123="",J123=""),"",F123&amp;"|"&amp;G123&amp;"|"&amp;J123)</x:f>
      </x:c>
      <x:c r="J123" s="24"/>
      <x:c r="K123" s="25" t="str">
        <x:f>IF(J123="","",IFERROR(VLOOKUP(J123,'02 Skill Catalogue'!$A$6:$K$95,4,FALSE),"Skill ID not found"))</x:f>
      </x:c>
      <x:c r="L123" s="25" t="str">
        <x:f>IF(I123="","",IFERROR(VLOOKUP(I123,'03 Position Requirements'!$A$6:$R$285,8,FALSE),"No Requirement"))</x:f>
      </x:c>
      <x:c r="M123" s="29" t="str">
        <x:f>IF(I123="","",IFERROR(VLOOKUP(I123,'03 Position Requirements'!$A$6:$R$285,9,FALSE),""))</x:f>
      </x:c>
      <x:c r="N123" s="25" t="str">
        <x:f>IF(I123="","",IFERROR(VLOOKUP(I123,'03 Position Requirements'!$A$6:$R$285,10,FALSE),""))</x:f>
      </x:c>
      <x:c r="O123" s="24"/>
      <x:c r="P123" s="25" t="str">
        <x:f>IF(OR(N123="",O123=""),"",MAX(N123-O123,0))</x:f>
      </x:c>
      <x:c r="Q123" s="30" t="str">
        <x:f>IF(P123="","",P123*M123)</x:f>
      </x:c>
      <x:c r="R123" s="30" t="str">
        <x:f>IF(OR(P123="",L123=""),"",P123*M123*IFERROR(VLOOKUP(L123,'99 Lists'!$A$19:$B$21,2,FALSE),1))</x:f>
      </x:c>
      <x:c r="S123" s="25" t="str">
        <x:f>IF(A123="","",IF(O123="","Not Assessed",IF(P123=0,"Meets / Exceeds",IF(P123=1,"Minor Gap",IF(P123=2,"Major Gap","Critical Gap")))))</x:f>
      </x:c>
      <x:c r="T123" s="24"/>
      <x:c r="U123" s="27"/>
      <x:c r="V123" s="24"/>
      <x:c r="W123" s="24"/>
      <x:c r="X123" s="24"/>
      <x:c r="Y123" s="26"/>
      <x:c r="Z123" s="31" t="str">
        <x:f>IF(B123="","",IF(Y123&lt;&gt;"",Y123,EDATE(B123,IFERROR(VLOOKUP(I123,'03 Position Requirements'!$A$6:$R$285,12,FALSE),12))))</x:f>
      </x:c>
      <x:c r="AA123" s="25" t="str">
        <x:f>IF(OR(B123="",D123="",J123=""),"",IF(COUNTIFS($D$6:$D$155,D123,$J$6:$J$155,J123,$B$6:$B$155,"&gt;"&amp;B123)=0,"Yes","No"))</x:f>
      </x:c>
      <x:c r="AB123" s="25" t="str">
        <x:f>IF(AA123="","",IF(AND(AA123="Yes",OR(P123&gt;0,AD123="Expired")),"Yes","No"))</x:f>
      </x:c>
      <x:c r="AC123" s="25" t="str">
        <x:f>IF(Z123="","",Z123-TODAY())</x:f>
      </x:c>
      <x:c r="AD123" s="25" t="str">
        <x:f>IF(A123="","",IF(O123="","Not Assessed",IF(Z123&lt;TODAY(),"Expired",IF(Z123&lt;=TODAY()+30,"Due Soon","Current"))))</x:f>
      </x:c>
      <x:c r="AE123" s="24"/>
    </x:row>
    <x:row r="124">
      <x:c r="A124" s="24"/>
      <x:c r="B124" s="26"/>
      <x:c r="C124" s="24"/>
      <x:c r="D124" s="24"/>
      <x:c r="E124" s="25" t="str">
        <x:f>IF(D124="","",IFERROR(VLOOKUP(D124,'01 Staff Master'!$A$6:$M$105,2,FALSE),"Staff ID not found"))</x:f>
      </x:c>
      <x:c r="F124" s="25" t="str">
        <x:f>IF(D124="","",IFERROR(VLOOKUP(D124,'01 Staff Master'!$A$6:$M$105,3,FALSE),""))</x:f>
      </x:c>
      <x:c r="G124" s="25" t="str">
        <x:f>IF(D124="","",IFERROR(VLOOKUP(D124,'01 Staff Master'!$A$6:$M$105,5,FALSE),""))</x:f>
      </x:c>
      <x:c r="H124" s="25" t="str">
        <x:f>IF(D124="","",IFERROR(VLOOKUP(D124,'01 Staff Master'!$A$6:$M$105,6,FALSE),""))</x:f>
      </x:c>
      <x:c r="I124" s="25" t="str">
        <x:f>IF(OR(F124="",G124="",J124=""),"",F124&amp;"|"&amp;G124&amp;"|"&amp;J124)</x:f>
      </x:c>
      <x:c r="J124" s="24"/>
      <x:c r="K124" s="25" t="str">
        <x:f>IF(J124="","",IFERROR(VLOOKUP(J124,'02 Skill Catalogue'!$A$6:$K$95,4,FALSE),"Skill ID not found"))</x:f>
      </x:c>
      <x:c r="L124" s="25" t="str">
        <x:f>IF(I124="","",IFERROR(VLOOKUP(I124,'03 Position Requirements'!$A$6:$R$285,8,FALSE),"No Requirement"))</x:f>
      </x:c>
      <x:c r="M124" s="29" t="str">
        <x:f>IF(I124="","",IFERROR(VLOOKUP(I124,'03 Position Requirements'!$A$6:$R$285,9,FALSE),""))</x:f>
      </x:c>
      <x:c r="N124" s="25" t="str">
        <x:f>IF(I124="","",IFERROR(VLOOKUP(I124,'03 Position Requirements'!$A$6:$R$285,10,FALSE),""))</x:f>
      </x:c>
      <x:c r="O124" s="24"/>
      <x:c r="P124" s="25" t="str">
        <x:f>IF(OR(N124="",O124=""),"",MAX(N124-O124,0))</x:f>
      </x:c>
      <x:c r="Q124" s="30" t="str">
        <x:f>IF(P124="","",P124*M124)</x:f>
      </x:c>
      <x:c r="R124" s="30" t="str">
        <x:f>IF(OR(P124="",L124=""),"",P124*M124*IFERROR(VLOOKUP(L124,'99 Lists'!$A$19:$B$21,2,FALSE),1))</x:f>
      </x:c>
      <x:c r="S124" s="25" t="str">
        <x:f>IF(A124="","",IF(O124="","Not Assessed",IF(P124=0,"Meets / Exceeds",IF(P124=1,"Minor Gap",IF(P124=2,"Major Gap","Critical Gap")))))</x:f>
      </x:c>
      <x:c r="T124" s="24"/>
      <x:c r="U124" s="27"/>
      <x:c r="V124" s="24"/>
      <x:c r="W124" s="24"/>
      <x:c r="X124" s="24"/>
      <x:c r="Y124" s="26"/>
      <x:c r="Z124" s="31" t="str">
        <x:f>IF(B124="","",IF(Y124&lt;&gt;"",Y124,EDATE(B124,IFERROR(VLOOKUP(I124,'03 Position Requirements'!$A$6:$R$285,12,FALSE),12))))</x:f>
      </x:c>
      <x:c r="AA124" s="25" t="str">
        <x:f>IF(OR(B124="",D124="",J124=""),"",IF(COUNTIFS($D$6:$D$155,D124,$J$6:$J$155,J124,$B$6:$B$155,"&gt;"&amp;B124)=0,"Yes","No"))</x:f>
      </x:c>
      <x:c r="AB124" s="25" t="str">
        <x:f>IF(AA124="","",IF(AND(AA124="Yes",OR(P124&gt;0,AD124="Expired")),"Yes","No"))</x:f>
      </x:c>
      <x:c r="AC124" s="25" t="str">
        <x:f>IF(Z124="","",Z124-TODAY())</x:f>
      </x:c>
      <x:c r="AD124" s="25" t="str">
        <x:f>IF(A124="","",IF(O124="","Not Assessed",IF(Z124&lt;TODAY(),"Expired",IF(Z124&lt;=TODAY()+30,"Due Soon","Current"))))</x:f>
      </x:c>
      <x:c r="AE124" s="24"/>
    </x:row>
    <x:row r="125">
      <x:c r="A125" s="24"/>
      <x:c r="B125" s="26"/>
      <x:c r="C125" s="24"/>
      <x:c r="D125" s="24"/>
      <x:c r="E125" s="25" t="str">
        <x:f>IF(D125="","",IFERROR(VLOOKUP(D125,'01 Staff Master'!$A$6:$M$105,2,FALSE),"Staff ID not found"))</x:f>
      </x:c>
      <x:c r="F125" s="25" t="str">
        <x:f>IF(D125="","",IFERROR(VLOOKUP(D125,'01 Staff Master'!$A$6:$M$105,3,FALSE),""))</x:f>
      </x:c>
      <x:c r="G125" s="25" t="str">
        <x:f>IF(D125="","",IFERROR(VLOOKUP(D125,'01 Staff Master'!$A$6:$M$105,5,FALSE),""))</x:f>
      </x:c>
      <x:c r="H125" s="25" t="str">
        <x:f>IF(D125="","",IFERROR(VLOOKUP(D125,'01 Staff Master'!$A$6:$M$105,6,FALSE),""))</x:f>
      </x:c>
      <x:c r="I125" s="25" t="str">
        <x:f>IF(OR(F125="",G125="",J125=""),"",F125&amp;"|"&amp;G125&amp;"|"&amp;J125)</x:f>
      </x:c>
      <x:c r="J125" s="24"/>
      <x:c r="K125" s="25" t="str">
        <x:f>IF(J125="","",IFERROR(VLOOKUP(J125,'02 Skill Catalogue'!$A$6:$K$95,4,FALSE),"Skill ID not found"))</x:f>
      </x:c>
      <x:c r="L125" s="25" t="str">
        <x:f>IF(I125="","",IFERROR(VLOOKUP(I125,'03 Position Requirements'!$A$6:$R$285,8,FALSE),"No Requirement"))</x:f>
      </x:c>
      <x:c r="M125" s="29" t="str">
        <x:f>IF(I125="","",IFERROR(VLOOKUP(I125,'03 Position Requirements'!$A$6:$R$285,9,FALSE),""))</x:f>
      </x:c>
      <x:c r="N125" s="25" t="str">
        <x:f>IF(I125="","",IFERROR(VLOOKUP(I125,'03 Position Requirements'!$A$6:$R$285,10,FALSE),""))</x:f>
      </x:c>
      <x:c r="O125" s="24"/>
      <x:c r="P125" s="25" t="str">
        <x:f>IF(OR(N125="",O125=""),"",MAX(N125-O125,0))</x:f>
      </x:c>
      <x:c r="Q125" s="30" t="str">
        <x:f>IF(P125="","",P125*M125)</x:f>
      </x:c>
      <x:c r="R125" s="30" t="str">
        <x:f>IF(OR(P125="",L125=""),"",P125*M125*IFERROR(VLOOKUP(L125,'99 Lists'!$A$19:$B$21,2,FALSE),1))</x:f>
      </x:c>
      <x:c r="S125" s="25" t="str">
        <x:f>IF(A125="","",IF(O125="","Not Assessed",IF(P125=0,"Meets / Exceeds",IF(P125=1,"Minor Gap",IF(P125=2,"Major Gap","Critical Gap")))))</x:f>
      </x:c>
      <x:c r="T125" s="24"/>
      <x:c r="U125" s="27"/>
      <x:c r="V125" s="24"/>
      <x:c r="W125" s="24"/>
      <x:c r="X125" s="24"/>
      <x:c r="Y125" s="26"/>
      <x:c r="Z125" s="31" t="str">
        <x:f>IF(B125="","",IF(Y125&lt;&gt;"",Y125,EDATE(B125,IFERROR(VLOOKUP(I125,'03 Position Requirements'!$A$6:$R$285,12,FALSE),12))))</x:f>
      </x:c>
      <x:c r="AA125" s="25" t="str">
        <x:f>IF(OR(B125="",D125="",J125=""),"",IF(COUNTIFS($D$6:$D$155,D125,$J$6:$J$155,J125,$B$6:$B$155,"&gt;"&amp;B125)=0,"Yes","No"))</x:f>
      </x:c>
      <x:c r="AB125" s="25" t="str">
        <x:f>IF(AA125="","",IF(AND(AA125="Yes",OR(P125&gt;0,AD125="Expired")),"Yes","No"))</x:f>
      </x:c>
      <x:c r="AC125" s="25" t="str">
        <x:f>IF(Z125="","",Z125-TODAY())</x:f>
      </x:c>
      <x:c r="AD125" s="25" t="str">
        <x:f>IF(A125="","",IF(O125="","Not Assessed",IF(Z125&lt;TODAY(),"Expired",IF(Z125&lt;=TODAY()+30,"Due Soon","Current"))))</x:f>
      </x:c>
      <x:c r="AE125" s="24"/>
    </x:row>
    <x:row r="126">
      <x:c r="A126" s="24"/>
      <x:c r="B126" s="26"/>
      <x:c r="C126" s="24"/>
      <x:c r="D126" s="24"/>
      <x:c r="E126" s="25" t="str">
        <x:f>IF(D126="","",IFERROR(VLOOKUP(D126,'01 Staff Master'!$A$6:$M$105,2,FALSE),"Staff ID not found"))</x:f>
      </x:c>
      <x:c r="F126" s="25" t="str">
        <x:f>IF(D126="","",IFERROR(VLOOKUP(D126,'01 Staff Master'!$A$6:$M$105,3,FALSE),""))</x:f>
      </x:c>
      <x:c r="G126" s="25" t="str">
        <x:f>IF(D126="","",IFERROR(VLOOKUP(D126,'01 Staff Master'!$A$6:$M$105,5,FALSE),""))</x:f>
      </x:c>
      <x:c r="H126" s="25" t="str">
        <x:f>IF(D126="","",IFERROR(VLOOKUP(D126,'01 Staff Master'!$A$6:$M$105,6,FALSE),""))</x:f>
      </x:c>
      <x:c r="I126" s="25" t="str">
        <x:f>IF(OR(F126="",G126="",J126=""),"",F126&amp;"|"&amp;G126&amp;"|"&amp;J126)</x:f>
      </x:c>
      <x:c r="J126" s="24"/>
      <x:c r="K126" s="25" t="str">
        <x:f>IF(J126="","",IFERROR(VLOOKUP(J126,'02 Skill Catalogue'!$A$6:$K$95,4,FALSE),"Skill ID not found"))</x:f>
      </x:c>
      <x:c r="L126" s="25" t="str">
        <x:f>IF(I126="","",IFERROR(VLOOKUP(I126,'03 Position Requirements'!$A$6:$R$285,8,FALSE),"No Requirement"))</x:f>
      </x:c>
      <x:c r="M126" s="29" t="str">
        <x:f>IF(I126="","",IFERROR(VLOOKUP(I126,'03 Position Requirements'!$A$6:$R$285,9,FALSE),""))</x:f>
      </x:c>
      <x:c r="N126" s="25" t="str">
        <x:f>IF(I126="","",IFERROR(VLOOKUP(I126,'03 Position Requirements'!$A$6:$R$285,10,FALSE),""))</x:f>
      </x:c>
      <x:c r="O126" s="24"/>
      <x:c r="P126" s="25" t="str">
        <x:f>IF(OR(N126="",O126=""),"",MAX(N126-O126,0))</x:f>
      </x:c>
      <x:c r="Q126" s="30" t="str">
        <x:f>IF(P126="","",P126*M126)</x:f>
      </x:c>
      <x:c r="R126" s="30" t="str">
        <x:f>IF(OR(P126="",L126=""),"",P126*M126*IFERROR(VLOOKUP(L126,'99 Lists'!$A$19:$B$21,2,FALSE),1))</x:f>
      </x:c>
      <x:c r="S126" s="25" t="str">
        <x:f>IF(A126="","",IF(O126="","Not Assessed",IF(P126=0,"Meets / Exceeds",IF(P126=1,"Minor Gap",IF(P126=2,"Major Gap","Critical Gap")))))</x:f>
      </x:c>
      <x:c r="T126" s="24"/>
      <x:c r="U126" s="27"/>
      <x:c r="V126" s="24"/>
      <x:c r="W126" s="24"/>
      <x:c r="X126" s="24"/>
      <x:c r="Y126" s="26"/>
      <x:c r="Z126" s="31" t="str">
        <x:f>IF(B126="","",IF(Y126&lt;&gt;"",Y126,EDATE(B126,IFERROR(VLOOKUP(I126,'03 Position Requirements'!$A$6:$R$285,12,FALSE),12))))</x:f>
      </x:c>
      <x:c r="AA126" s="25" t="str">
        <x:f>IF(OR(B126="",D126="",J126=""),"",IF(COUNTIFS($D$6:$D$155,D126,$J$6:$J$155,J126,$B$6:$B$155,"&gt;"&amp;B126)=0,"Yes","No"))</x:f>
      </x:c>
      <x:c r="AB126" s="25" t="str">
        <x:f>IF(AA126="","",IF(AND(AA126="Yes",OR(P126&gt;0,AD126="Expired")),"Yes","No"))</x:f>
      </x:c>
      <x:c r="AC126" s="25" t="str">
        <x:f>IF(Z126="","",Z126-TODAY())</x:f>
      </x:c>
      <x:c r="AD126" s="25" t="str">
        <x:f>IF(A126="","",IF(O126="","Not Assessed",IF(Z126&lt;TODAY(),"Expired",IF(Z126&lt;=TODAY()+30,"Due Soon","Current"))))</x:f>
      </x:c>
      <x:c r="AE126" s="24"/>
    </x:row>
    <x:row r="127">
      <x:c r="A127" s="24"/>
      <x:c r="B127" s="26"/>
      <x:c r="C127" s="24"/>
      <x:c r="D127" s="24"/>
      <x:c r="E127" s="25" t="str">
        <x:f>IF(D127="","",IFERROR(VLOOKUP(D127,'01 Staff Master'!$A$6:$M$105,2,FALSE),"Staff ID not found"))</x:f>
      </x:c>
      <x:c r="F127" s="25" t="str">
        <x:f>IF(D127="","",IFERROR(VLOOKUP(D127,'01 Staff Master'!$A$6:$M$105,3,FALSE),""))</x:f>
      </x:c>
      <x:c r="G127" s="25" t="str">
        <x:f>IF(D127="","",IFERROR(VLOOKUP(D127,'01 Staff Master'!$A$6:$M$105,5,FALSE),""))</x:f>
      </x:c>
      <x:c r="H127" s="25" t="str">
        <x:f>IF(D127="","",IFERROR(VLOOKUP(D127,'01 Staff Master'!$A$6:$M$105,6,FALSE),""))</x:f>
      </x:c>
      <x:c r="I127" s="25" t="str">
        <x:f>IF(OR(F127="",G127="",J127=""),"",F127&amp;"|"&amp;G127&amp;"|"&amp;J127)</x:f>
      </x:c>
      <x:c r="J127" s="24"/>
      <x:c r="K127" s="25" t="str">
        <x:f>IF(J127="","",IFERROR(VLOOKUP(J127,'02 Skill Catalogue'!$A$6:$K$95,4,FALSE),"Skill ID not found"))</x:f>
      </x:c>
      <x:c r="L127" s="25" t="str">
        <x:f>IF(I127="","",IFERROR(VLOOKUP(I127,'03 Position Requirements'!$A$6:$R$285,8,FALSE),"No Requirement"))</x:f>
      </x:c>
      <x:c r="M127" s="29" t="str">
        <x:f>IF(I127="","",IFERROR(VLOOKUP(I127,'03 Position Requirements'!$A$6:$R$285,9,FALSE),""))</x:f>
      </x:c>
      <x:c r="N127" s="25" t="str">
        <x:f>IF(I127="","",IFERROR(VLOOKUP(I127,'03 Position Requirements'!$A$6:$R$285,10,FALSE),""))</x:f>
      </x:c>
      <x:c r="O127" s="24"/>
      <x:c r="P127" s="25" t="str">
        <x:f>IF(OR(N127="",O127=""),"",MAX(N127-O127,0))</x:f>
      </x:c>
      <x:c r="Q127" s="30" t="str">
        <x:f>IF(P127="","",P127*M127)</x:f>
      </x:c>
      <x:c r="R127" s="30" t="str">
        <x:f>IF(OR(P127="",L127=""),"",P127*M127*IFERROR(VLOOKUP(L127,'99 Lists'!$A$19:$B$21,2,FALSE),1))</x:f>
      </x:c>
      <x:c r="S127" s="25" t="str">
        <x:f>IF(A127="","",IF(O127="","Not Assessed",IF(P127=0,"Meets / Exceeds",IF(P127=1,"Minor Gap",IF(P127=2,"Major Gap","Critical Gap")))))</x:f>
      </x:c>
      <x:c r="T127" s="24"/>
      <x:c r="U127" s="27"/>
      <x:c r="V127" s="24"/>
      <x:c r="W127" s="24"/>
      <x:c r="X127" s="24"/>
      <x:c r="Y127" s="26"/>
      <x:c r="Z127" s="31" t="str">
        <x:f>IF(B127="","",IF(Y127&lt;&gt;"",Y127,EDATE(B127,IFERROR(VLOOKUP(I127,'03 Position Requirements'!$A$6:$R$285,12,FALSE),12))))</x:f>
      </x:c>
      <x:c r="AA127" s="25" t="str">
        <x:f>IF(OR(B127="",D127="",J127=""),"",IF(COUNTIFS($D$6:$D$155,D127,$J$6:$J$155,J127,$B$6:$B$155,"&gt;"&amp;B127)=0,"Yes","No"))</x:f>
      </x:c>
      <x:c r="AB127" s="25" t="str">
        <x:f>IF(AA127="","",IF(AND(AA127="Yes",OR(P127&gt;0,AD127="Expired")),"Yes","No"))</x:f>
      </x:c>
      <x:c r="AC127" s="25" t="str">
        <x:f>IF(Z127="","",Z127-TODAY())</x:f>
      </x:c>
      <x:c r="AD127" s="25" t="str">
        <x:f>IF(A127="","",IF(O127="","Not Assessed",IF(Z127&lt;TODAY(),"Expired",IF(Z127&lt;=TODAY()+30,"Due Soon","Current"))))</x:f>
      </x:c>
      <x:c r="AE127" s="24"/>
    </x:row>
    <x:row r="128">
      <x:c r="A128" s="24"/>
      <x:c r="B128" s="26"/>
      <x:c r="C128" s="24"/>
      <x:c r="D128" s="24"/>
      <x:c r="E128" s="25" t="str">
        <x:f>IF(D128="","",IFERROR(VLOOKUP(D128,'01 Staff Master'!$A$6:$M$105,2,FALSE),"Staff ID not found"))</x:f>
      </x:c>
      <x:c r="F128" s="25" t="str">
        <x:f>IF(D128="","",IFERROR(VLOOKUP(D128,'01 Staff Master'!$A$6:$M$105,3,FALSE),""))</x:f>
      </x:c>
      <x:c r="G128" s="25" t="str">
        <x:f>IF(D128="","",IFERROR(VLOOKUP(D128,'01 Staff Master'!$A$6:$M$105,5,FALSE),""))</x:f>
      </x:c>
      <x:c r="H128" s="25" t="str">
        <x:f>IF(D128="","",IFERROR(VLOOKUP(D128,'01 Staff Master'!$A$6:$M$105,6,FALSE),""))</x:f>
      </x:c>
      <x:c r="I128" s="25" t="str">
        <x:f>IF(OR(F128="",G128="",J128=""),"",F128&amp;"|"&amp;G128&amp;"|"&amp;J128)</x:f>
      </x:c>
      <x:c r="J128" s="24"/>
      <x:c r="K128" s="25" t="str">
        <x:f>IF(J128="","",IFERROR(VLOOKUP(J128,'02 Skill Catalogue'!$A$6:$K$95,4,FALSE),"Skill ID not found"))</x:f>
      </x:c>
      <x:c r="L128" s="25" t="str">
        <x:f>IF(I128="","",IFERROR(VLOOKUP(I128,'03 Position Requirements'!$A$6:$R$285,8,FALSE),"No Requirement"))</x:f>
      </x:c>
      <x:c r="M128" s="29" t="str">
        <x:f>IF(I128="","",IFERROR(VLOOKUP(I128,'03 Position Requirements'!$A$6:$R$285,9,FALSE),""))</x:f>
      </x:c>
      <x:c r="N128" s="25" t="str">
        <x:f>IF(I128="","",IFERROR(VLOOKUP(I128,'03 Position Requirements'!$A$6:$R$285,10,FALSE),""))</x:f>
      </x:c>
      <x:c r="O128" s="24"/>
      <x:c r="P128" s="25" t="str">
        <x:f>IF(OR(N128="",O128=""),"",MAX(N128-O128,0))</x:f>
      </x:c>
      <x:c r="Q128" s="30" t="str">
        <x:f>IF(P128="","",P128*M128)</x:f>
      </x:c>
      <x:c r="R128" s="30" t="str">
        <x:f>IF(OR(P128="",L128=""),"",P128*M128*IFERROR(VLOOKUP(L128,'99 Lists'!$A$19:$B$21,2,FALSE),1))</x:f>
      </x:c>
      <x:c r="S128" s="25" t="str">
        <x:f>IF(A128="","",IF(O128="","Not Assessed",IF(P128=0,"Meets / Exceeds",IF(P128=1,"Minor Gap",IF(P128=2,"Major Gap","Critical Gap")))))</x:f>
      </x:c>
      <x:c r="T128" s="24"/>
      <x:c r="U128" s="27"/>
      <x:c r="V128" s="24"/>
      <x:c r="W128" s="24"/>
      <x:c r="X128" s="24"/>
      <x:c r="Y128" s="26"/>
      <x:c r="Z128" s="31" t="str">
        <x:f>IF(B128="","",IF(Y128&lt;&gt;"",Y128,EDATE(B128,IFERROR(VLOOKUP(I128,'03 Position Requirements'!$A$6:$R$285,12,FALSE),12))))</x:f>
      </x:c>
      <x:c r="AA128" s="25" t="str">
        <x:f>IF(OR(B128="",D128="",J128=""),"",IF(COUNTIFS($D$6:$D$155,D128,$J$6:$J$155,J128,$B$6:$B$155,"&gt;"&amp;B128)=0,"Yes","No"))</x:f>
      </x:c>
      <x:c r="AB128" s="25" t="str">
        <x:f>IF(AA128="","",IF(AND(AA128="Yes",OR(P128&gt;0,AD128="Expired")),"Yes","No"))</x:f>
      </x:c>
      <x:c r="AC128" s="25" t="str">
        <x:f>IF(Z128="","",Z128-TODAY())</x:f>
      </x:c>
      <x:c r="AD128" s="25" t="str">
        <x:f>IF(A128="","",IF(O128="","Not Assessed",IF(Z128&lt;TODAY(),"Expired",IF(Z128&lt;=TODAY()+30,"Due Soon","Current"))))</x:f>
      </x:c>
      <x:c r="AE128" s="24"/>
    </x:row>
    <x:row r="129">
      <x:c r="A129" s="24"/>
      <x:c r="B129" s="26"/>
      <x:c r="C129" s="24"/>
      <x:c r="D129" s="24"/>
      <x:c r="E129" s="25" t="str">
        <x:f>IF(D129="","",IFERROR(VLOOKUP(D129,'01 Staff Master'!$A$6:$M$105,2,FALSE),"Staff ID not found"))</x:f>
      </x:c>
      <x:c r="F129" s="25" t="str">
        <x:f>IF(D129="","",IFERROR(VLOOKUP(D129,'01 Staff Master'!$A$6:$M$105,3,FALSE),""))</x:f>
      </x:c>
      <x:c r="G129" s="25" t="str">
        <x:f>IF(D129="","",IFERROR(VLOOKUP(D129,'01 Staff Master'!$A$6:$M$105,5,FALSE),""))</x:f>
      </x:c>
      <x:c r="H129" s="25" t="str">
        <x:f>IF(D129="","",IFERROR(VLOOKUP(D129,'01 Staff Master'!$A$6:$M$105,6,FALSE),""))</x:f>
      </x:c>
      <x:c r="I129" s="25" t="str">
        <x:f>IF(OR(F129="",G129="",J129=""),"",F129&amp;"|"&amp;G129&amp;"|"&amp;J129)</x:f>
      </x:c>
      <x:c r="J129" s="24"/>
      <x:c r="K129" s="25" t="str">
        <x:f>IF(J129="","",IFERROR(VLOOKUP(J129,'02 Skill Catalogue'!$A$6:$K$95,4,FALSE),"Skill ID not found"))</x:f>
      </x:c>
      <x:c r="L129" s="25" t="str">
        <x:f>IF(I129="","",IFERROR(VLOOKUP(I129,'03 Position Requirements'!$A$6:$R$285,8,FALSE),"No Requirement"))</x:f>
      </x:c>
      <x:c r="M129" s="29" t="str">
        <x:f>IF(I129="","",IFERROR(VLOOKUP(I129,'03 Position Requirements'!$A$6:$R$285,9,FALSE),""))</x:f>
      </x:c>
      <x:c r="N129" s="25" t="str">
        <x:f>IF(I129="","",IFERROR(VLOOKUP(I129,'03 Position Requirements'!$A$6:$R$285,10,FALSE),""))</x:f>
      </x:c>
      <x:c r="O129" s="24"/>
      <x:c r="P129" s="25" t="str">
        <x:f>IF(OR(N129="",O129=""),"",MAX(N129-O129,0))</x:f>
      </x:c>
      <x:c r="Q129" s="30" t="str">
        <x:f>IF(P129="","",P129*M129)</x:f>
      </x:c>
      <x:c r="R129" s="30" t="str">
        <x:f>IF(OR(P129="",L129=""),"",P129*M129*IFERROR(VLOOKUP(L129,'99 Lists'!$A$19:$B$21,2,FALSE),1))</x:f>
      </x:c>
      <x:c r="S129" s="25" t="str">
        <x:f>IF(A129="","",IF(O129="","Not Assessed",IF(P129=0,"Meets / Exceeds",IF(P129=1,"Minor Gap",IF(P129=2,"Major Gap","Critical Gap")))))</x:f>
      </x:c>
      <x:c r="T129" s="24"/>
      <x:c r="U129" s="27"/>
      <x:c r="V129" s="24"/>
      <x:c r="W129" s="24"/>
      <x:c r="X129" s="24"/>
      <x:c r="Y129" s="26"/>
      <x:c r="Z129" s="31" t="str">
        <x:f>IF(B129="","",IF(Y129&lt;&gt;"",Y129,EDATE(B129,IFERROR(VLOOKUP(I129,'03 Position Requirements'!$A$6:$R$285,12,FALSE),12))))</x:f>
      </x:c>
      <x:c r="AA129" s="25" t="str">
        <x:f>IF(OR(B129="",D129="",J129=""),"",IF(COUNTIFS($D$6:$D$155,D129,$J$6:$J$155,J129,$B$6:$B$155,"&gt;"&amp;B129)=0,"Yes","No"))</x:f>
      </x:c>
      <x:c r="AB129" s="25" t="str">
        <x:f>IF(AA129="","",IF(AND(AA129="Yes",OR(P129&gt;0,AD129="Expired")),"Yes","No"))</x:f>
      </x:c>
      <x:c r="AC129" s="25" t="str">
        <x:f>IF(Z129="","",Z129-TODAY())</x:f>
      </x:c>
      <x:c r="AD129" s="25" t="str">
        <x:f>IF(A129="","",IF(O129="","Not Assessed",IF(Z129&lt;TODAY(),"Expired",IF(Z129&lt;=TODAY()+30,"Due Soon","Current"))))</x:f>
      </x:c>
      <x:c r="AE129" s="24"/>
    </x:row>
    <x:row r="130">
      <x:c r="A130" s="24"/>
      <x:c r="B130" s="26"/>
      <x:c r="C130" s="24"/>
      <x:c r="D130" s="24"/>
      <x:c r="E130" s="25" t="str">
        <x:f>IF(D130="","",IFERROR(VLOOKUP(D130,'01 Staff Master'!$A$6:$M$105,2,FALSE),"Staff ID not found"))</x:f>
      </x:c>
      <x:c r="F130" s="25" t="str">
        <x:f>IF(D130="","",IFERROR(VLOOKUP(D130,'01 Staff Master'!$A$6:$M$105,3,FALSE),""))</x:f>
      </x:c>
      <x:c r="G130" s="25" t="str">
        <x:f>IF(D130="","",IFERROR(VLOOKUP(D130,'01 Staff Master'!$A$6:$M$105,5,FALSE),""))</x:f>
      </x:c>
      <x:c r="H130" s="25" t="str">
        <x:f>IF(D130="","",IFERROR(VLOOKUP(D130,'01 Staff Master'!$A$6:$M$105,6,FALSE),""))</x:f>
      </x:c>
      <x:c r="I130" s="25" t="str">
        <x:f>IF(OR(F130="",G130="",J130=""),"",F130&amp;"|"&amp;G130&amp;"|"&amp;J130)</x:f>
      </x:c>
      <x:c r="J130" s="24"/>
      <x:c r="K130" s="25" t="str">
        <x:f>IF(J130="","",IFERROR(VLOOKUP(J130,'02 Skill Catalogue'!$A$6:$K$95,4,FALSE),"Skill ID not found"))</x:f>
      </x:c>
      <x:c r="L130" s="25" t="str">
        <x:f>IF(I130="","",IFERROR(VLOOKUP(I130,'03 Position Requirements'!$A$6:$R$285,8,FALSE),"No Requirement"))</x:f>
      </x:c>
      <x:c r="M130" s="29" t="str">
        <x:f>IF(I130="","",IFERROR(VLOOKUP(I130,'03 Position Requirements'!$A$6:$R$285,9,FALSE),""))</x:f>
      </x:c>
      <x:c r="N130" s="25" t="str">
        <x:f>IF(I130="","",IFERROR(VLOOKUP(I130,'03 Position Requirements'!$A$6:$R$285,10,FALSE),""))</x:f>
      </x:c>
      <x:c r="O130" s="24"/>
      <x:c r="P130" s="25" t="str">
        <x:f>IF(OR(N130="",O130=""),"",MAX(N130-O130,0))</x:f>
      </x:c>
      <x:c r="Q130" s="30" t="str">
        <x:f>IF(P130="","",P130*M130)</x:f>
      </x:c>
      <x:c r="R130" s="30" t="str">
        <x:f>IF(OR(P130="",L130=""),"",P130*M130*IFERROR(VLOOKUP(L130,'99 Lists'!$A$19:$B$21,2,FALSE),1))</x:f>
      </x:c>
      <x:c r="S130" s="25" t="str">
        <x:f>IF(A130="","",IF(O130="","Not Assessed",IF(P130=0,"Meets / Exceeds",IF(P130=1,"Minor Gap",IF(P130=2,"Major Gap","Critical Gap")))))</x:f>
      </x:c>
      <x:c r="T130" s="24"/>
      <x:c r="U130" s="27"/>
      <x:c r="V130" s="24"/>
      <x:c r="W130" s="24"/>
      <x:c r="X130" s="24"/>
      <x:c r="Y130" s="26"/>
      <x:c r="Z130" s="31" t="str">
        <x:f>IF(B130="","",IF(Y130&lt;&gt;"",Y130,EDATE(B130,IFERROR(VLOOKUP(I130,'03 Position Requirements'!$A$6:$R$285,12,FALSE),12))))</x:f>
      </x:c>
      <x:c r="AA130" s="25" t="str">
        <x:f>IF(OR(B130="",D130="",J130=""),"",IF(COUNTIFS($D$6:$D$155,D130,$J$6:$J$155,J130,$B$6:$B$155,"&gt;"&amp;B130)=0,"Yes","No"))</x:f>
      </x:c>
      <x:c r="AB130" s="25" t="str">
        <x:f>IF(AA130="","",IF(AND(AA130="Yes",OR(P130&gt;0,AD130="Expired")),"Yes","No"))</x:f>
      </x:c>
      <x:c r="AC130" s="25" t="str">
        <x:f>IF(Z130="","",Z130-TODAY())</x:f>
      </x:c>
      <x:c r="AD130" s="25" t="str">
        <x:f>IF(A130="","",IF(O130="","Not Assessed",IF(Z130&lt;TODAY(),"Expired",IF(Z130&lt;=TODAY()+30,"Due Soon","Current"))))</x:f>
      </x:c>
      <x:c r="AE130" s="24"/>
    </x:row>
    <x:row r="131">
      <x:c r="A131" s="24"/>
      <x:c r="B131" s="26"/>
      <x:c r="C131" s="24"/>
      <x:c r="D131" s="24"/>
      <x:c r="E131" s="25" t="str">
        <x:f>IF(D131="","",IFERROR(VLOOKUP(D131,'01 Staff Master'!$A$6:$M$105,2,FALSE),"Staff ID not found"))</x:f>
      </x:c>
      <x:c r="F131" s="25" t="str">
        <x:f>IF(D131="","",IFERROR(VLOOKUP(D131,'01 Staff Master'!$A$6:$M$105,3,FALSE),""))</x:f>
      </x:c>
      <x:c r="G131" s="25" t="str">
        <x:f>IF(D131="","",IFERROR(VLOOKUP(D131,'01 Staff Master'!$A$6:$M$105,5,FALSE),""))</x:f>
      </x:c>
      <x:c r="H131" s="25" t="str">
        <x:f>IF(D131="","",IFERROR(VLOOKUP(D131,'01 Staff Master'!$A$6:$M$105,6,FALSE),""))</x:f>
      </x:c>
      <x:c r="I131" s="25" t="str">
        <x:f>IF(OR(F131="",G131="",J131=""),"",F131&amp;"|"&amp;G131&amp;"|"&amp;J131)</x:f>
      </x:c>
      <x:c r="J131" s="24"/>
      <x:c r="K131" s="25" t="str">
        <x:f>IF(J131="","",IFERROR(VLOOKUP(J131,'02 Skill Catalogue'!$A$6:$K$95,4,FALSE),"Skill ID not found"))</x:f>
      </x:c>
      <x:c r="L131" s="25" t="str">
        <x:f>IF(I131="","",IFERROR(VLOOKUP(I131,'03 Position Requirements'!$A$6:$R$285,8,FALSE),"No Requirement"))</x:f>
      </x:c>
      <x:c r="M131" s="29" t="str">
        <x:f>IF(I131="","",IFERROR(VLOOKUP(I131,'03 Position Requirements'!$A$6:$R$285,9,FALSE),""))</x:f>
      </x:c>
      <x:c r="N131" s="25" t="str">
        <x:f>IF(I131="","",IFERROR(VLOOKUP(I131,'03 Position Requirements'!$A$6:$R$285,10,FALSE),""))</x:f>
      </x:c>
      <x:c r="O131" s="24"/>
      <x:c r="P131" s="25" t="str">
        <x:f>IF(OR(N131="",O131=""),"",MAX(N131-O131,0))</x:f>
      </x:c>
      <x:c r="Q131" s="30" t="str">
        <x:f>IF(P131="","",P131*M131)</x:f>
      </x:c>
      <x:c r="R131" s="30" t="str">
        <x:f>IF(OR(P131="",L131=""),"",P131*M131*IFERROR(VLOOKUP(L131,'99 Lists'!$A$19:$B$21,2,FALSE),1))</x:f>
      </x:c>
      <x:c r="S131" s="25" t="str">
        <x:f>IF(A131="","",IF(O131="","Not Assessed",IF(P131=0,"Meets / Exceeds",IF(P131=1,"Minor Gap",IF(P131=2,"Major Gap","Critical Gap")))))</x:f>
      </x:c>
      <x:c r="T131" s="24"/>
      <x:c r="U131" s="27"/>
      <x:c r="V131" s="24"/>
      <x:c r="W131" s="24"/>
      <x:c r="X131" s="24"/>
      <x:c r="Y131" s="26"/>
      <x:c r="Z131" s="31" t="str">
        <x:f>IF(B131="","",IF(Y131&lt;&gt;"",Y131,EDATE(B131,IFERROR(VLOOKUP(I131,'03 Position Requirements'!$A$6:$R$285,12,FALSE),12))))</x:f>
      </x:c>
      <x:c r="AA131" s="25" t="str">
        <x:f>IF(OR(B131="",D131="",J131=""),"",IF(COUNTIFS($D$6:$D$155,D131,$J$6:$J$155,J131,$B$6:$B$155,"&gt;"&amp;B131)=0,"Yes","No"))</x:f>
      </x:c>
      <x:c r="AB131" s="25" t="str">
        <x:f>IF(AA131="","",IF(AND(AA131="Yes",OR(P131&gt;0,AD131="Expired")),"Yes","No"))</x:f>
      </x:c>
      <x:c r="AC131" s="25" t="str">
        <x:f>IF(Z131="","",Z131-TODAY())</x:f>
      </x:c>
      <x:c r="AD131" s="25" t="str">
        <x:f>IF(A131="","",IF(O131="","Not Assessed",IF(Z131&lt;TODAY(),"Expired",IF(Z131&lt;=TODAY()+30,"Due Soon","Current"))))</x:f>
      </x:c>
      <x:c r="AE131" s="24"/>
    </x:row>
    <x:row r="132">
      <x:c r="A132" s="24"/>
      <x:c r="B132" s="26"/>
      <x:c r="C132" s="24"/>
      <x:c r="D132" s="24"/>
      <x:c r="E132" s="25" t="str">
        <x:f>IF(D132="","",IFERROR(VLOOKUP(D132,'01 Staff Master'!$A$6:$M$105,2,FALSE),"Staff ID not found"))</x:f>
      </x:c>
      <x:c r="F132" s="25" t="str">
        <x:f>IF(D132="","",IFERROR(VLOOKUP(D132,'01 Staff Master'!$A$6:$M$105,3,FALSE),""))</x:f>
      </x:c>
      <x:c r="G132" s="25" t="str">
        <x:f>IF(D132="","",IFERROR(VLOOKUP(D132,'01 Staff Master'!$A$6:$M$105,5,FALSE),""))</x:f>
      </x:c>
      <x:c r="H132" s="25" t="str">
        <x:f>IF(D132="","",IFERROR(VLOOKUP(D132,'01 Staff Master'!$A$6:$M$105,6,FALSE),""))</x:f>
      </x:c>
      <x:c r="I132" s="25" t="str">
        <x:f>IF(OR(F132="",G132="",J132=""),"",F132&amp;"|"&amp;G132&amp;"|"&amp;J132)</x:f>
      </x:c>
      <x:c r="J132" s="24"/>
      <x:c r="K132" s="25" t="str">
        <x:f>IF(J132="","",IFERROR(VLOOKUP(J132,'02 Skill Catalogue'!$A$6:$K$95,4,FALSE),"Skill ID not found"))</x:f>
      </x:c>
      <x:c r="L132" s="25" t="str">
        <x:f>IF(I132="","",IFERROR(VLOOKUP(I132,'03 Position Requirements'!$A$6:$R$285,8,FALSE),"No Requirement"))</x:f>
      </x:c>
      <x:c r="M132" s="29" t="str">
        <x:f>IF(I132="","",IFERROR(VLOOKUP(I132,'03 Position Requirements'!$A$6:$R$285,9,FALSE),""))</x:f>
      </x:c>
      <x:c r="N132" s="25" t="str">
        <x:f>IF(I132="","",IFERROR(VLOOKUP(I132,'03 Position Requirements'!$A$6:$R$285,10,FALSE),""))</x:f>
      </x:c>
      <x:c r="O132" s="24"/>
      <x:c r="P132" s="25" t="str">
        <x:f>IF(OR(N132="",O132=""),"",MAX(N132-O132,0))</x:f>
      </x:c>
      <x:c r="Q132" s="30" t="str">
        <x:f>IF(P132="","",P132*M132)</x:f>
      </x:c>
      <x:c r="R132" s="30" t="str">
        <x:f>IF(OR(P132="",L132=""),"",P132*M132*IFERROR(VLOOKUP(L132,'99 Lists'!$A$19:$B$21,2,FALSE),1))</x:f>
      </x:c>
      <x:c r="S132" s="25" t="str">
        <x:f>IF(A132="","",IF(O132="","Not Assessed",IF(P132=0,"Meets / Exceeds",IF(P132=1,"Minor Gap",IF(P132=2,"Major Gap","Critical Gap")))))</x:f>
      </x:c>
      <x:c r="T132" s="24"/>
      <x:c r="U132" s="27"/>
      <x:c r="V132" s="24"/>
      <x:c r="W132" s="24"/>
      <x:c r="X132" s="24"/>
      <x:c r="Y132" s="26"/>
      <x:c r="Z132" s="31" t="str">
        <x:f>IF(B132="","",IF(Y132&lt;&gt;"",Y132,EDATE(B132,IFERROR(VLOOKUP(I132,'03 Position Requirements'!$A$6:$R$285,12,FALSE),12))))</x:f>
      </x:c>
      <x:c r="AA132" s="25" t="str">
        <x:f>IF(OR(B132="",D132="",J132=""),"",IF(COUNTIFS($D$6:$D$155,D132,$J$6:$J$155,J132,$B$6:$B$155,"&gt;"&amp;B132)=0,"Yes","No"))</x:f>
      </x:c>
      <x:c r="AB132" s="25" t="str">
        <x:f>IF(AA132="","",IF(AND(AA132="Yes",OR(P132&gt;0,AD132="Expired")),"Yes","No"))</x:f>
      </x:c>
      <x:c r="AC132" s="25" t="str">
        <x:f>IF(Z132="","",Z132-TODAY())</x:f>
      </x:c>
      <x:c r="AD132" s="25" t="str">
        <x:f>IF(A132="","",IF(O132="","Not Assessed",IF(Z132&lt;TODAY(),"Expired",IF(Z132&lt;=TODAY()+30,"Due Soon","Current"))))</x:f>
      </x:c>
      <x:c r="AE132" s="24"/>
    </x:row>
    <x:row r="133">
      <x:c r="A133" s="24"/>
      <x:c r="B133" s="26"/>
      <x:c r="C133" s="24"/>
      <x:c r="D133" s="24"/>
      <x:c r="E133" s="25" t="str">
        <x:f>IF(D133="","",IFERROR(VLOOKUP(D133,'01 Staff Master'!$A$6:$M$105,2,FALSE),"Staff ID not found"))</x:f>
      </x:c>
      <x:c r="F133" s="25" t="str">
        <x:f>IF(D133="","",IFERROR(VLOOKUP(D133,'01 Staff Master'!$A$6:$M$105,3,FALSE),""))</x:f>
      </x:c>
      <x:c r="G133" s="25" t="str">
        <x:f>IF(D133="","",IFERROR(VLOOKUP(D133,'01 Staff Master'!$A$6:$M$105,5,FALSE),""))</x:f>
      </x:c>
      <x:c r="H133" s="25" t="str">
        <x:f>IF(D133="","",IFERROR(VLOOKUP(D133,'01 Staff Master'!$A$6:$M$105,6,FALSE),""))</x:f>
      </x:c>
      <x:c r="I133" s="25" t="str">
        <x:f>IF(OR(F133="",G133="",J133=""),"",F133&amp;"|"&amp;G133&amp;"|"&amp;J133)</x:f>
      </x:c>
      <x:c r="J133" s="24"/>
      <x:c r="K133" s="25" t="str">
        <x:f>IF(J133="","",IFERROR(VLOOKUP(J133,'02 Skill Catalogue'!$A$6:$K$95,4,FALSE),"Skill ID not found"))</x:f>
      </x:c>
      <x:c r="L133" s="25" t="str">
        <x:f>IF(I133="","",IFERROR(VLOOKUP(I133,'03 Position Requirements'!$A$6:$R$285,8,FALSE),"No Requirement"))</x:f>
      </x:c>
      <x:c r="M133" s="29" t="str">
        <x:f>IF(I133="","",IFERROR(VLOOKUP(I133,'03 Position Requirements'!$A$6:$R$285,9,FALSE),""))</x:f>
      </x:c>
      <x:c r="N133" s="25" t="str">
        <x:f>IF(I133="","",IFERROR(VLOOKUP(I133,'03 Position Requirements'!$A$6:$R$285,10,FALSE),""))</x:f>
      </x:c>
      <x:c r="O133" s="24"/>
      <x:c r="P133" s="25" t="str">
        <x:f>IF(OR(N133="",O133=""),"",MAX(N133-O133,0))</x:f>
      </x:c>
      <x:c r="Q133" s="30" t="str">
        <x:f>IF(P133="","",P133*M133)</x:f>
      </x:c>
      <x:c r="R133" s="30" t="str">
        <x:f>IF(OR(P133="",L133=""),"",P133*M133*IFERROR(VLOOKUP(L133,'99 Lists'!$A$19:$B$21,2,FALSE),1))</x:f>
      </x:c>
      <x:c r="S133" s="25" t="str">
        <x:f>IF(A133="","",IF(O133="","Not Assessed",IF(P133=0,"Meets / Exceeds",IF(P133=1,"Minor Gap",IF(P133=2,"Major Gap","Critical Gap")))))</x:f>
      </x:c>
      <x:c r="T133" s="24"/>
      <x:c r="U133" s="27"/>
      <x:c r="V133" s="24"/>
      <x:c r="W133" s="24"/>
      <x:c r="X133" s="24"/>
      <x:c r="Y133" s="26"/>
      <x:c r="Z133" s="31" t="str">
        <x:f>IF(B133="","",IF(Y133&lt;&gt;"",Y133,EDATE(B133,IFERROR(VLOOKUP(I133,'03 Position Requirements'!$A$6:$R$285,12,FALSE),12))))</x:f>
      </x:c>
      <x:c r="AA133" s="25" t="str">
        <x:f>IF(OR(B133="",D133="",J133=""),"",IF(COUNTIFS($D$6:$D$155,D133,$J$6:$J$155,J133,$B$6:$B$155,"&gt;"&amp;B133)=0,"Yes","No"))</x:f>
      </x:c>
      <x:c r="AB133" s="25" t="str">
        <x:f>IF(AA133="","",IF(AND(AA133="Yes",OR(P133&gt;0,AD133="Expired")),"Yes","No"))</x:f>
      </x:c>
      <x:c r="AC133" s="25" t="str">
        <x:f>IF(Z133="","",Z133-TODAY())</x:f>
      </x:c>
      <x:c r="AD133" s="25" t="str">
        <x:f>IF(A133="","",IF(O133="","Not Assessed",IF(Z133&lt;TODAY(),"Expired",IF(Z133&lt;=TODAY()+30,"Due Soon","Current"))))</x:f>
      </x:c>
      <x:c r="AE133" s="24"/>
    </x:row>
    <x:row r="134">
      <x:c r="A134" s="24"/>
      <x:c r="B134" s="26"/>
      <x:c r="C134" s="24"/>
      <x:c r="D134" s="24"/>
      <x:c r="E134" s="25" t="str">
        <x:f>IF(D134="","",IFERROR(VLOOKUP(D134,'01 Staff Master'!$A$6:$M$105,2,FALSE),"Staff ID not found"))</x:f>
      </x:c>
      <x:c r="F134" s="25" t="str">
        <x:f>IF(D134="","",IFERROR(VLOOKUP(D134,'01 Staff Master'!$A$6:$M$105,3,FALSE),""))</x:f>
      </x:c>
      <x:c r="G134" s="25" t="str">
        <x:f>IF(D134="","",IFERROR(VLOOKUP(D134,'01 Staff Master'!$A$6:$M$105,5,FALSE),""))</x:f>
      </x:c>
      <x:c r="H134" s="25" t="str">
        <x:f>IF(D134="","",IFERROR(VLOOKUP(D134,'01 Staff Master'!$A$6:$M$105,6,FALSE),""))</x:f>
      </x:c>
      <x:c r="I134" s="25" t="str">
        <x:f>IF(OR(F134="",G134="",J134=""),"",F134&amp;"|"&amp;G134&amp;"|"&amp;J134)</x:f>
      </x:c>
      <x:c r="J134" s="24"/>
      <x:c r="K134" s="25" t="str">
        <x:f>IF(J134="","",IFERROR(VLOOKUP(J134,'02 Skill Catalogue'!$A$6:$K$95,4,FALSE),"Skill ID not found"))</x:f>
      </x:c>
      <x:c r="L134" s="25" t="str">
        <x:f>IF(I134="","",IFERROR(VLOOKUP(I134,'03 Position Requirements'!$A$6:$R$285,8,FALSE),"No Requirement"))</x:f>
      </x:c>
      <x:c r="M134" s="29" t="str">
        <x:f>IF(I134="","",IFERROR(VLOOKUP(I134,'03 Position Requirements'!$A$6:$R$285,9,FALSE),""))</x:f>
      </x:c>
      <x:c r="N134" s="25" t="str">
        <x:f>IF(I134="","",IFERROR(VLOOKUP(I134,'03 Position Requirements'!$A$6:$R$285,10,FALSE),""))</x:f>
      </x:c>
      <x:c r="O134" s="24"/>
      <x:c r="P134" s="25" t="str">
        <x:f>IF(OR(N134="",O134=""),"",MAX(N134-O134,0))</x:f>
      </x:c>
      <x:c r="Q134" s="30" t="str">
        <x:f>IF(P134="","",P134*M134)</x:f>
      </x:c>
      <x:c r="R134" s="30" t="str">
        <x:f>IF(OR(P134="",L134=""),"",P134*M134*IFERROR(VLOOKUP(L134,'99 Lists'!$A$19:$B$21,2,FALSE),1))</x:f>
      </x:c>
      <x:c r="S134" s="25" t="str">
        <x:f>IF(A134="","",IF(O134="","Not Assessed",IF(P134=0,"Meets / Exceeds",IF(P134=1,"Minor Gap",IF(P134=2,"Major Gap","Critical Gap")))))</x:f>
      </x:c>
      <x:c r="T134" s="24"/>
      <x:c r="U134" s="27"/>
      <x:c r="V134" s="24"/>
      <x:c r="W134" s="24"/>
      <x:c r="X134" s="24"/>
      <x:c r="Y134" s="26"/>
      <x:c r="Z134" s="31" t="str">
        <x:f>IF(B134="","",IF(Y134&lt;&gt;"",Y134,EDATE(B134,IFERROR(VLOOKUP(I134,'03 Position Requirements'!$A$6:$R$285,12,FALSE),12))))</x:f>
      </x:c>
      <x:c r="AA134" s="25" t="str">
        <x:f>IF(OR(B134="",D134="",J134=""),"",IF(COUNTIFS($D$6:$D$155,D134,$J$6:$J$155,J134,$B$6:$B$155,"&gt;"&amp;B134)=0,"Yes","No"))</x:f>
      </x:c>
      <x:c r="AB134" s="25" t="str">
        <x:f>IF(AA134="","",IF(AND(AA134="Yes",OR(P134&gt;0,AD134="Expired")),"Yes","No"))</x:f>
      </x:c>
      <x:c r="AC134" s="25" t="str">
        <x:f>IF(Z134="","",Z134-TODAY())</x:f>
      </x:c>
      <x:c r="AD134" s="25" t="str">
        <x:f>IF(A134="","",IF(O134="","Not Assessed",IF(Z134&lt;TODAY(),"Expired",IF(Z134&lt;=TODAY()+30,"Due Soon","Current"))))</x:f>
      </x:c>
      <x:c r="AE134" s="24"/>
    </x:row>
    <x:row r="135">
      <x:c r="A135" s="24"/>
      <x:c r="B135" s="26"/>
      <x:c r="C135" s="24"/>
      <x:c r="D135" s="24"/>
      <x:c r="E135" s="25" t="str">
        <x:f>IF(D135="","",IFERROR(VLOOKUP(D135,'01 Staff Master'!$A$6:$M$105,2,FALSE),"Staff ID not found"))</x:f>
      </x:c>
      <x:c r="F135" s="25" t="str">
        <x:f>IF(D135="","",IFERROR(VLOOKUP(D135,'01 Staff Master'!$A$6:$M$105,3,FALSE),""))</x:f>
      </x:c>
      <x:c r="G135" s="25" t="str">
        <x:f>IF(D135="","",IFERROR(VLOOKUP(D135,'01 Staff Master'!$A$6:$M$105,5,FALSE),""))</x:f>
      </x:c>
      <x:c r="H135" s="25" t="str">
        <x:f>IF(D135="","",IFERROR(VLOOKUP(D135,'01 Staff Master'!$A$6:$M$105,6,FALSE),""))</x:f>
      </x:c>
      <x:c r="I135" s="25" t="str">
        <x:f>IF(OR(F135="",G135="",J135=""),"",F135&amp;"|"&amp;G135&amp;"|"&amp;J135)</x:f>
      </x:c>
      <x:c r="J135" s="24"/>
      <x:c r="K135" s="25" t="str">
        <x:f>IF(J135="","",IFERROR(VLOOKUP(J135,'02 Skill Catalogue'!$A$6:$K$95,4,FALSE),"Skill ID not found"))</x:f>
      </x:c>
      <x:c r="L135" s="25" t="str">
        <x:f>IF(I135="","",IFERROR(VLOOKUP(I135,'03 Position Requirements'!$A$6:$R$285,8,FALSE),"No Requirement"))</x:f>
      </x:c>
      <x:c r="M135" s="29" t="str">
        <x:f>IF(I135="","",IFERROR(VLOOKUP(I135,'03 Position Requirements'!$A$6:$R$285,9,FALSE),""))</x:f>
      </x:c>
      <x:c r="N135" s="25" t="str">
        <x:f>IF(I135="","",IFERROR(VLOOKUP(I135,'03 Position Requirements'!$A$6:$R$285,10,FALSE),""))</x:f>
      </x:c>
      <x:c r="O135" s="24"/>
      <x:c r="P135" s="25" t="str">
        <x:f>IF(OR(N135="",O135=""),"",MAX(N135-O135,0))</x:f>
      </x:c>
      <x:c r="Q135" s="30" t="str">
        <x:f>IF(P135="","",P135*M135)</x:f>
      </x:c>
      <x:c r="R135" s="30" t="str">
        <x:f>IF(OR(P135="",L135=""),"",P135*M135*IFERROR(VLOOKUP(L135,'99 Lists'!$A$19:$B$21,2,FALSE),1))</x:f>
      </x:c>
      <x:c r="S135" s="25" t="str">
        <x:f>IF(A135="","",IF(O135="","Not Assessed",IF(P135=0,"Meets / Exceeds",IF(P135=1,"Minor Gap",IF(P135=2,"Major Gap","Critical Gap")))))</x:f>
      </x:c>
      <x:c r="T135" s="24"/>
      <x:c r="U135" s="27"/>
      <x:c r="V135" s="24"/>
      <x:c r="W135" s="24"/>
      <x:c r="X135" s="24"/>
      <x:c r="Y135" s="26"/>
      <x:c r="Z135" s="31" t="str">
        <x:f>IF(B135="","",IF(Y135&lt;&gt;"",Y135,EDATE(B135,IFERROR(VLOOKUP(I135,'03 Position Requirements'!$A$6:$R$285,12,FALSE),12))))</x:f>
      </x:c>
      <x:c r="AA135" s="25" t="str">
        <x:f>IF(OR(B135="",D135="",J135=""),"",IF(COUNTIFS($D$6:$D$155,D135,$J$6:$J$155,J135,$B$6:$B$155,"&gt;"&amp;B135)=0,"Yes","No"))</x:f>
      </x:c>
      <x:c r="AB135" s="25" t="str">
        <x:f>IF(AA135="","",IF(AND(AA135="Yes",OR(P135&gt;0,AD135="Expired")),"Yes","No"))</x:f>
      </x:c>
      <x:c r="AC135" s="25" t="str">
        <x:f>IF(Z135="","",Z135-TODAY())</x:f>
      </x:c>
      <x:c r="AD135" s="25" t="str">
        <x:f>IF(A135="","",IF(O135="","Not Assessed",IF(Z135&lt;TODAY(),"Expired",IF(Z135&lt;=TODAY()+30,"Due Soon","Current"))))</x:f>
      </x:c>
      <x:c r="AE135" s="24"/>
    </x:row>
    <x:row r="136">
      <x:c r="A136" s="24"/>
      <x:c r="B136" s="26"/>
      <x:c r="C136" s="24"/>
      <x:c r="D136" s="24"/>
      <x:c r="E136" s="25" t="str">
        <x:f>IF(D136="","",IFERROR(VLOOKUP(D136,'01 Staff Master'!$A$6:$M$105,2,FALSE),"Staff ID not found"))</x:f>
      </x:c>
      <x:c r="F136" s="25" t="str">
        <x:f>IF(D136="","",IFERROR(VLOOKUP(D136,'01 Staff Master'!$A$6:$M$105,3,FALSE),""))</x:f>
      </x:c>
      <x:c r="G136" s="25" t="str">
        <x:f>IF(D136="","",IFERROR(VLOOKUP(D136,'01 Staff Master'!$A$6:$M$105,5,FALSE),""))</x:f>
      </x:c>
      <x:c r="H136" s="25" t="str">
        <x:f>IF(D136="","",IFERROR(VLOOKUP(D136,'01 Staff Master'!$A$6:$M$105,6,FALSE),""))</x:f>
      </x:c>
      <x:c r="I136" s="25" t="str">
        <x:f>IF(OR(F136="",G136="",J136=""),"",F136&amp;"|"&amp;G136&amp;"|"&amp;J136)</x:f>
      </x:c>
      <x:c r="J136" s="24"/>
      <x:c r="K136" s="25" t="str">
        <x:f>IF(J136="","",IFERROR(VLOOKUP(J136,'02 Skill Catalogue'!$A$6:$K$95,4,FALSE),"Skill ID not found"))</x:f>
      </x:c>
      <x:c r="L136" s="25" t="str">
        <x:f>IF(I136="","",IFERROR(VLOOKUP(I136,'03 Position Requirements'!$A$6:$R$285,8,FALSE),"No Requirement"))</x:f>
      </x:c>
      <x:c r="M136" s="29" t="str">
        <x:f>IF(I136="","",IFERROR(VLOOKUP(I136,'03 Position Requirements'!$A$6:$R$285,9,FALSE),""))</x:f>
      </x:c>
      <x:c r="N136" s="25" t="str">
        <x:f>IF(I136="","",IFERROR(VLOOKUP(I136,'03 Position Requirements'!$A$6:$R$285,10,FALSE),""))</x:f>
      </x:c>
      <x:c r="O136" s="24"/>
      <x:c r="P136" s="25" t="str">
        <x:f>IF(OR(N136="",O136=""),"",MAX(N136-O136,0))</x:f>
      </x:c>
      <x:c r="Q136" s="30" t="str">
        <x:f>IF(P136="","",P136*M136)</x:f>
      </x:c>
      <x:c r="R136" s="30" t="str">
        <x:f>IF(OR(P136="",L136=""),"",P136*M136*IFERROR(VLOOKUP(L136,'99 Lists'!$A$19:$B$21,2,FALSE),1))</x:f>
      </x:c>
      <x:c r="S136" s="25" t="str">
        <x:f>IF(A136="","",IF(O136="","Not Assessed",IF(P136=0,"Meets / Exceeds",IF(P136=1,"Minor Gap",IF(P136=2,"Major Gap","Critical Gap")))))</x:f>
      </x:c>
      <x:c r="T136" s="24"/>
      <x:c r="U136" s="27"/>
      <x:c r="V136" s="24"/>
      <x:c r="W136" s="24"/>
      <x:c r="X136" s="24"/>
      <x:c r="Y136" s="26"/>
      <x:c r="Z136" s="31" t="str">
        <x:f>IF(B136="","",IF(Y136&lt;&gt;"",Y136,EDATE(B136,IFERROR(VLOOKUP(I136,'03 Position Requirements'!$A$6:$R$285,12,FALSE),12))))</x:f>
      </x:c>
      <x:c r="AA136" s="25" t="str">
        <x:f>IF(OR(B136="",D136="",J136=""),"",IF(COUNTIFS($D$6:$D$155,D136,$J$6:$J$155,J136,$B$6:$B$155,"&gt;"&amp;B136)=0,"Yes","No"))</x:f>
      </x:c>
      <x:c r="AB136" s="25" t="str">
        <x:f>IF(AA136="","",IF(AND(AA136="Yes",OR(P136&gt;0,AD136="Expired")),"Yes","No"))</x:f>
      </x:c>
      <x:c r="AC136" s="25" t="str">
        <x:f>IF(Z136="","",Z136-TODAY())</x:f>
      </x:c>
      <x:c r="AD136" s="25" t="str">
        <x:f>IF(A136="","",IF(O136="","Not Assessed",IF(Z136&lt;TODAY(),"Expired",IF(Z136&lt;=TODAY()+30,"Due Soon","Current"))))</x:f>
      </x:c>
      <x:c r="AE136" s="24"/>
    </x:row>
    <x:row r="137">
      <x:c r="A137" s="24"/>
      <x:c r="B137" s="26"/>
      <x:c r="C137" s="24"/>
      <x:c r="D137" s="24"/>
      <x:c r="E137" s="25" t="str">
        <x:f>IF(D137="","",IFERROR(VLOOKUP(D137,'01 Staff Master'!$A$6:$M$105,2,FALSE),"Staff ID not found"))</x:f>
      </x:c>
      <x:c r="F137" s="25" t="str">
        <x:f>IF(D137="","",IFERROR(VLOOKUP(D137,'01 Staff Master'!$A$6:$M$105,3,FALSE),""))</x:f>
      </x:c>
      <x:c r="G137" s="25" t="str">
        <x:f>IF(D137="","",IFERROR(VLOOKUP(D137,'01 Staff Master'!$A$6:$M$105,5,FALSE),""))</x:f>
      </x:c>
      <x:c r="H137" s="25" t="str">
        <x:f>IF(D137="","",IFERROR(VLOOKUP(D137,'01 Staff Master'!$A$6:$M$105,6,FALSE),""))</x:f>
      </x:c>
      <x:c r="I137" s="25" t="str">
        <x:f>IF(OR(F137="",G137="",J137=""),"",F137&amp;"|"&amp;G137&amp;"|"&amp;J137)</x:f>
      </x:c>
      <x:c r="J137" s="24"/>
      <x:c r="K137" s="25" t="str">
        <x:f>IF(J137="","",IFERROR(VLOOKUP(J137,'02 Skill Catalogue'!$A$6:$K$95,4,FALSE),"Skill ID not found"))</x:f>
      </x:c>
      <x:c r="L137" s="25" t="str">
        <x:f>IF(I137="","",IFERROR(VLOOKUP(I137,'03 Position Requirements'!$A$6:$R$285,8,FALSE),"No Requirement"))</x:f>
      </x:c>
      <x:c r="M137" s="29" t="str">
        <x:f>IF(I137="","",IFERROR(VLOOKUP(I137,'03 Position Requirements'!$A$6:$R$285,9,FALSE),""))</x:f>
      </x:c>
      <x:c r="N137" s="25" t="str">
        <x:f>IF(I137="","",IFERROR(VLOOKUP(I137,'03 Position Requirements'!$A$6:$R$285,10,FALSE),""))</x:f>
      </x:c>
      <x:c r="O137" s="24"/>
      <x:c r="P137" s="25" t="str">
        <x:f>IF(OR(N137="",O137=""),"",MAX(N137-O137,0))</x:f>
      </x:c>
      <x:c r="Q137" s="30" t="str">
        <x:f>IF(P137="","",P137*M137)</x:f>
      </x:c>
      <x:c r="R137" s="30" t="str">
        <x:f>IF(OR(P137="",L137=""),"",P137*M137*IFERROR(VLOOKUP(L137,'99 Lists'!$A$19:$B$21,2,FALSE),1))</x:f>
      </x:c>
      <x:c r="S137" s="25" t="str">
        <x:f>IF(A137="","",IF(O137="","Not Assessed",IF(P137=0,"Meets / Exceeds",IF(P137=1,"Minor Gap",IF(P137=2,"Major Gap","Critical Gap")))))</x:f>
      </x:c>
      <x:c r="T137" s="24"/>
      <x:c r="U137" s="27"/>
      <x:c r="V137" s="24"/>
      <x:c r="W137" s="24"/>
      <x:c r="X137" s="24"/>
      <x:c r="Y137" s="26"/>
      <x:c r="Z137" s="31" t="str">
        <x:f>IF(B137="","",IF(Y137&lt;&gt;"",Y137,EDATE(B137,IFERROR(VLOOKUP(I137,'03 Position Requirements'!$A$6:$R$285,12,FALSE),12))))</x:f>
      </x:c>
      <x:c r="AA137" s="25" t="str">
        <x:f>IF(OR(B137="",D137="",J137=""),"",IF(COUNTIFS($D$6:$D$155,D137,$J$6:$J$155,J137,$B$6:$B$155,"&gt;"&amp;B137)=0,"Yes","No"))</x:f>
      </x:c>
      <x:c r="AB137" s="25" t="str">
        <x:f>IF(AA137="","",IF(AND(AA137="Yes",OR(P137&gt;0,AD137="Expired")),"Yes","No"))</x:f>
      </x:c>
      <x:c r="AC137" s="25" t="str">
        <x:f>IF(Z137="","",Z137-TODAY())</x:f>
      </x:c>
      <x:c r="AD137" s="25" t="str">
        <x:f>IF(A137="","",IF(O137="","Not Assessed",IF(Z137&lt;TODAY(),"Expired",IF(Z137&lt;=TODAY()+30,"Due Soon","Current"))))</x:f>
      </x:c>
      <x:c r="AE137" s="24"/>
    </x:row>
    <x:row r="138">
      <x:c r="A138" s="24"/>
      <x:c r="B138" s="26"/>
      <x:c r="C138" s="24"/>
      <x:c r="D138" s="24"/>
      <x:c r="E138" s="25" t="str">
        <x:f>IF(D138="","",IFERROR(VLOOKUP(D138,'01 Staff Master'!$A$6:$M$105,2,FALSE),"Staff ID not found"))</x:f>
      </x:c>
      <x:c r="F138" s="25" t="str">
        <x:f>IF(D138="","",IFERROR(VLOOKUP(D138,'01 Staff Master'!$A$6:$M$105,3,FALSE),""))</x:f>
      </x:c>
      <x:c r="G138" s="25" t="str">
        <x:f>IF(D138="","",IFERROR(VLOOKUP(D138,'01 Staff Master'!$A$6:$M$105,5,FALSE),""))</x:f>
      </x:c>
      <x:c r="H138" s="25" t="str">
        <x:f>IF(D138="","",IFERROR(VLOOKUP(D138,'01 Staff Master'!$A$6:$M$105,6,FALSE),""))</x:f>
      </x:c>
      <x:c r="I138" s="25" t="str">
        <x:f>IF(OR(F138="",G138="",J138=""),"",F138&amp;"|"&amp;G138&amp;"|"&amp;J138)</x:f>
      </x:c>
      <x:c r="J138" s="24"/>
      <x:c r="K138" s="25" t="str">
        <x:f>IF(J138="","",IFERROR(VLOOKUP(J138,'02 Skill Catalogue'!$A$6:$K$95,4,FALSE),"Skill ID not found"))</x:f>
      </x:c>
      <x:c r="L138" s="25" t="str">
        <x:f>IF(I138="","",IFERROR(VLOOKUP(I138,'03 Position Requirements'!$A$6:$R$285,8,FALSE),"No Requirement"))</x:f>
      </x:c>
      <x:c r="M138" s="29" t="str">
        <x:f>IF(I138="","",IFERROR(VLOOKUP(I138,'03 Position Requirements'!$A$6:$R$285,9,FALSE),""))</x:f>
      </x:c>
      <x:c r="N138" s="25" t="str">
        <x:f>IF(I138="","",IFERROR(VLOOKUP(I138,'03 Position Requirements'!$A$6:$R$285,10,FALSE),""))</x:f>
      </x:c>
      <x:c r="O138" s="24"/>
      <x:c r="P138" s="25" t="str">
        <x:f>IF(OR(N138="",O138=""),"",MAX(N138-O138,0))</x:f>
      </x:c>
      <x:c r="Q138" s="30" t="str">
        <x:f>IF(P138="","",P138*M138)</x:f>
      </x:c>
      <x:c r="R138" s="30" t="str">
        <x:f>IF(OR(P138="",L138=""),"",P138*M138*IFERROR(VLOOKUP(L138,'99 Lists'!$A$19:$B$21,2,FALSE),1))</x:f>
      </x:c>
      <x:c r="S138" s="25" t="str">
        <x:f>IF(A138="","",IF(O138="","Not Assessed",IF(P138=0,"Meets / Exceeds",IF(P138=1,"Minor Gap",IF(P138=2,"Major Gap","Critical Gap")))))</x:f>
      </x:c>
      <x:c r="T138" s="24"/>
      <x:c r="U138" s="27"/>
      <x:c r="V138" s="24"/>
      <x:c r="W138" s="24"/>
      <x:c r="X138" s="24"/>
      <x:c r="Y138" s="26"/>
      <x:c r="Z138" s="31" t="str">
        <x:f>IF(B138="","",IF(Y138&lt;&gt;"",Y138,EDATE(B138,IFERROR(VLOOKUP(I138,'03 Position Requirements'!$A$6:$R$285,12,FALSE),12))))</x:f>
      </x:c>
      <x:c r="AA138" s="25" t="str">
        <x:f>IF(OR(B138="",D138="",J138=""),"",IF(COUNTIFS($D$6:$D$155,D138,$J$6:$J$155,J138,$B$6:$B$155,"&gt;"&amp;B138)=0,"Yes","No"))</x:f>
      </x:c>
      <x:c r="AB138" s="25" t="str">
        <x:f>IF(AA138="","",IF(AND(AA138="Yes",OR(P138&gt;0,AD138="Expired")),"Yes","No"))</x:f>
      </x:c>
      <x:c r="AC138" s="25" t="str">
        <x:f>IF(Z138="","",Z138-TODAY())</x:f>
      </x:c>
      <x:c r="AD138" s="25" t="str">
        <x:f>IF(A138="","",IF(O138="","Not Assessed",IF(Z138&lt;TODAY(),"Expired",IF(Z138&lt;=TODAY()+30,"Due Soon","Current"))))</x:f>
      </x:c>
      <x:c r="AE138" s="24"/>
    </x:row>
    <x:row r="139">
      <x:c r="A139" s="24"/>
      <x:c r="B139" s="26"/>
      <x:c r="C139" s="24"/>
      <x:c r="D139" s="24"/>
      <x:c r="E139" s="25" t="str">
        <x:f>IF(D139="","",IFERROR(VLOOKUP(D139,'01 Staff Master'!$A$6:$M$105,2,FALSE),"Staff ID not found"))</x:f>
      </x:c>
      <x:c r="F139" s="25" t="str">
        <x:f>IF(D139="","",IFERROR(VLOOKUP(D139,'01 Staff Master'!$A$6:$M$105,3,FALSE),""))</x:f>
      </x:c>
      <x:c r="G139" s="25" t="str">
        <x:f>IF(D139="","",IFERROR(VLOOKUP(D139,'01 Staff Master'!$A$6:$M$105,5,FALSE),""))</x:f>
      </x:c>
      <x:c r="H139" s="25" t="str">
        <x:f>IF(D139="","",IFERROR(VLOOKUP(D139,'01 Staff Master'!$A$6:$M$105,6,FALSE),""))</x:f>
      </x:c>
      <x:c r="I139" s="25" t="str">
        <x:f>IF(OR(F139="",G139="",J139=""),"",F139&amp;"|"&amp;G139&amp;"|"&amp;J139)</x:f>
      </x:c>
      <x:c r="J139" s="24"/>
      <x:c r="K139" s="25" t="str">
        <x:f>IF(J139="","",IFERROR(VLOOKUP(J139,'02 Skill Catalogue'!$A$6:$K$95,4,FALSE),"Skill ID not found"))</x:f>
      </x:c>
      <x:c r="L139" s="25" t="str">
        <x:f>IF(I139="","",IFERROR(VLOOKUP(I139,'03 Position Requirements'!$A$6:$R$285,8,FALSE),"No Requirement"))</x:f>
      </x:c>
      <x:c r="M139" s="29" t="str">
        <x:f>IF(I139="","",IFERROR(VLOOKUP(I139,'03 Position Requirements'!$A$6:$R$285,9,FALSE),""))</x:f>
      </x:c>
      <x:c r="N139" s="25" t="str">
        <x:f>IF(I139="","",IFERROR(VLOOKUP(I139,'03 Position Requirements'!$A$6:$R$285,10,FALSE),""))</x:f>
      </x:c>
      <x:c r="O139" s="24"/>
      <x:c r="P139" s="25" t="str">
        <x:f>IF(OR(N139="",O139=""),"",MAX(N139-O139,0))</x:f>
      </x:c>
      <x:c r="Q139" s="30" t="str">
        <x:f>IF(P139="","",P139*M139)</x:f>
      </x:c>
      <x:c r="R139" s="30" t="str">
        <x:f>IF(OR(P139="",L139=""),"",P139*M139*IFERROR(VLOOKUP(L139,'99 Lists'!$A$19:$B$21,2,FALSE),1))</x:f>
      </x:c>
      <x:c r="S139" s="25" t="str">
        <x:f>IF(A139="","",IF(O139="","Not Assessed",IF(P139=0,"Meets / Exceeds",IF(P139=1,"Minor Gap",IF(P139=2,"Major Gap","Critical Gap")))))</x:f>
      </x:c>
      <x:c r="T139" s="24"/>
      <x:c r="U139" s="27"/>
      <x:c r="V139" s="24"/>
      <x:c r="W139" s="24"/>
      <x:c r="X139" s="24"/>
      <x:c r="Y139" s="26"/>
      <x:c r="Z139" s="31" t="str">
        <x:f>IF(B139="","",IF(Y139&lt;&gt;"",Y139,EDATE(B139,IFERROR(VLOOKUP(I139,'03 Position Requirements'!$A$6:$R$285,12,FALSE),12))))</x:f>
      </x:c>
      <x:c r="AA139" s="25" t="str">
        <x:f>IF(OR(B139="",D139="",J139=""),"",IF(COUNTIFS($D$6:$D$155,D139,$J$6:$J$155,J139,$B$6:$B$155,"&gt;"&amp;B139)=0,"Yes","No"))</x:f>
      </x:c>
      <x:c r="AB139" s="25" t="str">
        <x:f>IF(AA139="","",IF(AND(AA139="Yes",OR(P139&gt;0,AD139="Expired")),"Yes","No"))</x:f>
      </x:c>
      <x:c r="AC139" s="25" t="str">
        <x:f>IF(Z139="","",Z139-TODAY())</x:f>
      </x:c>
      <x:c r="AD139" s="25" t="str">
        <x:f>IF(A139="","",IF(O139="","Not Assessed",IF(Z139&lt;TODAY(),"Expired",IF(Z139&lt;=TODAY()+30,"Due Soon","Current"))))</x:f>
      </x:c>
      <x:c r="AE139" s="24"/>
    </x:row>
    <x:row r="140">
      <x:c r="A140" s="24"/>
      <x:c r="B140" s="26"/>
      <x:c r="C140" s="24"/>
      <x:c r="D140" s="24"/>
      <x:c r="E140" s="25" t="str">
        <x:f>IF(D140="","",IFERROR(VLOOKUP(D140,'01 Staff Master'!$A$6:$M$105,2,FALSE),"Staff ID not found"))</x:f>
      </x:c>
      <x:c r="F140" s="25" t="str">
        <x:f>IF(D140="","",IFERROR(VLOOKUP(D140,'01 Staff Master'!$A$6:$M$105,3,FALSE),""))</x:f>
      </x:c>
      <x:c r="G140" s="25" t="str">
        <x:f>IF(D140="","",IFERROR(VLOOKUP(D140,'01 Staff Master'!$A$6:$M$105,5,FALSE),""))</x:f>
      </x:c>
      <x:c r="H140" s="25" t="str">
        <x:f>IF(D140="","",IFERROR(VLOOKUP(D140,'01 Staff Master'!$A$6:$M$105,6,FALSE),""))</x:f>
      </x:c>
      <x:c r="I140" s="25" t="str">
        <x:f>IF(OR(F140="",G140="",J140=""),"",F140&amp;"|"&amp;G140&amp;"|"&amp;J140)</x:f>
      </x:c>
      <x:c r="J140" s="24"/>
      <x:c r="K140" s="25" t="str">
        <x:f>IF(J140="","",IFERROR(VLOOKUP(J140,'02 Skill Catalogue'!$A$6:$K$95,4,FALSE),"Skill ID not found"))</x:f>
      </x:c>
      <x:c r="L140" s="25" t="str">
        <x:f>IF(I140="","",IFERROR(VLOOKUP(I140,'03 Position Requirements'!$A$6:$R$285,8,FALSE),"No Requirement"))</x:f>
      </x:c>
      <x:c r="M140" s="29" t="str">
        <x:f>IF(I140="","",IFERROR(VLOOKUP(I140,'03 Position Requirements'!$A$6:$R$285,9,FALSE),""))</x:f>
      </x:c>
      <x:c r="N140" s="25" t="str">
        <x:f>IF(I140="","",IFERROR(VLOOKUP(I140,'03 Position Requirements'!$A$6:$R$285,10,FALSE),""))</x:f>
      </x:c>
      <x:c r="O140" s="24"/>
      <x:c r="P140" s="25" t="str">
        <x:f>IF(OR(N140="",O140=""),"",MAX(N140-O140,0))</x:f>
      </x:c>
      <x:c r="Q140" s="30" t="str">
        <x:f>IF(P140="","",P140*M140)</x:f>
      </x:c>
      <x:c r="R140" s="30" t="str">
        <x:f>IF(OR(P140="",L140=""),"",P140*M140*IFERROR(VLOOKUP(L140,'99 Lists'!$A$19:$B$21,2,FALSE),1))</x:f>
      </x:c>
      <x:c r="S140" s="25" t="str">
        <x:f>IF(A140="","",IF(O140="","Not Assessed",IF(P140=0,"Meets / Exceeds",IF(P140=1,"Minor Gap",IF(P140=2,"Major Gap","Critical Gap")))))</x:f>
      </x:c>
      <x:c r="T140" s="24"/>
      <x:c r="U140" s="27"/>
      <x:c r="V140" s="24"/>
      <x:c r="W140" s="24"/>
      <x:c r="X140" s="24"/>
      <x:c r="Y140" s="26"/>
      <x:c r="Z140" s="31" t="str">
        <x:f>IF(B140="","",IF(Y140&lt;&gt;"",Y140,EDATE(B140,IFERROR(VLOOKUP(I140,'03 Position Requirements'!$A$6:$R$285,12,FALSE),12))))</x:f>
      </x:c>
      <x:c r="AA140" s="25" t="str">
        <x:f>IF(OR(B140="",D140="",J140=""),"",IF(COUNTIFS($D$6:$D$155,D140,$J$6:$J$155,J140,$B$6:$B$155,"&gt;"&amp;B140)=0,"Yes","No"))</x:f>
      </x:c>
      <x:c r="AB140" s="25" t="str">
        <x:f>IF(AA140="","",IF(AND(AA140="Yes",OR(P140&gt;0,AD140="Expired")),"Yes","No"))</x:f>
      </x:c>
      <x:c r="AC140" s="25" t="str">
        <x:f>IF(Z140="","",Z140-TODAY())</x:f>
      </x:c>
      <x:c r="AD140" s="25" t="str">
        <x:f>IF(A140="","",IF(O140="","Not Assessed",IF(Z140&lt;TODAY(),"Expired",IF(Z140&lt;=TODAY()+30,"Due Soon","Current"))))</x:f>
      </x:c>
      <x:c r="AE140" s="24"/>
    </x:row>
    <x:row r="141">
      <x:c r="A141" s="24"/>
      <x:c r="B141" s="26"/>
      <x:c r="C141" s="24"/>
      <x:c r="D141" s="24"/>
      <x:c r="E141" s="25" t="str">
        <x:f>IF(D141="","",IFERROR(VLOOKUP(D141,'01 Staff Master'!$A$6:$M$105,2,FALSE),"Staff ID not found"))</x:f>
      </x:c>
      <x:c r="F141" s="25" t="str">
        <x:f>IF(D141="","",IFERROR(VLOOKUP(D141,'01 Staff Master'!$A$6:$M$105,3,FALSE),""))</x:f>
      </x:c>
      <x:c r="G141" s="25" t="str">
        <x:f>IF(D141="","",IFERROR(VLOOKUP(D141,'01 Staff Master'!$A$6:$M$105,5,FALSE),""))</x:f>
      </x:c>
      <x:c r="H141" s="25" t="str">
        <x:f>IF(D141="","",IFERROR(VLOOKUP(D141,'01 Staff Master'!$A$6:$M$105,6,FALSE),""))</x:f>
      </x:c>
      <x:c r="I141" s="25" t="str">
        <x:f>IF(OR(F141="",G141="",J141=""),"",F141&amp;"|"&amp;G141&amp;"|"&amp;J141)</x:f>
      </x:c>
      <x:c r="J141" s="24"/>
      <x:c r="K141" s="25" t="str">
        <x:f>IF(J141="","",IFERROR(VLOOKUP(J141,'02 Skill Catalogue'!$A$6:$K$95,4,FALSE),"Skill ID not found"))</x:f>
      </x:c>
      <x:c r="L141" s="25" t="str">
        <x:f>IF(I141="","",IFERROR(VLOOKUP(I141,'03 Position Requirements'!$A$6:$R$285,8,FALSE),"No Requirement"))</x:f>
      </x:c>
      <x:c r="M141" s="29" t="str">
        <x:f>IF(I141="","",IFERROR(VLOOKUP(I141,'03 Position Requirements'!$A$6:$R$285,9,FALSE),""))</x:f>
      </x:c>
      <x:c r="N141" s="25" t="str">
        <x:f>IF(I141="","",IFERROR(VLOOKUP(I141,'03 Position Requirements'!$A$6:$R$285,10,FALSE),""))</x:f>
      </x:c>
      <x:c r="O141" s="24"/>
      <x:c r="P141" s="25" t="str">
        <x:f>IF(OR(N141="",O141=""),"",MAX(N141-O141,0))</x:f>
      </x:c>
      <x:c r="Q141" s="30" t="str">
        <x:f>IF(P141="","",P141*M141)</x:f>
      </x:c>
      <x:c r="R141" s="30" t="str">
        <x:f>IF(OR(P141="",L141=""),"",P141*M141*IFERROR(VLOOKUP(L141,'99 Lists'!$A$19:$B$21,2,FALSE),1))</x:f>
      </x:c>
      <x:c r="S141" s="25" t="str">
        <x:f>IF(A141="","",IF(O141="","Not Assessed",IF(P141=0,"Meets / Exceeds",IF(P141=1,"Minor Gap",IF(P141=2,"Major Gap","Critical Gap")))))</x:f>
      </x:c>
      <x:c r="T141" s="24"/>
      <x:c r="U141" s="27"/>
      <x:c r="V141" s="24"/>
      <x:c r="W141" s="24"/>
      <x:c r="X141" s="24"/>
      <x:c r="Y141" s="26"/>
      <x:c r="Z141" s="31" t="str">
        <x:f>IF(B141="","",IF(Y141&lt;&gt;"",Y141,EDATE(B141,IFERROR(VLOOKUP(I141,'03 Position Requirements'!$A$6:$R$285,12,FALSE),12))))</x:f>
      </x:c>
      <x:c r="AA141" s="25" t="str">
        <x:f>IF(OR(B141="",D141="",J141=""),"",IF(COUNTIFS($D$6:$D$155,D141,$J$6:$J$155,J141,$B$6:$B$155,"&gt;"&amp;B141)=0,"Yes","No"))</x:f>
      </x:c>
      <x:c r="AB141" s="25" t="str">
        <x:f>IF(AA141="","",IF(AND(AA141="Yes",OR(P141&gt;0,AD141="Expired")),"Yes","No"))</x:f>
      </x:c>
      <x:c r="AC141" s="25" t="str">
        <x:f>IF(Z141="","",Z141-TODAY())</x:f>
      </x:c>
      <x:c r="AD141" s="25" t="str">
        <x:f>IF(A141="","",IF(O141="","Not Assessed",IF(Z141&lt;TODAY(),"Expired",IF(Z141&lt;=TODAY()+30,"Due Soon","Current"))))</x:f>
      </x:c>
      <x:c r="AE141" s="24"/>
    </x:row>
    <x:row r="142">
      <x:c r="A142" s="24"/>
      <x:c r="B142" s="26"/>
      <x:c r="C142" s="24"/>
      <x:c r="D142" s="24"/>
      <x:c r="E142" s="25" t="str">
        <x:f>IF(D142="","",IFERROR(VLOOKUP(D142,'01 Staff Master'!$A$6:$M$105,2,FALSE),"Staff ID not found"))</x:f>
      </x:c>
      <x:c r="F142" s="25" t="str">
        <x:f>IF(D142="","",IFERROR(VLOOKUP(D142,'01 Staff Master'!$A$6:$M$105,3,FALSE),""))</x:f>
      </x:c>
      <x:c r="G142" s="25" t="str">
        <x:f>IF(D142="","",IFERROR(VLOOKUP(D142,'01 Staff Master'!$A$6:$M$105,5,FALSE),""))</x:f>
      </x:c>
      <x:c r="H142" s="25" t="str">
        <x:f>IF(D142="","",IFERROR(VLOOKUP(D142,'01 Staff Master'!$A$6:$M$105,6,FALSE),""))</x:f>
      </x:c>
      <x:c r="I142" s="25" t="str">
        <x:f>IF(OR(F142="",G142="",J142=""),"",F142&amp;"|"&amp;G142&amp;"|"&amp;J142)</x:f>
      </x:c>
      <x:c r="J142" s="24"/>
      <x:c r="K142" s="25" t="str">
        <x:f>IF(J142="","",IFERROR(VLOOKUP(J142,'02 Skill Catalogue'!$A$6:$K$95,4,FALSE),"Skill ID not found"))</x:f>
      </x:c>
      <x:c r="L142" s="25" t="str">
        <x:f>IF(I142="","",IFERROR(VLOOKUP(I142,'03 Position Requirements'!$A$6:$R$285,8,FALSE),"No Requirement"))</x:f>
      </x:c>
      <x:c r="M142" s="29" t="str">
        <x:f>IF(I142="","",IFERROR(VLOOKUP(I142,'03 Position Requirements'!$A$6:$R$285,9,FALSE),""))</x:f>
      </x:c>
      <x:c r="N142" s="25" t="str">
        <x:f>IF(I142="","",IFERROR(VLOOKUP(I142,'03 Position Requirements'!$A$6:$R$285,10,FALSE),""))</x:f>
      </x:c>
      <x:c r="O142" s="24"/>
      <x:c r="P142" s="25" t="str">
        <x:f>IF(OR(N142="",O142=""),"",MAX(N142-O142,0))</x:f>
      </x:c>
      <x:c r="Q142" s="30" t="str">
        <x:f>IF(P142="","",P142*M142)</x:f>
      </x:c>
      <x:c r="R142" s="30" t="str">
        <x:f>IF(OR(P142="",L142=""),"",P142*M142*IFERROR(VLOOKUP(L142,'99 Lists'!$A$19:$B$21,2,FALSE),1))</x:f>
      </x:c>
      <x:c r="S142" s="25" t="str">
        <x:f>IF(A142="","",IF(O142="","Not Assessed",IF(P142=0,"Meets / Exceeds",IF(P142=1,"Minor Gap",IF(P142=2,"Major Gap","Critical Gap")))))</x:f>
      </x:c>
      <x:c r="T142" s="24"/>
      <x:c r="U142" s="27"/>
      <x:c r="V142" s="24"/>
      <x:c r="W142" s="24"/>
      <x:c r="X142" s="24"/>
      <x:c r="Y142" s="26"/>
      <x:c r="Z142" s="31" t="str">
        <x:f>IF(B142="","",IF(Y142&lt;&gt;"",Y142,EDATE(B142,IFERROR(VLOOKUP(I142,'03 Position Requirements'!$A$6:$R$285,12,FALSE),12))))</x:f>
      </x:c>
      <x:c r="AA142" s="25" t="str">
        <x:f>IF(OR(B142="",D142="",J142=""),"",IF(COUNTIFS($D$6:$D$155,D142,$J$6:$J$155,J142,$B$6:$B$155,"&gt;"&amp;B142)=0,"Yes","No"))</x:f>
      </x:c>
      <x:c r="AB142" s="25" t="str">
        <x:f>IF(AA142="","",IF(AND(AA142="Yes",OR(P142&gt;0,AD142="Expired")),"Yes","No"))</x:f>
      </x:c>
      <x:c r="AC142" s="25" t="str">
        <x:f>IF(Z142="","",Z142-TODAY())</x:f>
      </x:c>
      <x:c r="AD142" s="25" t="str">
        <x:f>IF(A142="","",IF(O142="","Not Assessed",IF(Z142&lt;TODAY(),"Expired",IF(Z142&lt;=TODAY()+30,"Due Soon","Current"))))</x:f>
      </x:c>
      <x:c r="AE142" s="24"/>
    </x:row>
    <x:row r="143">
      <x:c r="A143" s="24"/>
      <x:c r="B143" s="26"/>
      <x:c r="C143" s="24"/>
      <x:c r="D143" s="24"/>
      <x:c r="E143" s="25" t="str">
        <x:f>IF(D143="","",IFERROR(VLOOKUP(D143,'01 Staff Master'!$A$6:$M$105,2,FALSE),"Staff ID not found"))</x:f>
      </x:c>
      <x:c r="F143" s="25" t="str">
        <x:f>IF(D143="","",IFERROR(VLOOKUP(D143,'01 Staff Master'!$A$6:$M$105,3,FALSE),""))</x:f>
      </x:c>
      <x:c r="G143" s="25" t="str">
        <x:f>IF(D143="","",IFERROR(VLOOKUP(D143,'01 Staff Master'!$A$6:$M$105,5,FALSE),""))</x:f>
      </x:c>
      <x:c r="H143" s="25" t="str">
        <x:f>IF(D143="","",IFERROR(VLOOKUP(D143,'01 Staff Master'!$A$6:$M$105,6,FALSE),""))</x:f>
      </x:c>
      <x:c r="I143" s="25" t="str">
        <x:f>IF(OR(F143="",G143="",J143=""),"",F143&amp;"|"&amp;G143&amp;"|"&amp;J143)</x:f>
      </x:c>
      <x:c r="J143" s="24"/>
      <x:c r="K143" s="25" t="str">
        <x:f>IF(J143="","",IFERROR(VLOOKUP(J143,'02 Skill Catalogue'!$A$6:$K$95,4,FALSE),"Skill ID not found"))</x:f>
      </x:c>
      <x:c r="L143" s="25" t="str">
        <x:f>IF(I143="","",IFERROR(VLOOKUP(I143,'03 Position Requirements'!$A$6:$R$285,8,FALSE),"No Requirement"))</x:f>
      </x:c>
      <x:c r="M143" s="29" t="str">
        <x:f>IF(I143="","",IFERROR(VLOOKUP(I143,'03 Position Requirements'!$A$6:$R$285,9,FALSE),""))</x:f>
      </x:c>
      <x:c r="N143" s="25" t="str">
        <x:f>IF(I143="","",IFERROR(VLOOKUP(I143,'03 Position Requirements'!$A$6:$R$285,10,FALSE),""))</x:f>
      </x:c>
      <x:c r="O143" s="24"/>
      <x:c r="P143" s="25" t="str">
        <x:f>IF(OR(N143="",O143=""),"",MAX(N143-O143,0))</x:f>
      </x:c>
      <x:c r="Q143" s="30" t="str">
        <x:f>IF(P143="","",P143*M143)</x:f>
      </x:c>
      <x:c r="R143" s="30" t="str">
        <x:f>IF(OR(P143="",L143=""),"",P143*M143*IFERROR(VLOOKUP(L143,'99 Lists'!$A$19:$B$21,2,FALSE),1))</x:f>
      </x:c>
      <x:c r="S143" s="25" t="str">
        <x:f>IF(A143="","",IF(O143="","Not Assessed",IF(P143=0,"Meets / Exceeds",IF(P143=1,"Minor Gap",IF(P143=2,"Major Gap","Critical Gap")))))</x:f>
      </x:c>
      <x:c r="T143" s="24"/>
      <x:c r="U143" s="27"/>
      <x:c r="V143" s="24"/>
      <x:c r="W143" s="24"/>
      <x:c r="X143" s="24"/>
      <x:c r="Y143" s="26"/>
      <x:c r="Z143" s="31" t="str">
        <x:f>IF(B143="","",IF(Y143&lt;&gt;"",Y143,EDATE(B143,IFERROR(VLOOKUP(I143,'03 Position Requirements'!$A$6:$R$285,12,FALSE),12))))</x:f>
      </x:c>
      <x:c r="AA143" s="25" t="str">
        <x:f>IF(OR(B143="",D143="",J143=""),"",IF(COUNTIFS($D$6:$D$155,D143,$J$6:$J$155,J143,$B$6:$B$155,"&gt;"&amp;B143)=0,"Yes","No"))</x:f>
      </x:c>
      <x:c r="AB143" s="25" t="str">
        <x:f>IF(AA143="","",IF(AND(AA143="Yes",OR(P143&gt;0,AD143="Expired")),"Yes","No"))</x:f>
      </x:c>
      <x:c r="AC143" s="25" t="str">
        <x:f>IF(Z143="","",Z143-TODAY())</x:f>
      </x:c>
      <x:c r="AD143" s="25" t="str">
        <x:f>IF(A143="","",IF(O143="","Not Assessed",IF(Z143&lt;TODAY(),"Expired",IF(Z143&lt;=TODAY()+30,"Due Soon","Current"))))</x:f>
      </x:c>
      <x:c r="AE143" s="24"/>
    </x:row>
    <x:row r="144">
      <x:c r="A144" s="24"/>
      <x:c r="B144" s="26"/>
      <x:c r="C144" s="24"/>
      <x:c r="D144" s="24"/>
      <x:c r="E144" s="25" t="str">
        <x:f>IF(D144="","",IFERROR(VLOOKUP(D144,'01 Staff Master'!$A$6:$M$105,2,FALSE),"Staff ID not found"))</x:f>
      </x:c>
      <x:c r="F144" s="25" t="str">
        <x:f>IF(D144="","",IFERROR(VLOOKUP(D144,'01 Staff Master'!$A$6:$M$105,3,FALSE),""))</x:f>
      </x:c>
      <x:c r="G144" s="25" t="str">
        <x:f>IF(D144="","",IFERROR(VLOOKUP(D144,'01 Staff Master'!$A$6:$M$105,5,FALSE),""))</x:f>
      </x:c>
      <x:c r="H144" s="25" t="str">
        <x:f>IF(D144="","",IFERROR(VLOOKUP(D144,'01 Staff Master'!$A$6:$M$105,6,FALSE),""))</x:f>
      </x:c>
      <x:c r="I144" s="25" t="str">
        <x:f>IF(OR(F144="",G144="",J144=""),"",F144&amp;"|"&amp;G144&amp;"|"&amp;J144)</x:f>
      </x:c>
      <x:c r="J144" s="24"/>
      <x:c r="K144" s="25" t="str">
        <x:f>IF(J144="","",IFERROR(VLOOKUP(J144,'02 Skill Catalogue'!$A$6:$K$95,4,FALSE),"Skill ID not found"))</x:f>
      </x:c>
      <x:c r="L144" s="25" t="str">
        <x:f>IF(I144="","",IFERROR(VLOOKUP(I144,'03 Position Requirements'!$A$6:$R$285,8,FALSE),"No Requirement"))</x:f>
      </x:c>
      <x:c r="M144" s="29" t="str">
        <x:f>IF(I144="","",IFERROR(VLOOKUP(I144,'03 Position Requirements'!$A$6:$R$285,9,FALSE),""))</x:f>
      </x:c>
      <x:c r="N144" s="25" t="str">
        <x:f>IF(I144="","",IFERROR(VLOOKUP(I144,'03 Position Requirements'!$A$6:$R$285,10,FALSE),""))</x:f>
      </x:c>
      <x:c r="O144" s="24"/>
      <x:c r="P144" s="25" t="str">
        <x:f>IF(OR(N144="",O144=""),"",MAX(N144-O144,0))</x:f>
      </x:c>
      <x:c r="Q144" s="30" t="str">
        <x:f>IF(P144="","",P144*M144)</x:f>
      </x:c>
      <x:c r="R144" s="30" t="str">
        <x:f>IF(OR(P144="",L144=""),"",P144*M144*IFERROR(VLOOKUP(L144,'99 Lists'!$A$19:$B$21,2,FALSE),1))</x:f>
      </x:c>
      <x:c r="S144" s="25" t="str">
        <x:f>IF(A144="","",IF(O144="","Not Assessed",IF(P144=0,"Meets / Exceeds",IF(P144=1,"Minor Gap",IF(P144=2,"Major Gap","Critical Gap")))))</x:f>
      </x:c>
      <x:c r="T144" s="24"/>
      <x:c r="U144" s="27"/>
      <x:c r="V144" s="24"/>
      <x:c r="W144" s="24"/>
      <x:c r="X144" s="24"/>
      <x:c r="Y144" s="26"/>
      <x:c r="Z144" s="31" t="str">
        <x:f>IF(B144="","",IF(Y144&lt;&gt;"",Y144,EDATE(B144,IFERROR(VLOOKUP(I144,'03 Position Requirements'!$A$6:$R$285,12,FALSE),12))))</x:f>
      </x:c>
      <x:c r="AA144" s="25" t="str">
        <x:f>IF(OR(B144="",D144="",J144=""),"",IF(COUNTIFS($D$6:$D$155,D144,$J$6:$J$155,J144,$B$6:$B$155,"&gt;"&amp;B144)=0,"Yes","No"))</x:f>
      </x:c>
      <x:c r="AB144" s="25" t="str">
        <x:f>IF(AA144="","",IF(AND(AA144="Yes",OR(P144&gt;0,AD144="Expired")),"Yes","No"))</x:f>
      </x:c>
      <x:c r="AC144" s="25" t="str">
        <x:f>IF(Z144="","",Z144-TODAY())</x:f>
      </x:c>
      <x:c r="AD144" s="25" t="str">
        <x:f>IF(A144="","",IF(O144="","Not Assessed",IF(Z144&lt;TODAY(),"Expired",IF(Z144&lt;=TODAY()+30,"Due Soon","Current"))))</x:f>
      </x:c>
      <x:c r="AE144" s="24"/>
    </x:row>
    <x:row r="145">
      <x:c r="A145" s="24"/>
      <x:c r="B145" s="26"/>
      <x:c r="C145" s="24"/>
      <x:c r="D145" s="24"/>
      <x:c r="E145" s="25" t="str">
        <x:f>IF(D145="","",IFERROR(VLOOKUP(D145,'01 Staff Master'!$A$6:$M$105,2,FALSE),"Staff ID not found"))</x:f>
      </x:c>
      <x:c r="F145" s="25" t="str">
        <x:f>IF(D145="","",IFERROR(VLOOKUP(D145,'01 Staff Master'!$A$6:$M$105,3,FALSE),""))</x:f>
      </x:c>
      <x:c r="G145" s="25" t="str">
        <x:f>IF(D145="","",IFERROR(VLOOKUP(D145,'01 Staff Master'!$A$6:$M$105,5,FALSE),""))</x:f>
      </x:c>
      <x:c r="H145" s="25" t="str">
        <x:f>IF(D145="","",IFERROR(VLOOKUP(D145,'01 Staff Master'!$A$6:$M$105,6,FALSE),""))</x:f>
      </x:c>
      <x:c r="I145" s="25" t="str">
        <x:f>IF(OR(F145="",G145="",J145=""),"",F145&amp;"|"&amp;G145&amp;"|"&amp;J145)</x:f>
      </x:c>
      <x:c r="J145" s="24"/>
      <x:c r="K145" s="25" t="str">
        <x:f>IF(J145="","",IFERROR(VLOOKUP(J145,'02 Skill Catalogue'!$A$6:$K$95,4,FALSE),"Skill ID not found"))</x:f>
      </x:c>
      <x:c r="L145" s="25" t="str">
        <x:f>IF(I145="","",IFERROR(VLOOKUP(I145,'03 Position Requirements'!$A$6:$R$285,8,FALSE),"No Requirement"))</x:f>
      </x:c>
      <x:c r="M145" s="29" t="str">
        <x:f>IF(I145="","",IFERROR(VLOOKUP(I145,'03 Position Requirements'!$A$6:$R$285,9,FALSE),""))</x:f>
      </x:c>
      <x:c r="N145" s="25" t="str">
        <x:f>IF(I145="","",IFERROR(VLOOKUP(I145,'03 Position Requirements'!$A$6:$R$285,10,FALSE),""))</x:f>
      </x:c>
      <x:c r="O145" s="24"/>
      <x:c r="P145" s="25" t="str">
        <x:f>IF(OR(N145="",O145=""),"",MAX(N145-O145,0))</x:f>
      </x:c>
      <x:c r="Q145" s="30" t="str">
        <x:f>IF(P145="","",P145*M145)</x:f>
      </x:c>
      <x:c r="R145" s="30" t="str">
        <x:f>IF(OR(P145="",L145=""),"",P145*M145*IFERROR(VLOOKUP(L145,'99 Lists'!$A$19:$B$21,2,FALSE),1))</x:f>
      </x:c>
      <x:c r="S145" s="25" t="str">
        <x:f>IF(A145="","",IF(O145="","Not Assessed",IF(P145=0,"Meets / Exceeds",IF(P145=1,"Minor Gap",IF(P145=2,"Major Gap","Critical Gap")))))</x:f>
      </x:c>
      <x:c r="T145" s="24"/>
      <x:c r="U145" s="27"/>
      <x:c r="V145" s="24"/>
      <x:c r="W145" s="24"/>
      <x:c r="X145" s="24"/>
      <x:c r="Y145" s="26"/>
      <x:c r="Z145" s="31" t="str">
        <x:f>IF(B145="","",IF(Y145&lt;&gt;"",Y145,EDATE(B145,IFERROR(VLOOKUP(I145,'03 Position Requirements'!$A$6:$R$285,12,FALSE),12))))</x:f>
      </x:c>
      <x:c r="AA145" s="25" t="str">
        <x:f>IF(OR(B145="",D145="",J145=""),"",IF(COUNTIFS($D$6:$D$155,D145,$J$6:$J$155,J145,$B$6:$B$155,"&gt;"&amp;B145)=0,"Yes","No"))</x:f>
      </x:c>
      <x:c r="AB145" s="25" t="str">
        <x:f>IF(AA145="","",IF(AND(AA145="Yes",OR(P145&gt;0,AD145="Expired")),"Yes","No"))</x:f>
      </x:c>
      <x:c r="AC145" s="25" t="str">
        <x:f>IF(Z145="","",Z145-TODAY())</x:f>
      </x:c>
      <x:c r="AD145" s="25" t="str">
        <x:f>IF(A145="","",IF(O145="","Not Assessed",IF(Z145&lt;TODAY(),"Expired",IF(Z145&lt;=TODAY()+30,"Due Soon","Current"))))</x:f>
      </x:c>
      <x:c r="AE145" s="24"/>
    </x:row>
    <x:row r="146">
      <x:c r="A146" s="24"/>
      <x:c r="B146" s="26"/>
      <x:c r="C146" s="24"/>
      <x:c r="D146" s="24"/>
      <x:c r="E146" s="25" t="str">
        <x:f>IF(D146="","",IFERROR(VLOOKUP(D146,'01 Staff Master'!$A$6:$M$105,2,FALSE),"Staff ID not found"))</x:f>
      </x:c>
      <x:c r="F146" s="25" t="str">
        <x:f>IF(D146="","",IFERROR(VLOOKUP(D146,'01 Staff Master'!$A$6:$M$105,3,FALSE),""))</x:f>
      </x:c>
      <x:c r="G146" s="25" t="str">
        <x:f>IF(D146="","",IFERROR(VLOOKUP(D146,'01 Staff Master'!$A$6:$M$105,5,FALSE),""))</x:f>
      </x:c>
      <x:c r="H146" s="25" t="str">
        <x:f>IF(D146="","",IFERROR(VLOOKUP(D146,'01 Staff Master'!$A$6:$M$105,6,FALSE),""))</x:f>
      </x:c>
      <x:c r="I146" s="25" t="str">
        <x:f>IF(OR(F146="",G146="",J146=""),"",F146&amp;"|"&amp;G146&amp;"|"&amp;J146)</x:f>
      </x:c>
      <x:c r="J146" s="24"/>
      <x:c r="K146" s="25" t="str">
        <x:f>IF(J146="","",IFERROR(VLOOKUP(J146,'02 Skill Catalogue'!$A$6:$K$95,4,FALSE),"Skill ID not found"))</x:f>
      </x:c>
      <x:c r="L146" s="25" t="str">
        <x:f>IF(I146="","",IFERROR(VLOOKUP(I146,'03 Position Requirements'!$A$6:$R$285,8,FALSE),"No Requirement"))</x:f>
      </x:c>
      <x:c r="M146" s="29" t="str">
        <x:f>IF(I146="","",IFERROR(VLOOKUP(I146,'03 Position Requirements'!$A$6:$R$285,9,FALSE),""))</x:f>
      </x:c>
      <x:c r="N146" s="25" t="str">
        <x:f>IF(I146="","",IFERROR(VLOOKUP(I146,'03 Position Requirements'!$A$6:$R$285,10,FALSE),""))</x:f>
      </x:c>
      <x:c r="O146" s="24"/>
      <x:c r="P146" s="25" t="str">
        <x:f>IF(OR(N146="",O146=""),"",MAX(N146-O146,0))</x:f>
      </x:c>
      <x:c r="Q146" s="30" t="str">
        <x:f>IF(P146="","",P146*M146)</x:f>
      </x:c>
      <x:c r="R146" s="30" t="str">
        <x:f>IF(OR(P146="",L146=""),"",P146*M146*IFERROR(VLOOKUP(L146,'99 Lists'!$A$19:$B$21,2,FALSE),1))</x:f>
      </x:c>
      <x:c r="S146" s="25" t="str">
        <x:f>IF(A146="","",IF(O146="","Not Assessed",IF(P146=0,"Meets / Exceeds",IF(P146=1,"Minor Gap",IF(P146=2,"Major Gap","Critical Gap")))))</x:f>
      </x:c>
      <x:c r="T146" s="24"/>
      <x:c r="U146" s="27"/>
      <x:c r="V146" s="24"/>
      <x:c r="W146" s="24"/>
      <x:c r="X146" s="24"/>
      <x:c r="Y146" s="26"/>
      <x:c r="Z146" s="31" t="str">
        <x:f>IF(B146="","",IF(Y146&lt;&gt;"",Y146,EDATE(B146,IFERROR(VLOOKUP(I146,'03 Position Requirements'!$A$6:$R$285,12,FALSE),12))))</x:f>
      </x:c>
      <x:c r="AA146" s="25" t="str">
        <x:f>IF(OR(B146="",D146="",J146=""),"",IF(COUNTIFS($D$6:$D$155,D146,$J$6:$J$155,J146,$B$6:$B$155,"&gt;"&amp;B146)=0,"Yes","No"))</x:f>
      </x:c>
      <x:c r="AB146" s="25" t="str">
        <x:f>IF(AA146="","",IF(AND(AA146="Yes",OR(P146&gt;0,AD146="Expired")),"Yes","No"))</x:f>
      </x:c>
      <x:c r="AC146" s="25" t="str">
        <x:f>IF(Z146="","",Z146-TODAY())</x:f>
      </x:c>
      <x:c r="AD146" s="25" t="str">
        <x:f>IF(A146="","",IF(O146="","Not Assessed",IF(Z146&lt;TODAY(),"Expired",IF(Z146&lt;=TODAY()+30,"Due Soon","Current"))))</x:f>
      </x:c>
      <x:c r="AE146" s="24"/>
    </x:row>
    <x:row r="147">
      <x:c r="A147" s="24"/>
      <x:c r="B147" s="26"/>
      <x:c r="C147" s="24"/>
      <x:c r="D147" s="24"/>
      <x:c r="E147" s="25" t="str">
        <x:f>IF(D147="","",IFERROR(VLOOKUP(D147,'01 Staff Master'!$A$6:$M$105,2,FALSE),"Staff ID not found"))</x:f>
      </x:c>
      <x:c r="F147" s="25" t="str">
        <x:f>IF(D147="","",IFERROR(VLOOKUP(D147,'01 Staff Master'!$A$6:$M$105,3,FALSE),""))</x:f>
      </x:c>
      <x:c r="G147" s="25" t="str">
        <x:f>IF(D147="","",IFERROR(VLOOKUP(D147,'01 Staff Master'!$A$6:$M$105,5,FALSE),""))</x:f>
      </x:c>
      <x:c r="H147" s="25" t="str">
        <x:f>IF(D147="","",IFERROR(VLOOKUP(D147,'01 Staff Master'!$A$6:$M$105,6,FALSE),""))</x:f>
      </x:c>
      <x:c r="I147" s="25" t="str">
        <x:f>IF(OR(F147="",G147="",J147=""),"",F147&amp;"|"&amp;G147&amp;"|"&amp;J147)</x:f>
      </x:c>
      <x:c r="J147" s="24"/>
      <x:c r="K147" s="25" t="str">
        <x:f>IF(J147="","",IFERROR(VLOOKUP(J147,'02 Skill Catalogue'!$A$6:$K$95,4,FALSE),"Skill ID not found"))</x:f>
      </x:c>
      <x:c r="L147" s="25" t="str">
        <x:f>IF(I147="","",IFERROR(VLOOKUP(I147,'03 Position Requirements'!$A$6:$R$285,8,FALSE),"No Requirement"))</x:f>
      </x:c>
      <x:c r="M147" s="29" t="str">
        <x:f>IF(I147="","",IFERROR(VLOOKUP(I147,'03 Position Requirements'!$A$6:$R$285,9,FALSE),""))</x:f>
      </x:c>
      <x:c r="N147" s="25" t="str">
        <x:f>IF(I147="","",IFERROR(VLOOKUP(I147,'03 Position Requirements'!$A$6:$R$285,10,FALSE),""))</x:f>
      </x:c>
      <x:c r="O147" s="24"/>
      <x:c r="P147" s="25" t="str">
        <x:f>IF(OR(N147="",O147=""),"",MAX(N147-O147,0))</x:f>
      </x:c>
      <x:c r="Q147" s="30" t="str">
        <x:f>IF(P147="","",P147*M147)</x:f>
      </x:c>
      <x:c r="R147" s="30" t="str">
        <x:f>IF(OR(P147="",L147=""),"",P147*M147*IFERROR(VLOOKUP(L147,'99 Lists'!$A$19:$B$21,2,FALSE),1))</x:f>
      </x:c>
      <x:c r="S147" s="25" t="str">
        <x:f>IF(A147="","",IF(O147="","Not Assessed",IF(P147=0,"Meets / Exceeds",IF(P147=1,"Minor Gap",IF(P147=2,"Major Gap","Critical Gap")))))</x:f>
      </x:c>
      <x:c r="T147" s="24"/>
      <x:c r="U147" s="27"/>
      <x:c r="V147" s="24"/>
      <x:c r="W147" s="24"/>
      <x:c r="X147" s="24"/>
      <x:c r="Y147" s="26"/>
      <x:c r="Z147" s="31" t="str">
        <x:f>IF(B147="","",IF(Y147&lt;&gt;"",Y147,EDATE(B147,IFERROR(VLOOKUP(I147,'03 Position Requirements'!$A$6:$R$285,12,FALSE),12))))</x:f>
      </x:c>
      <x:c r="AA147" s="25" t="str">
        <x:f>IF(OR(B147="",D147="",J147=""),"",IF(COUNTIFS($D$6:$D$155,D147,$J$6:$J$155,J147,$B$6:$B$155,"&gt;"&amp;B147)=0,"Yes","No"))</x:f>
      </x:c>
      <x:c r="AB147" s="25" t="str">
        <x:f>IF(AA147="","",IF(AND(AA147="Yes",OR(P147&gt;0,AD147="Expired")),"Yes","No"))</x:f>
      </x:c>
      <x:c r="AC147" s="25" t="str">
        <x:f>IF(Z147="","",Z147-TODAY())</x:f>
      </x:c>
      <x:c r="AD147" s="25" t="str">
        <x:f>IF(A147="","",IF(O147="","Not Assessed",IF(Z147&lt;TODAY(),"Expired",IF(Z147&lt;=TODAY()+30,"Due Soon","Current"))))</x:f>
      </x:c>
      <x:c r="AE147" s="24"/>
    </x:row>
    <x:row r="148">
      <x:c r="A148" s="24"/>
      <x:c r="B148" s="26"/>
      <x:c r="C148" s="24"/>
      <x:c r="D148" s="24"/>
      <x:c r="E148" s="25" t="str">
        <x:f>IF(D148="","",IFERROR(VLOOKUP(D148,'01 Staff Master'!$A$6:$M$105,2,FALSE),"Staff ID not found"))</x:f>
      </x:c>
      <x:c r="F148" s="25" t="str">
        <x:f>IF(D148="","",IFERROR(VLOOKUP(D148,'01 Staff Master'!$A$6:$M$105,3,FALSE),""))</x:f>
      </x:c>
      <x:c r="G148" s="25" t="str">
        <x:f>IF(D148="","",IFERROR(VLOOKUP(D148,'01 Staff Master'!$A$6:$M$105,5,FALSE),""))</x:f>
      </x:c>
      <x:c r="H148" s="25" t="str">
        <x:f>IF(D148="","",IFERROR(VLOOKUP(D148,'01 Staff Master'!$A$6:$M$105,6,FALSE),""))</x:f>
      </x:c>
      <x:c r="I148" s="25" t="str">
        <x:f>IF(OR(F148="",G148="",J148=""),"",F148&amp;"|"&amp;G148&amp;"|"&amp;J148)</x:f>
      </x:c>
      <x:c r="J148" s="24"/>
      <x:c r="K148" s="25" t="str">
        <x:f>IF(J148="","",IFERROR(VLOOKUP(J148,'02 Skill Catalogue'!$A$6:$K$95,4,FALSE),"Skill ID not found"))</x:f>
      </x:c>
      <x:c r="L148" s="25" t="str">
        <x:f>IF(I148="","",IFERROR(VLOOKUP(I148,'03 Position Requirements'!$A$6:$R$285,8,FALSE),"No Requirement"))</x:f>
      </x:c>
      <x:c r="M148" s="29" t="str">
        <x:f>IF(I148="","",IFERROR(VLOOKUP(I148,'03 Position Requirements'!$A$6:$R$285,9,FALSE),""))</x:f>
      </x:c>
      <x:c r="N148" s="25" t="str">
        <x:f>IF(I148="","",IFERROR(VLOOKUP(I148,'03 Position Requirements'!$A$6:$R$285,10,FALSE),""))</x:f>
      </x:c>
      <x:c r="O148" s="24"/>
      <x:c r="P148" s="25" t="str">
        <x:f>IF(OR(N148="",O148=""),"",MAX(N148-O148,0))</x:f>
      </x:c>
      <x:c r="Q148" s="30" t="str">
        <x:f>IF(P148="","",P148*M148)</x:f>
      </x:c>
      <x:c r="R148" s="30" t="str">
        <x:f>IF(OR(P148="",L148=""),"",P148*M148*IFERROR(VLOOKUP(L148,'99 Lists'!$A$19:$B$21,2,FALSE),1))</x:f>
      </x:c>
      <x:c r="S148" s="25" t="str">
        <x:f>IF(A148="","",IF(O148="","Not Assessed",IF(P148=0,"Meets / Exceeds",IF(P148=1,"Minor Gap",IF(P148=2,"Major Gap","Critical Gap")))))</x:f>
      </x:c>
      <x:c r="T148" s="24"/>
      <x:c r="U148" s="27"/>
      <x:c r="V148" s="24"/>
      <x:c r="W148" s="24"/>
      <x:c r="X148" s="24"/>
      <x:c r="Y148" s="26"/>
      <x:c r="Z148" s="31" t="str">
        <x:f>IF(B148="","",IF(Y148&lt;&gt;"",Y148,EDATE(B148,IFERROR(VLOOKUP(I148,'03 Position Requirements'!$A$6:$R$285,12,FALSE),12))))</x:f>
      </x:c>
      <x:c r="AA148" s="25" t="str">
        <x:f>IF(OR(B148="",D148="",J148=""),"",IF(COUNTIFS($D$6:$D$155,D148,$J$6:$J$155,J148,$B$6:$B$155,"&gt;"&amp;B148)=0,"Yes","No"))</x:f>
      </x:c>
      <x:c r="AB148" s="25" t="str">
        <x:f>IF(AA148="","",IF(AND(AA148="Yes",OR(P148&gt;0,AD148="Expired")),"Yes","No"))</x:f>
      </x:c>
      <x:c r="AC148" s="25" t="str">
        <x:f>IF(Z148="","",Z148-TODAY())</x:f>
      </x:c>
      <x:c r="AD148" s="25" t="str">
        <x:f>IF(A148="","",IF(O148="","Not Assessed",IF(Z148&lt;TODAY(),"Expired",IF(Z148&lt;=TODAY()+30,"Due Soon","Current"))))</x:f>
      </x:c>
      <x:c r="AE148" s="24"/>
    </x:row>
    <x:row r="149">
      <x:c r="A149" s="24"/>
      <x:c r="B149" s="26"/>
      <x:c r="C149" s="24"/>
      <x:c r="D149" s="24"/>
      <x:c r="E149" s="25" t="str">
        <x:f>IF(D149="","",IFERROR(VLOOKUP(D149,'01 Staff Master'!$A$6:$M$105,2,FALSE),"Staff ID not found"))</x:f>
      </x:c>
      <x:c r="F149" s="25" t="str">
        <x:f>IF(D149="","",IFERROR(VLOOKUP(D149,'01 Staff Master'!$A$6:$M$105,3,FALSE),""))</x:f>
      </x:c>
      <x:c r="G149" s="25" t="str">
        <x:f>IF(D149="","",IFERROR(VLOOKUP(D149,'01 Staff Master'!$A$6:$M$105,5,FALSE),""))</x:f>
      </x:c>
      <x:c r="H149" s="25" t="str">
        <x:f>IF(D149="","",IFERROR(VLOOKUP(D149,'01 Staff Master'!$A$6:$M$105,6,FALSE),""))</x:f>
      </x:c>
      <x:c r="I149" s="25" t="str">
        <x:f>IF(OR(F149="",G149="",J149=""),"",F149&amp;"|"&amp;G149&amp;"|"&amp;J149)</x:f>
      </x:c>
      <x:c r="J149" s="24"/>
      <x:c r="K149" s="25" t="str">
        <x:f>IF(J149="","",IFERROR(VLOOKUP(J149,'02 Skill Catalogue'!$A$6:$K$95,4,FALSE),"Skill ID not found"))</x:f>
      </x:c>
      <x:c r="L149" s="25" t="str">
        <x:f>IF(I149="","",IFERROR(VLOOKUP(I149,'03 Position Requirements'!$A$6:$R$285,8,FALSE),"No Requirement"))</x:f>
      </x:c>
      <x:c r="M149" s="29" t="str">
        <x:f>IF(I149="","",IFERROR(VLOOKUP(I149,'03 Position Requirements'!$A$6:$R$285,9,FALSE),""))</x:f>
      </x:c>
      <x:c r="N149" s="25" t="str">
        <x:f>IF(I149="","",IFERROR(VLOOKUP(I149,'03 Position Requirements'!$A$6:$R$285,10,FALSE),""))</x:f>
      </x:c>
      <x:c r="O149" s="24"/>
      <x:c r="P149" s="25" t="str">
        <x:f>IF(OR(N149="",O149=""),"",MAX(N149-O149,0))</x:f>
      </x:c>
      <x:c r="Q149" s="30" t="str">
        <x:f>IF(P149="","",P149*M149)</x:f>
      </x:c>
      <x:c r="R149" s="30" t="str">
        <x:f>IF(OR(P149="",L149=""),"",P149*M149*IFERROR(VLOOKUP(L149,'99 Lists'!$A$19:$B$21,2,FALSE),1))</x:f>
      </x:c>
      <x:c r="S149" s="25" t="str">
        <x:f>IF(A149="","",IF(O149="","Not Assessed",IF(P149=0,"Meets / Exceeds",IF(P149=1,"Minor Gap",IF(P149=2,"Major Gap","Critical Gap")))))</x:f>
      </x:c>
      <x:c r="T149" s="24"/>
      <x:c r="U149" s="27"/>
      <x:c r="V149" s="24"/>
      <x:c r="W149" s="24"/>
      <x:c r="X149" s="24"/>
      <x:c r="Y149" s="26"/>
      <x:c r="Z149" s="31" t="str">
        <x:f>IF(B149="","",IF(Y149&lt;&gt;"",Y149,EDATE(B149,IFERROR(VLOOKUP(I149,'03 Position Requirements'!$A$6:$R$285,12,FALSE),12))))</x:f>
      </x:c>
      <x:c r="AA149" s="25" t="str">
        <x:f>IF(OR(B149="",D149="",J149=""),"",IF(COUNTIFS($D$6:$D$155,D149,$J$6:$J$155,J149,$B$6:$B$155,"&gt;"&amp;B149)=0,"Yes","No"))</x:f>
      </x:c>
      <x:c r="AB149" s="25" t="str">
        <x:f>IF(AA149="","",IF(AND(AA149="Yes",OR(P149&gt;0,AD149="Expired")),"Yes","No"))</x:f>
      </x:c>
      <x:c r="AC149" s="25" t="str">
        <x:f>IF(Z149="","",Z149-TODAY())</x:f>
      </x:c>
      <x:c r="AD149" s="25" t="str">
        <x:f>IF(A149="","",IF(O149="","Not Assessed",IF(Z149&lt;TODAY(),"Expired",IF(Z149&lt;=TODAY()+30,"Due Soon","Current"))))</x:f>
      </x:c>
      <x:c r="AE149" s="24"/>
    </x:row>
    <x:row r="150">
      <x:c r="A150" s="24"/>
      <x:c r="B150" s="26"/>
      <x:c r="C150" s="24"/>
      <x:c r="D150" s="24"/>
      <x:c r="E150" s="25" t="str">
        <x:f>IF(D150="","",IFERROR(VLOOKUP(D150,'01 Staff Master'!$A$6:$M$105,2,FALSE),"Staff ID not found"))</x:f>
      </x:c>
      <x:c r="F150" s="25" t="str">
        <x:f>IF(D150="","",IFERROR(VLOOKUP(D150,'01 Staff Master'!$A$6:$M$105,3,FALSE),""))</x:f>
      </x:c>
      <x:c r="G150" s="25" t="str">
        <x:f>IF(D150="","",IFERROR(VLOOKUP(D150,'01 Staff Master'!$A$6:$M$105,5,FALSE),""))</x:f>
      </x:c>
      <x:c r="H150" s="25" t="str">
        <x:f>IF(D150="","",IFERROR(VLOOKUP(D150,'01 Staff Master'!$A$6:$M$105,6,FALSE),""))</x:f>
      </x:c>
      <x:c r="I150" s="25" t="str">
        <x:f>IF(OR(F150="",G150="",J150=""),"",F150&amp;"|"&amp;G150&amp;"|"&amp;J150)</x:f>
      </x:c>
      <x:c r="J150" s="24"/>
      <x:c r="K150" s="25" t="str">
        <x:f>IF(J150="","",IFERROR(VLOOKUP(J150,'02 Skill Catalogue'!$A$6:$K$95,4,FALSE),"Skill ID not found"))</x:f>
      </x:c>
      <x:c r="L150" s="25" t="str">
        <x:f>IF(I150="","",IFERROR(VLOOKUP(I150,'03 Position Requirements'!$A$6:$R$285,8,FALSE),"No Requirement"))</x:f>
      </x:c>
      <x:c r="M150" s="29" t="str">
        <x:f>IF(I150="","",IFERROR(VLOOKUP(I150,'03 Position Requirements'!$A$6:$R$285,9,FALSE),""))</x:f>
      </x:c>
      <x:c r="N150" s="25" t="str">
        <x:f>IF(I150="","",IFERROR(VLOOKUP(I150,'03 Position Requirements'!$A$6:$R$285,10,FALSE),""))</x:f>
      </x:c>
      <x:c r="O150" s="24"/>
      <x:c r="P150" s="25" t="str">
        <x:f>IF(OR(N150="",O150=""),"",MAX(N150-O150,0))</x:f>
      </x:c>
      <x:c r="Q150" s="30" t="str">
        <x:f>IF(P150="","",P150*M150)</x:f>
      </x:c>
      <x:c r="R150" s="30" t="str">
        <x:f>IF(OR(P150="",L150=""),"",P150*M150*IFERROR(VLOOKUP(L150,'99 Lists'!$A$19:$B$21,2,FALSE),1))</x:f>
      </x:c>
      <x:c r="S150" s="25" t="str">
        <x:f>IF(A150="","",IF(O150="","Not Assessed",IF(P150=0,"Meets / Exceeds",IF(P150=1,"Minor Gap",IF(P150=2,"Major Gap","Critical Gap")))))</x:f>
      </x:c>
      <x:c r="T150" s="24"/>
      <x:c r="U150" s="27"/>
      <x:c r="V150" s="24"/>
      <x:c r="W150" s="24"/>
      <x:c r="X150" s="24"/>
      <x:c r="Y150" s="26"/>
      <x:c r="Z150" s="31" t="str">
        <x:f>IF(B150="","",IF(Y150&lt;&gt;"",Y150,EDATE(B150,IFERROR(VLOOKUP(I150,'03 Position Requirements'!$A$6:$R$285,12,FALSE),12))))</x:f>
      </x:c>
      <x:c r="AA150" s="25" t="str">
        <x:f>IF(OR(B150="",D150="",J150=""),"",IF(COUNTIFS($D$6:$D$155,D150,$J$6:$J$155,J150,$B$6:$B$155,"&gt;"&amp;B150)=0,"Yes","No"))</x:f>
      </x:c>
      <x:c r="AB150" s="25" t="str">
        <x:f>IF(AA150="","",IF(AND(AA150="Yes",OR(P150&gt;0,AD150="Expired")),"Yes","No"))</x:f>
      </x:c>
      <x:c r="AC150" s="25" t="str">
        <x:f>IF(Z150="","",Z150-TODAY())</x:f>
      </x:c>
      <x:c r="AD150" s="25" t="str">
        <x:f>IF(A150="","",IF(O150="","Not Assessed",IF(Z150&lt;TODAY(),"Expired",IF(Z150&lt;=TODAY()+30,"Due Soon","Current"))))</x:f>
      </x:c>
      <x:c r="AE150" s="24"/>
    </x:row>
    <x:row r="151">
      <x:c r="A151" s="24"/>
      <x:c r="B151" s="26"/>
      <x:c r="C151" s="24"/>
      <x:c r="D151" s="24"/>
      <x:c r="E151" s="25" t="str">
        <x:f>IF(D151="","",IFERROR(VLOOKUP(D151,'01 Staff Master'!$A$6:$M$105,2,FALSE),"Staff ID not found"))</x:f>
      </x:c>
      <x:c r="F151" s="25" t="str">
        <x:f>IF(D151="","",IFERROR(VLOOKUP(D151,'01 Staff Master'!$A$6:$M$105,3,FALSE),""))</x:f>
      </x:c>
      <x:c r="G151" s="25" t="str">
        <x:f>IF(D151="","",IFERROR(VLOOKUP(D151,'01 Staff Master'!$A$6:$M$105,5,FALSE),""))</x:f>
      </x:c>
      <x:c r="H151" s="25" t="str">
        <x:f>IF(D151="","",IFERROR(VLOOKUP(D151,'01 Staff Master'!$A$6:$M$105,6,FALSE),""))</x:f>
      </x:c>
      <x:c r="I151" s="25" t="str">
        <x:f>IF(OR(F151="",G151="",J151=""),"",F151&amp;"|"&amp;G151&amp;"|"&amp;J151)</x:f>
      </x:c>
      <x:c r="J151" s="24"/>
      <x:c r="K151" s="25" t="str">
        <x:f>IF(J151="","",IFERROR(VLOOKUP(J151,'02 Skill Catalogue'!$A$6:$K$95,4,FALSE),"Skill ID not found"))</x:f>
      </x:c>
      <x:c r="L151" s="25" t="str">
        <x:f>IF(I151="","",IFERROR(VLOOKUP(I151,'03 Position Requirements'!$A$6:$R$285,8,FALSE),"No Requirement"))</x:f>
      </x:c>
      <x:c r="M151" s="29" t="str">
        <x:f>IF(I151="","",IFERROR(VLOOKUP(I151,'03 Position Requirements'!$A$6:$R$285,9,FALSE),""))</x:f>
      </x:c>
      <x:c r="N151" s="25" t="str">
        <x:f>IF(I151="","",IFERROR(VLOOKUP(I151,'03 Position Requirements'!$A$6:$R$285,10,FALSE),""))</x:f>
      </x:c>
      <x:c r="O151" s="24"/>
      <x:c r="P151" s="25" t="str">
        <x:f>IF(OR(N151="",O151=""),"",MAX(N151-O151,0))</x:f>
      </x:c>
      <x:c r="Q151" s="30" t="str">
        <x:f>IF(P151="","",P151*M151)</x:f>
      </x:c>
      <x:c r="R151" s="30" t="str">
        <x:f>IF(OR(P151="",L151=""),"",P151*M151*IFERROR(VLOOKUP(L151,'99 Lists'!$A$19:$B$21,2,FALSE),1))</x:f>
      </x:c>
      <x:c r="S151" s="25" t="str">
        <x:f>IF(A151="","",IF(O151="","Not Assessed",IF(P151=0,"Meets / Exceeds",IF(P151=1,"Minor Gap",IF(P151=2,"Major Gap","Critical Gap")))))</x:f>
      </x:c>
      <x:c r="T151" s="24"/>
      <x:c r="U151" s="27"/>
      <x:c r="V151" s="24"/>
      <x:c r="W151" s="24"/>
      <x:c r="X151" s="24"/>
      <x:c r="Y151" s="26"/>
      <x:c r="Z151" s="31" t="str">
        <x:f>IF(B151="","",IF(Y151&lt;&gt;"",Y151,EDATE(B151,IFERROR(VLOOKUP(I151,'03 Position Requirements'!$A$6:$R$285,12,FALSE),12))))</x:f>
      </x:c>
      <x:c r="AA151" s="25" t="str">
        <x:f>IF(OR(B151="",D151="",J151=""),"",IF(COUNTIFS($D$6:$D$155,D151,$J$6:$J$155,J151,$B$6:$B$155,"&gt;"&amp;B151)=0,"Yes","No"))</x:f>
      </x:c>
      <x:c r="AB151" s="25" t="str">
        <x:f>IF(AA151="","",IF(AND(AA151="Yes",OR(P151&gt;0,AD151="Expired")),"Yes","No"))</x:f>
      </x:c>
      <x:c r="AC151" s="25" t="str">
        <x:f>IF(Z151="","",Z151-TODAY())</x:f>
      </x:c>
      <x:c r="AD151" s="25" t="str">
        <x:f>IF(A151="","",IF(O151="","Not Assessed",IF(Z151&lt;TODAY(),"Expired",IF(Z151&lt;=TODAY()+30,"Due Soon","Current"))))</x:f>
      </x:c>
      <x:c r="AE151" s="24"/>
    </x:row>
    <x:row r="152">
      <x:c r="A152" s="24"/>
      <x:c r="B152" s="26"/>
      <x:c r="C152" s="24"/>
      <x:c r="D152" s="24"/>
      <x:c r="E152" s="25" t="str">
        <x:f>IF(D152="","",IFERROR(VLOOKUP(D152,'01 Staff Master'!$A$6:$M$105,2,FALSE),"Staff ID not found"))</x:f>
      </x:c>
      <x:c r="F152" s="25" t="str">
        <x:f>IF(D152="","",IFERROR(VLOOKUP(D152,'01 Staff Master'!$A$6:$M$105,3,FALSE),""))</x:f>
      </x:c>
      <x:c r="G152" s="25" t="str">
        <x:f>IF(D152="","",IFERROR(VLOOKUP(D152,'01 Staff Master'!$A$6:$M$105,5,FALSE),""))</x:f>
      </x:c>
      <x:c r="H152" s="25" t="str">
        <x:f>IF(D152="","",IFERROR(VLOOKUP(D152,'01 Staff Master'!$A$6:$M$105,6,FALSE),""))</x:f>
      </x:c>
      <x:c r="I152" s="25" t="str">
        <x:f>IF(OR(F152="",G152="",J152=""),"",F152&amp;"|"&amp;G152&amp;"|"&amp;J152)</x:f>
      </x:c>
      <x:c r="J152" s="24"/>
      <x:c r="K152" s="25" t="str">
        <x:f>IF(J152="","",IFERROR(VLOOKUP(J152,'02 Skill Catalogue'!$A$6:$K$95,4,FALSE),"Skill ID not found"))</x:f>
      </x:c>
      <x:c r="L152" s="25" t="str">
        <x:f>IF(I152="","",IFERROR(VLOOKUP(I152,'03 Position Requirements'!$A$6:$R$285,8,FALSE),"No Requirement"))</x:f>
      </x:c>
      <x:c r="M152" s="29" t="str">
        <x:f>IF(I152="","",IFERROR(VLOOKUP(I152,'03 Position Requirements'!$A$6:$R$285,9,FALSE),""))</x:f>
      </x:c>
      <x:c r="N152" s="25" t="str">
        <x:f>IF(I152="","",IFERROR(VLOOKUP(I152,'03 Position Requirements'!$A$6:$R$285,10,FALSE),""))</x:f>
      </x:c>
      <x:c r="O152" s="24"/>
      <x:c r="P152" s="25" t="str">
        <x:f>IF(OR(N152="",O152=""),"",MAX(N152-O152,0))</x:f>
      </x:c>
      <x:c r="Q152" s="30" t="str">
        <x:f>IF(P152="","",P152*M152)</x:f>
      </x:c>
      <x:c r="R152" s="30" t="str">
        <x:f>IF(OR(P152="",L152=""),"",P152*M152*IFERROR(VLOOKUP(L152,'99 Lists'!$A$19:$B$21,2,FALSE),1))</x:f>
      </x:c>
      <x:c r="S152" s="25" t="str">
        <x:f>IF(A152="","",IF(O152="","Not Assessed",IF(P152=0,"Meets / Exceeds",IF(P152=1,"Minor Gap",IF(P152=2,"Major Gap","Critical Gap")))))</x:f>
      </x:c>
      <x:c r="T152" s="24"/>
      <x:c r="U152" s="27"/>
      <x:c r="V152" s="24"/>
      <x:c r="W152" s="24"/>
      <x:c r="X152" s="24"/>
      <x:c r="Y152" s="26"/>
      <x:c r="Z152" s="31" t="str">
        <x:f>IF(B152="","",IF(Y152&lt;&gt;"",Y152,EDATE(B152,IFERROR(VLOOKUP(I152,'03 Position Requirements'!$A$6:$R$285,12,FALSE),12))))</x:f>
      </x:c>
      <x:c r="AA152" s="25" t="str">
        <x:f>IF(OR(B152="",D152="",J152=""),"",IF(COUNTIFS($D$6:$D$155,D152,$J$6:$J$155,J152,$B$6:$B$155,"&gt;"&amp;B152)=0,"Yes","No"))</x:f>
      </x:c>
      <x:c r="AB152" s="25" t="str">
        <x:f>IF(AA152="","",IF(AND(AA152="Yes",OR(P152&gt;0,AD152="Expired")),"Yes","No"))</x:f>
      </x:c>
      <x:c r="AC152" s="25" t="str">
        <x:f>IF(Z152="","",Z152-TODAY())</x:f>
      </x:c>
      <x:c r="AD152" s="25" t="str">
        <x:f>IF(A152="","",IF(O152="","Not Assessed",IF(Z152&lt;TODAY(),"Expired",IF(Z152&lt;=TODAY()+30,"Due Soon","Current"))))</x:f>
      </x:c>
      <x:c r="AE152" s="24"/>
    </x:row>
    <x:row r="153">
      <x:c r="A153" s="24"/>
      <x:c r="B153" s="26"/>
      <x:c r="C153" s="24"/>
      <x:c r="D153" s="24"/>
      <x:c r="E153" s="25" t="str">
        <x:f>IF(D153="","",IFERROR(VLOOKUP(D153,'01 Staff Master'!$A$6:$M$105,2,FALSE),"Staff ID not found"))</x:f>
      </x:c>
      <x:c r="F153" s="25" t="str">
        <x:f>IF(D153="","",IFERROR(VLOOKUP(D153,'01 Staff Master'!$A$6:$M$105,3,FALSE),""))</x:f>
      </x:c>
      <x:c r="G153" s="25" t="str">
        <x:f>IF(D153="","",IFERROR(VLOOKUP(D153,'01 Staff Master'!$A$6:$M$105,5,FALSE),""))</x:f>
      </x:c>
      <x:c r="H153" s="25" t="str">
        <x:f>IF(D153="","",IFERROR(VLOOKUP(D153,'01 Staff Master'!$A$6:$M$105,6,FALSE),""))</x:f>
      </x:c>
      <x:c r="I153" s="25" t="str">
        <x:f>IF(OR(F153="",G153="",J153=""),"",F153&amp;"|"&amp;G153&amp;"|"&amp;J153)</x:f>
      </x:c>
      <x:c r="J153" s="24"/>
      <x:c r="K153" s="25" t="str">
        <x:f>IF(J153="","",IFERROR(VLOOKUP(J153,'02 Skill Catalogue'!$A$6:$K$95,4,FALSE),"Skill ID not found"))</x:f>
      </x:c>
      <x:c r="L153" s="25" t="str">
        <x:f>IF(I153="","",IFERROR(VLOOKUP(I153,'03 Position Requirements'!$A$6:$R$285,8,FALSE),"No Requirement"))</x:f>
      </x:c>
      <x:c r="M153" s="29" t="str">
        <x:f>IF(I153="","",IFERROR(VLOOKUP(I153,'03 Position Requirements'!$A$6:$R$285,9,FALSE),""))</x:f>
      </x:c>
      <x:c r="N153" s="25" t="str">
        <x:f>IF(I153="","",IFERROR(VLOOKUP(I153,'03 Position Requirements'!$A$6:$R$285,10,FALSE),""))</x:f>
      </x:c>
      <x:c r="O153" s="24"/>
      <x:c r="P153" s="25" t="str">
        <x:f>IF(OR(N153="",O153=""),"",MAX(N153-O153,0))</x:f>
      </x:c>
      <x:c r="Q153" s="30" t="str">
        <x:f>IF(P153="","",P153*M153)</x:f>
      </x:c>
      <x:c r="R153" s="30" t="str">
        <x:f>IF(OR(P153="",L153=""),"",P153*M153*IFERROR(VLOOKUP(L153,'99 Lists'!$A$19:$B$21,2,FALSE),1))</x:f>
      </x:c>
      <x:c r="S153" s="25" t="str">
        <x:f>IF(A153="","",IF(O153="","Not Assessed",IF(P153=0,"Meets / Exceeds",IF(P153=1,"Minor Gap",IF(P153=2,"Major Gap","Critical Gap")))))</x:f>
      </x:c>
      <x:c r="T153" s="24"/>
      <x:c r="U153" s="27"/>
      <x:c r="V153" s="24"/>
      <x:c r="W153" s="24"/>
      <x:c r="X153" s="24"/>
      <x:c r="Y153" s="26"/>
      <x:c r="Z153" s="31" t="str">
        <x:f>IF(B153="","",IF(Y153&lt;&gt;"",Y153,EDATE(B153,IFERROR(VLOOKUP(I153,'03 Position Requirements'!$A$6:$R$285,12,FALSE),12))))</x:f>
      </x:c>
      <x:c r="AA153" s="25" t="str">
        <x:f>IF(OR(B153="",D153="",J153=""),"",IF(COUNTIFS($D$6:$D$155,D153,$J$6:$J$155,J153,$B$6:$B$155,"&gt;"&amp;B153)=0,"Yes","No"))</x:f>
      </x:c>
      <x:c r="AB153" s="25" t="str">
        <x:f>IF(AA153="","",IF(AND(AA153="Yes",OR(P153&gt;0,AD153="Expired")),"Yes","No"))</x:f>
      </x:c>
      <x:c r="AC153" s="25" t="str">
        <x:f>IF(Z153="","",Z153-TODAY())</x:f>
      </x:c>
      <x:c r="AD153" s="25" t="str">
        <x:f>IF(A153="","",IF(O153="","Not Assessed",IF(Z153&lt;TODAY(),"Expired",IF(Z153&lt;=TODAY()+30,"Due Soon","Current"))))</x:f>
      </x:c>
      <x:c r="AE153" s="24"/>
    </x:row>
    <x:row r="154">
      <x:c r="A154" s="24"/>
      <x:c r="B154" s="26"/>
      <x:c r="C154" s="24"/>
      <x:c r="D154" s="24"/>
      <x:c r="E154" s="25" t="str">
        <x:f>IF(D154="","",IFERROR(VLOOKUP(D154,'01 Staff Master'!$A$6:$M$105,2,FALSE),"Staff ID not found"))</x:f>
      </x:c>
      <x:c r="F154" s="25" t="str">
        <x:f>IF(D154="","",IFERROR(VLOOKUP(D154,'01 Staff Master'!$A$6:$M$105,3,FALSE),""))</x:f>
      </x:c>
      <x:c r="G154" s="25" t="str">
        <x:f>IF(D154="","",IFERROR(VLOOKUP(D154,'01 Staff Master'!$A$6:$M$105,5,FALSE),""))</x:f>
      </x:c>
      <x:c r="H154" s="25" t="str">
        <x:f>IF(D154="","",IFERROR(VLOOKUP(D154,'01 Staff Master'!$A$6:$M$105,6,FALSE),""))</x:f>
      </x:c>
      <x:c r="I154" s="25" t="str">
        <x:f>IF(OR(F154="",G154="",J154=""),"",F154&amp;"|"&amp;G154&amp;"|"&amp;J154)</x:f>
      </x:c>
      <x:c r="J154" s="24"/>
      <x:c r="K154" s="25" t="str">
        <x:f>IF(J154="","",IFERROR(VLOOKUP(J154,'02 Skill Catalogue'!$A$6:$K$95,4,FALSE),"Skill ID not found"))</x:f>
      </x:c>
      <x:c r="L154" s="25" t="str">
        <x:f>IF(I154="","",IFERROR(VLOOKUP(I154,'03 Position Requirements'!$A$6:$R$285,8,FALSE),"No Requirement"))</x:f>
      </x:c>
      <x:c r="M154" s="29" t="str">
        <x:f>IF(I154="","",IFERROR(VLOOKUP(I154,'03 Position Requirements'!$A$6:$R$285,9,FALSE),""))</x:f>
      </x:c>
      <x:c r="N154" s="25" t="str">
        <x:f>IF(I154="","",IFERROR(VLOOKUP(I154,'03 Position Requirements'!$A$6:$R$285,10,FALSE),""))</x:f>
      </x:c>
      <x:c r="O154" s="24"/>
      <x:c r="P154" s="25" t="str">
        <x:f>IF(OR(N154="",O154=""),"",MAX(N154-O154,0))</x:f>
      </x:c>
      <x:c r="Q154" s="30" t="str">
        <x:f>IF(P154="","",P154*M154)</x:f>
      </x:c>
      <x:c r="R154" s="30" t="str">
        <x:f>IF(OR(P154="",L154=""),"",P154*M154*IFERROR(VLOOKUP(L154,'99 Lists'!$A$19:$B$21,2,FALSE),1))</x:f>
      </x:c>
      <x:c r="S154" s="25" t="str">
        <x:f>IF(A154="","",IF(O154="","Not Assessed",IF(P154=0,"Meets / Exceeds",IF(P154=1,"Minor Gap",IF(P154=2,"Major Gap","Critical Gap")))))</x:f>
      </x:c>
      <x:c r="T154" s="24"/>
      <x:c r="U154" s="27"/>
      <x:c r="V154" s="24"/>
      <x:c r="W154" s="24"/>
      <x:c r="X154" s="24"/>
      <x:c r="Y154" s="26"/>
      <x:c r="Z154" s="31" t="str">
        <x:f>IF(B154="","",IF(Y154&lt;&gt;"",Y154,EDATE(B154,IFERROR(VLOOKUP(I154,'03 Position Requirements'!$A$6:$R$285,12,FALSE),12))))</x:f>
      </x:c>
      <x:c r="AA154" s="25" t="str">
        <x:f>IF(OR(B154="",D154="",J154=""),"",IF(COUNTIFS($D$6:$D$155,D154,$J$6:$J$155,J154,$B$6:$B$155,"&gt;"&amp;B154)=0,"Yes","No"))</x:f>
      </x:c>
      <x:c r="AB154" s="25" t="str">
        <x:f>IF(AA154="","",IF(AND(AA154="Yes",OR(P154&gt;0,AD154="Expired")),"Yes","No"))</x:f>
      </x:c>
      <x:c r="AC154" s="25" t="str">
        <x:f>IF(Z154="","",Z154-TODAY())</x:f>
      </x:c>
      <x:c r="AD154" s="25" t="str">
        <x:f>IF(A154="","",IF(O154="","Not Assessed",IF(Z154&lt;TODAY(),"Expired",IF(Z154&lt;=TODAY()+30,"Due Soon","Current"))))</x:f>
      </x:c>
      <x:c r="AE154" s="24"/>
    </x:row>
    <x:row r="155">
      <x:c r="A155" s="24"/>
      <x:c r="B155" s="26"/>
      <x:c r="C155" s="24"/>
      <x:c r="D155" s="24"/>
      <x:c r="E155" s="25" t="str">
        <x:f>IF(D155="","",IFERROR(VLOOKUP(D155,'01 Staff Master'!$A$6:$M$105,2,FALSE),"Staff ID not found"))</x:f>
      </x:c>
      <x:c r="F155" s="25" t="str">
        <x:f>IF(D155="","",IFERROR(VLOOKUP(D155,'01 Staff Master'!$A$6:$M$105,3,FALSE),""))</x:f>
      </x:c>
      <x:c r="G155" s="25" t="str">
        <x:f>IF(D155="","",IFERROR(VLOOKUP(D155,'01 Staff Master'!$A$6:$M$105,5,FALSE),""))</x:f>
      </x:c>
      <x:c r="H155" s="25" t="str">
        <x:f>IF(D155="","",IFERROR(VLOOKUP(D155,'01 Staff Master'!$A$6:$M$105,6,FALSE),""))</x:f>
      </x:c>
      <x:c r="I155" s="25" t="str">
        <x:f>IF(OR(F155="",G155="",J155=""),"",F155&amp;"|"&amp;G155&amp;"|"&amp;J155)</x:f>
      </x:c>
      <x:c r="J155" s="24"/>
      <x:c r="K155" s="25" t="str">
        <x:f>IF(J155="","",IFERROR(VLOOKUP(J155,'02 Skill Catalogue'!$A$6:$K$95,4,FALSE),"Skill ID not found"))</x:f>
      </x:c>
      <x:c r="L155" s="25" t="str">
        <x:f>IF(I155="","",IFERROR(VLOOKUP(I155,'03 Position Requirements'!$A$6:$R$285,8,FALSE),"No Requirement"))</x:f>
      </x:c>
      <x:c r="M155" s="29" t="str">
        <x:f>IF(I155="","",IFERROR(VLOOKUP(I155,'03 Position Requirements'!$A$6:$R$285,9,FALSE),""))</x:f>
      </x:c>
      <x:c r="N155" s="25" t="str">
        <x:f>IF(I155="","",IFERROR(VLOOKUP(I155,'03 Position Requirements'!$A$6:$R$285,10,FALSE),""))</x:f>
      </x:c>
      <x:c r="O155" s="24"/>
      <x:c r="P155" s="25" t="str">
        <x:f>IF(OR(N155="",O155=""),"",MAX(N155-O155,0))</x:f>
      </x:c>
      <x:c r="Q155" s="30" t="str">
        <x:f>IF(P155="","",P155*M155)</x:f>
      </x:c>
      <x:c r="R155" s="30" t="str">
        <x:f>IF(OR(P155="",L155=""),"",P155*M155*IFERROR(VLOOKUP(L155,'99 Lists'!$A$19:$B$21,2,FALSE),1))</x:f>
      </x:c>
      <x:c r="S155" s="25" t="str">
        <x:f>IF(A155="","",IF(O155="","Not Assessed",IF(P155=0,"Meets / Exceeds",IF(P155=1,"Minor Gap",IF(P155=2,"Major Gap","Critical Gap")))))</x:f>
      </x:c>
      <x:c r="T155" s="24"/>
      <x:c r="U155" s="27"/>
      <x:c r="V155" s="24"/>
      <x:c r="W155" s="24"/>
      <x:c r="X155" s="24"/>
      <x:c r="Y155" s="26"/>
      <x:c r="Z155" s="31" t="str">
        <x:f>IF(B155="","",IF(Y155&lt;&gt;"",Y155,EDATE(B155,IFERROR(VLOOKUP(I155,'03 Position Requirements'!$A$6:$R$285,12,FALSE),12))))</x:f>
      </x:c>
      <x:c r="AA155" s="25" t="str">
        <x:f>IF(OR(B155="",D155="",J155=""),"",IF(COUNTIFS($D$6:$D$155,D155,$J$6:$J$155,J155,$B$6:$B$155,"&gt;"&amp;B155)=0,"Yes","No"))</x:f>
      </x:c>
      <x:c r="AB155" s="25" t="str">
        <x:f>IF(AA155="","",IF(AND(AA155="Yes",OR(P155&gt;0,AD155="Expired")),"Yes","No"))</x:f>
      </x:c>
      <x:c r="AC155" s="25" t="str">
        <x:f>IF(Z155="","",Z155-TODAY())</x:f>
      </x:c>
      <x:c r="AD155" s="25" t="str">
        <x:f>IF(A155="","",IF(O155="","Not Assessed",IF(Z155&lt;TODAY(),"Expired",IF(Z155&lt;=TODAY()+30,"Due Soon","Current"))))</x:f>
      </x:c>
      <x:c r="AE155" s="24"/>
    </x:row>
  </x:sheetData>
  <x:mergeCells>
    <x:mergeCell ref="A1:AD1"/>
    <x:mergeCell ref="A2:AD2"/>
  </x:mergeCells>
  <x:conditionalFormatting sqref="P6:P155">
    <x:cfRule type="cellIs" dxfId="4" priority="1" operator="greaterThan">
      <x:formula>0</x:formula>
    </x:cfRule>
  </x:conditionalFormatting>
  <x:conditionalFormatting sqref="S6:S155">
    <x:cfRule type="containsText" dxfId="5" priority="2" operator="containsText" text="Meets"/>
    <x:cfRule type="containsText" dxfId="6" priority="3" operator="containsText" text="Gap"/>
  </x:conditionalFormatting>
  <x:conditionalFormatting sqref="AD6:AD155">
    <x:cfRule type="containsText" dxfId="7" priority="4" operator="containsText" text="Expired"/>
    <x:cfRule type="containsText" dxfId="8" priority="5" operator="containsText" text="Due Soon"/>
  </x:conditionalFormatting>
  <x:dataValidations count="4">
    <x:dataValidation type="list" sqref="C6:C155">
      <x:formula1>"Baseline,Probation,Quarterly,Annual,Post-Training,Transfer/Promotion,Re-certification"</x:formula1>
    </x:dataValidation>
    <x:dataValidation type="whole" operator="between" sqref="O6:O155">
      <x:formula1>0</x:formula1>
      <x:formula2>5</x:formula2>
    </x:dataValidation>
    <x:dataValidation type="list" sqref="T6:T155">
      <x:formula1>"Direct Observation,Practical Demonstration,Written/Oral Test,Work-Sample Review,System/Data Review,Project Evidence,Certification"</x:formula1>
    </x:dataValidation>
    <x:dataValidation type="list" sqref="W6:W155">
      <x:formula1>"Pending,Verified,Rejected / Rework"</x:formula1>
    </x:dataValidation>
  </x:dataValidations>
  <x:pageMargins left="0.7" right="0.7" top="0.75" bottom="0.75" header="0.3" footer="0.3"/>
  <x:legacyDrawing xmlns:r="http://schemas.openxmlformats.org/officeDocument/2006/relationships" r:id="R20c5f97ea21d45a2"/>
  <x:tableParts count="1">
    <x:tablePart xmlns:r="http://schemas.openxmlformats.org/officeDocument/2006/relationships" r:id="R12b1c79867aa411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14" hidden="0" customWidth="1"/>
    <x:col min="4" max="4" width="24" hidden="0" customWidth="1"/>
    <x:col min="5" max="5" width="17" hidden="0" customWidth="1"/>
    <x:col min="6" max="6" width="34" hidden="0" customWidth="1"/>
    <x:col min="7" max="7" width="18" hidden="0" customWidth="1"/>
    <x:col min="8" max="8" width="36" hidden="0" customWidth="1"/>
    <x:col min="9" max="9" width="13" hidden="0" customWidth="1"/>
    <x:col min="10" max="10" width="13" hidden="0" customWidth="1"/>
    <x:col min="11" max="11" width="12" hidden="0" customWidth="1"/>
    <x:col min="12" max="12" width="13" hidden="0" customWidth="1"/>
    <x:col min="13" max="13" width="23" hidden="0" customWidth="1"/>
    <x:col min="14" max="14" width="50" hidden="0" customWidth="1"/>
    <x:col min="15" max="15" width="50" hidden="0" customWidth="1"/>
    <x:col min="16" max="16" width="25" hidden="0" customWidth="1"/>
    <x:col min="17" max="17" width="24" hidden="0" customWidth="1"/>
    <x:col min="18" max="18" width="22" hidden="0" customWidth="1"/>
    <x:col min="19" max="19" width="14" hidden="0" customWidth="1"/>
    <x:col min="20" max="20" width="14" hidden="0" customWidth="1"/>
    <x:col min="21" max="21" width="22" hidden="0" customWidth="1"/>
    <x:col min="22" max="22" width="14" hidden="0" customWidth="1"/>
    <x:col min="23" max="23" width="46" hidden="0" customWidth="1"/>
    <x:col min="24" max="24" width="16" hidden="0" customWidth="1"/>
    <x:col min="25" max="25" width="22" hidden="0" customWidth="1"/>
    <x:col min="26" max="26" width="12" hidden="0" customWidth="1"/>
    <x:col min="27" max="27" width="12" hidden="0" customWidth="1"/>
    <x:col min="28" max="28" width="26" hidden="0" customWidth="1"/>
    <x:col min="29" max="29" width="14" hidden="0" customWidth="1"/>
    <x:col min="30" max="30" width="45" hidden="0" customWidth="1"/>
  </x:cols>
  <x:sheetData>
    <x:row r="1" ht="30" customHeight="1">
      <x:c r="A1" s="3" t="str">
        <x:v>05 — Individual Development &amp; Gap-Closure Actions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</x:row>
    <x:row r="2" ht="36" customHeight="1">
      <x:c r="A2" s="7" t="str">
        <x:v>Every major/critical gap and every expired critical skill requires one named HOD owner, trainer/coach, HR coordinator, due date and independent reassessment.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  <x:c r="AB2" s="7"/>
      <x:c r="AC2" s="7"/>
      <x:c r="AD2" s="7"/>
    </x:row>
    <x:row r="5" ht="34" customHeight="1">
      <x:c r="A5" s="13" t="str">
        <x:v>Action ID</x:v>
      </x:c>
      <x:c r="B5" s="13" t="str">
        <x:v>Linked Assessment ID</x:v>
      </x:c>
      <x:c r="C5" s="13" t="str">
        <x:v>Staff ID</x:v>
      </x:c>
      <x:c r="D5" s="13" t="str">
        <x:v>Staff Name</x:v>
      </x:c>
      <x:c r="E5" s="13" t="str">
        <x:v>Department</x:v>
      </x:c>
      <x:c r="F5" s="13" t="str">
        <x:v>Position</x:v>
      </x:c>
      <x:c r="G5" s="13" t="str">
        <x:v>Skill ID</x:v>
      </x:c>
      <x:c r="H5" s="13" t="str">
        <x:v>Skill Name</x:v>
      </x:c>
      <x:c r="I5" s="13" t="str">
        <x:v>Required Level</x:v>
      </x:c>
      <x:c r="J5" s="13" t="str">
        <x:v>Starting Level</x:v>
      </x:c>
      <x:c r="K5" s="13" t="str">
        <x:v>Gap at Start</x:v>
      </x:c>
      <x:c r="L5" s="13" t="str">
        <x:v>Priority Score</x:v>
      </x:c>
      <x:c r="M5" s="13" t="str">
        <x:v>Action Type</x:v>
      </x:c>
      <x:c r="N5" s="13" t="str">
        <x:v>Learning / Improvement Objective</x:v>
      </x:c>
      <x:c r="O5" s="13" t="str">
        <x:v>Training / Intervention</x:v>
      </x:c>
      <x:c r="P5" s="13" t="str">
        <x:v>Trainer / Coach</x:v>
      </x:c>
      <x:c r="Q5" s="13" t="str">
        <x:v>HOD Action Owner</x:v>
      </x:c>
      <x:c r="R5" s="13" t="str">
        <x:v>HR Coordinator</x:v>
      </x:c>
      <x:c r="S5" s="13" t="str">
        <x:v>Start Date</x:v>
      </x:c>
      <x:c r="T5" s="13" t="str">
        <x:v>Due Date</x:v>
      </x:c>
      <x:c r="U5" s="13" t="str">
        <x:v>Status</x:v>
      </x:c>
      <x:c r="V5" s="13" t="str">
        <x:v>Completion Date</x:v>
      </x:c>
      <x:c r="W5" s="13" t="str">
        <x:v>Completion Evidence</x:v>
      </x:c>
      <x:c r="X5" s="13" t="str">
        <x:v>Reassessment Due</x:v>
      </x:c>
      <x:c r="Y5" s="13" t="str">
        <x:v>Post-Training Assessment ID</x:v>
      </x:c>
      <x:c r="Z5" s="13" t="str">
        <x:v>Post Level</x:v>
      </x:c>
      <x:c r="AA5" s="13" t="str">
        <x:v>Improvement</x:v>
      </x:c>
      <x:c r="AB5" s="13" t="str">
        <x:v>Closure Status</x:v>
      </x:c>
      <x:c r="AC5" s="13" t="str">
        <x:v>Days Overdue</x:v>
      </x:c>
      <x:c r="AD5" s="13" t="str">
        <x:v>Next Step / Notes</x:v>
      </x:c>
    </x:row>
    <x:row r="6">
      <x:c r="A6" s="24"/>
      <x:c r="B6" s="24"/>
      <x:c r="C6" s="25" t="str">
        <x:f>IF(B6="","",IFERROR(VLOOKUP(B6,'04 Assessment Log'!$A$6:$AE$155,4,FALSE),"Assessment not found"))</x:f>
      </x:c>
      <x:c r="D6" s="25" t="str">
        <x:f>IF(C6="","",IFERROR(VLOOKUP(C6,'01 Staff Master'!$A$6:$M$105,2,FALSE),""))</x:f>
      </x:c>
      <x:c r="E6" s="25" t="str">
        <x:f>IF(B6="","",IFERROR(VLOOKUP(B6,'04 Assessment Log'!$A$6:$AE$155,6,FALSE),""))</x:f>
      </x:c>
      <x:c r="F6" s="25" t="str">
        <x:f>IF(B6="","",IFERROR(VLOOKUP(B6,'04 Assessment Log'!$A$6:$AE$155,7,FALSE),""))</x:f>
      </x:c>
      <x:c r="G6" s="25" t="str">
        <x:f>IF(B6="","",IFERROR(VLOOKUP(B6,'04 Assessment Log'!$A$6:$AE$155,10,FALSE),""))</x:f>
      </x:c>
      <x:c r="H6" s="25" t="str">
        <x:f>IF(G6="","",IFERROR(VLOOKUP(G6,'02 Skill Catalogue'!$A$6:$K$95,4,FALSE),""))</x:f>
      </x:c>
      <x:c r="I6" s="25" t="str">
        <x:f>IF(B6="","",IFERROR(VLOOKUP(B6,'04 Assessment Log'!$A$6:$AE$155,14,FALSE),""))</x:f>
      </x:c>
      <x:c r="J6" s="25" t="str">
        <x:f>IF(B6="","",IFERROR(VLOOKUP(B6,'04 Assessment Log'!$A$6:$AE$155,15,FALSE),""))</x:f>
      </x:c>
      <x:c r="K6" s="25" t="str">
        <x:f>IF(B6="","",IFERROR(VLOOKUP(B6,'04 Assessment Log'!$A$6:$AE$155,16,FALSE),""))</x:f>
      </x:c>
      <x:c r="L6" s="25" t="str">
        <x:f>IF(B6="","",IFERROR(VLOOKUP(B6,'04 Assessment Log'!$A$6:$AE$155,18,FALSE),""))</x:f>
      </x:c>
      <x:c r="M6" s="24"/>
      <x:c r="N6" s="27"/>
      <x:c r="O6" s="27"/>
      <x:c r="P6" s="24"/>
      <x:c r="Q6" s="24"/>
      <x:c r="R6" s="24"/>
      <x:c r="S6" s="26"/>
      <x:c r="T6" s="26"/>
      <x:c r="U6" s="24"/>
      <x:c r="V6" s="26"/>
      <x:c r="W6" s="27"/>
      <x:c r="X6" s="26"/>
      <x:c r="Y6" s="24"/>
      <x:c r="Z6" s="25" t="str">
        <x:f>IF(Y6="","",IFERROR(VLOOKUP(Y6,'04 Assessment Log'!$A$6:$AE$155,15,FALSE),"Assessment not found"))</x:f>
      </x:c>
      <x:c r="AA6" s="25" t="str">
        <x:f>IF(OR(J6="",Z6=""),"",Z6-J6)</x:f>
      </x:c>
      <x:c r="AB6" s="25" t="str">
        <x:f>IF(A6="","",IF(U6="Cancelled","Cancelled",IF(U6&lt;&gt;"Completed","Open",IF(Y6="","Pending Reassessment",IF(Z6&gt;=I6,"Closed — Competent","Further Action Required")))))</x:f>
      </x:c>
      <x:c r="AC6" s="25" t="str">
        <x:f>IF(OR(A6="",T6=""),"",IF(OR(U6="Completed",U6="Cancelled"),0,MAX(TODAY()-T6,0)))</x:f>
      </x:c>
      <x:c r="AD6" s="24"/>
    </x:row>
    <x:row r="7">
      <x:c r="A7" s="24"/>
      <x:c r="B7" s="24"/>
      <x:c r="C7" s="25" t="str">
        <x:f>IF(B7="","",IFERROR(VLOOKUP(B7,'04 Assessment Log'!$A$6:$AE$155,4,FALSE),"Assessment not found"))</x:f>
      </x:c>
      <x:c r="D7" s="25" t="str">
        <x:f>IF(C7="","",IFERROR(VLOOKUP(C7,'01 Staff Master'!$A$6:$M$105,2,FALSE),""))</x:f>
      </x:c>
      <x:c r="E7" s="25" t="str">
        <x:f>IF(B7="","",IFERROR(VLOOKUP(B7,'04 Assessment Log'!$A$6:$AE$155,6,FALSE),""))</x:f>
      </x:c>
      <x:c r="F7" s="25" t="str">
        <x:f>IF(B7="","",IFERROR(VLOOKUP(B7,'04 Assessment Log'!$A$6:$AE$155,7,FALSE),""))</x:f>
      </x:c>
      <x:c r="G7" s="25" t="str">
        <x:f>IF(B7="","",IFERROR(VLOOKUP(B7,'04 Assessment Log'!$A$6:$AE$155,10,FALSE),""))</x:f>
      </x:c>
      <x:c r="H7" s="25" t="str">
        <x:f>IF(G7="","",IFERROR(VLOOKUP(G7,'02 Skill Catalogue'!$A$6:$K$95,4,FALSE),""))</x:f>
      </x:c>
      <x:c r="I7" s="25" t="str">
        <x:f>IF(B7="","",IFERROR(VLOOKUP(B7,'04 Assessment Log'!$A$6:$AE$155,14,FALSE),""))</x:f>
      </x:c>
      <x:c r="J7" s="25" t="str">
        <x:f>IF(B7="","",IFERROR(VLOOKUP(B7,'04 Assessment Log'!$A$6:$AE$155,15,FALSE),""))</x:f>
      </x:c>
      <x:c r="K7" s="25" t="str">
        <x:f>IF(B7="","",IFERROR(VLOOKUP(B7,'04 Assessment Log'!$A$6:$AE$155,16,FALSE),""))</x:f>
      </x:c>
      <x:c r="L7" s="25" t="str">
        <x:f>IF(B7="","",IFERROR(VLOOKUP(B7,'04 Assessment Log'!$A$6:$AE$155,18,FALSE),""))</x:f>
      </x:c>
      <x:c r="M7" s="24"/>
      <x:c r="N7" s="27"/>
      <x:c r="O7" s="27"/>
      <x:c r="P7" s="24"/>
      <x:c r="Q7" s="24"/>
      <x:c r="R7" s="24"/>
      <x:c r="S7" s="26"/>
      <x:c r="T7" s="26"/>
      <x:c r="U7" s="24"/>
      <x:c r="V7" s="26"/>
      <x:c r="W7" s="27"/>
      <x:c r="X7" s="26"/>
      <x:c r="Y7" s="24"/>
      <x:c r="Z7" s="25" t="str">
        <x:f>IF(Y7="","",IFERROR(VLOOKUP(Y7,'04 Assessment Log'!$A$6:$AE$155,15,FALSE),"Assessment not found"))</x:f>
      </x:c>
      <x:c r="AA7" s="25" t="str">
        <x:f>IF(OR(J7="",Z7=""),"",Z7-J7)</x:f>
      </x:c>
      <x:c r="AB7" s="25" t="str">
        <x:f>IF(A7="","",IF(U7="Cancelled","Cancelled",IF(U7&lt;&gt;"Completed","Open",IF(Y7="","Pending Reassessment",IF(Z7&gt;=I7,"Closed — Competent","Further Action Required")))))</x:f>
      </x:c>
      <x:c r="AC7" s="25" t="str">
        <x:f>IF(OR(A7="",T7=""),"",IF(OR(U7="Completed",U7="Cancelled"),0,MAX(TODAY()-T7,0)))</x:f>
      </x:c>
      <x:c r="AD7" s="24"/>
    </x:row>
    <x:row r="8">
      <x:c r="A8" s="24"/>
      <x:c r="B8" s="24"/>
      <x:c r="C8" s="25" t="str">
        <x:f>IF(B8="","",IFERROR(VLOOKUP(B8,'04 Assessment Log'!$A$6:$AE$155,4,FALSE),"Assessment not found"))</x:f>
      </x:c>
      <x:c r="D8" s="25" t="str">
        <x:f>IF(C8="","",IFERROR(VLOOKUP(C8,'01 Staff Master'!$A$6:$M$105,2,FALSE),""))</x:f>
      </x:c>
      <x:c r="E8" s="25" t="str">
        <x:f>IF(B8="","",IFERROR(VLOOKUP(B8,'04 Assessment Log'!$A$6:$AE$155,6,FALSE),""))</x:f>
      </x:c>
      <x:c r="F8" s="25" t="str">
        <x:f>IF(B8="","",IFERROR(VLOOKUP(B8,'04 Assessment Log'!$A$6:$AE$155,7,FALSE),""))</x:f>
      </x:c>
      <x:c r="G8" s="25" t="str">
        <x:f>IF(B8="","",IFERROR(VLOOKUP(B8,'04 Assessment Log'!$A$6:$AE$155,10,FALSE),""))</x:f>
      </x:c>
      <x:c r="H8" s="25" t="str">
        <x:f>IF(G8="","",IFERROR(VLOOKUP(G8,'02 Skill Catalogue'!$A$6:$K$95,4,FALSE),""))</x:f>
      </x:c>
      <x:c r="I8" s="25" t="str">
        <x:f>IF(B8="","",IFERROR(VLOOKUP(B8,'04 Assessment Log'!$A$6:$AE$155,14,FALSE),""))</x:f>
      </x:c>
      <x:c r="J8" s="25" t="str">
        <x:f>IF(B8="","",IFERROR(VLOOKUP(B8,'04 Assessment Log'!$A$6:$AE$155,15,FALSE),""))</x:f>
      </x:c>
      <x:c r="K8" s="25" t="str">
        <x:f>IF(B8="","",IFERROR(VLOOKUP(B8,'04 Assessment Log'!$A$6:$AE$155,16,FALSE),""))</x:f>
      </x:c>
      <x:c r="L8" s="25" t="str">
        <x:f>IF(B8="","",IFERROR(VLOOKUP(B8,'04 Assessment Log'!$A$6:$AE$155,18,FALSE),""))</x:f>
      </x:c>
      <x:c r="M8" s="24"/>
      <x:c r="N8" s="27"/>
      <x:c r="O8" s="27"/>
      <x:c r="P8" s="24"/>
      <x:c r="Q8" s="24"/>
      <x:c r="R8" s="24"/>
      <x:c r="S8" s="26"/>
      <x:c r="T8" s="26"/>
      <x:c r="U8" s="24"/>
      <x:c r="V8" s="26"/>
      <x:c r="W8" s="27"/>
      <x:c r="X8" s="26"/>
      <x:c r="Y8" s="24"/>
      <x:c r="Z8" s="25" t="str">
        <x:f>IF(Y8="","",IFERROR(VLOOKUP(Y8,'04 Assessment Log'!$A$6:$AE$155,15,FALSE),"Assessment not found"))</x:f>
      </x:c>
      <x:c r="AA8" s="25" t="str">
        <x:f>IF(OR(J8="",Z8=""),"",Z8-J8)</x:f>
      </x:c>
      <x:c r="AB8" s="25" t="str">
        <x:f>IF(A8="","",IF(U8="Cancelled","Cancelled",IF(U8&lt;&gt;"Completed","Open",IF(Y8="","Pending Reassessment",IF(Z8&gt;=I8,"Closed — Competent","Further Action Required")))))</x:f>
      </x:c>
      <x:c r="AC8" s="25" t="str">
        <x:f>IF(OR(A8="",T8=""),"",IF(OR(U8="Completed",U8="Cancelled"),0,MAX(TODAY()-T8,0)))</x:f>
      </x:c>
      <x:c r="AD8" s="24"/>
    </x:row>
    <x:row r="9">
      <x:c r="A9" s="24"/>
      <x:c r="B9" s="24"/>
      <x:c r="C9" s="25" t="str">
        <x:f>IF(B9="","",IFERROR(VLOOKUP(B9,'04 Assessment Log'!$A$6:$AE$155,4,FALSE),"Assessment not found"))</x:f>
      </x:c>
      <x:c r="D9" s="25" t="str">
        <x:f>IF(C9="","",IFERROR(VLOOKUP(C9,'01 Staff Master'!$A$6:$M$105,2,FALSE),""))</x:f>
      </x:c>
      <x:c r="E9" s="25" t="str">
        <x:f>IF(B9="","",IFERROR(VLOOKUP(B9,'04 Assessment Log'!$A$6:$AE$155,6,FALSE),""))</x:f>
      </x:c>
      <x:c r="F9" s="25" t="str">
        <x:f>IF(B9="","",IFERROR(VLOOKUP(B9,'04 Assessment Log'!$A$6:$AE$155,7,FALSE),""))</x:f>
      </x:c>
      <x:c r="G9" s="25" t="str">
        <x:f>IF(B9="","",IFERROR(VLOOKUP(B9,'04 Assessment Log'!$A$6:$AE$155,10,FALSE),""))</x:f>
      </x:c>
      <x:c r="H9" s="25" t="str">
        <x:f>IF(G9="","",IFERROR(VLOOKUP(G9,'02 Skill Catalogue'!$A$6:$K$95,4,FALSE),""))</x:f>
      </x:c>
      <x:c r="I9" s="25" t="str">
        <x:f>IF(B9="","",IFERROR(VLOOKUP(B9,'04 Assessment Log'!$A$6:$AE$155,14,FALSE),""))</x:f>
      </x:c>
      <x:c r="J9" s="25" t="str">
        <x:f>IF(B9="","",IFERROR(VLOOKUP(B9,'04 Assessment Log'!$A$6:$AE$155,15,FALSE),""))</x:f>
      </x:c>
      <x:c r="K9" s="25" t="str">
        <x:f>IF(B9="","",IFERROR(VLOOKUP(B9,'04 Assessment Log'!$A$6:$AE$155,16,FALSE),""))</x:f>
      </x:c>
      <x:c r="L9" s="25" t="str">
        <x:f>IF(B9="","",IFERROR(VLOOKUP(B9,'04 Assessment Log'!$A$6:$AE$155,18,FALSE),""))</x:f>
      </x:c>
      <x:c r="M9" s="24"/>
      <x:c r="N9" s="27"/>
      <x:c r="O9" s="27"/>
      <x:c r="P9" s="24"/>
      <x:c r="Q9" s="24"/>
      <x:c r="R9" s="24"/>
      <x:c r="S9" s="26"/>
      <x:c r="T9" s="26"/>
      <x:c r="U9" s="24"/>
      <x:c r="V9" s="26"/>
      <x:c r="W9" s="27"/>
      <x:c r="X9" s="26"/>
      <x:c r="Y9" s="24"/>
      <x:c r="Z9" s="25" t="str">
        <x:f>IF(Y9="","",IFERROR(VLOOKUP(Y9,'04 Assessment Log'!$A$6:$AE$155,15,FALSE),"Assessment not found"))</x:f>
      </x:c>
      <x:c r="AA9" s="25" t="str">
        <x:f>IF(OR(J9="",Z9=""),"",Z9-J9)</x:f>
      </x:c>
      <x:c r="AB9" s="25" t="str">
        <x:f>IF(A9="","",IF(U9="Cancelled","Cancelled",IF(U9&lt;&gt;"Completed","Open",IF(Y9="","Pending Reassessment",IF(Z9&gt;=I9,"Closed — Competent","Further Action Required")))))</x:f>
      </x:c>
      <x:c r="AC9" s="25" t="str">
        <x:f>IF(OR(A9="",T9=""),"",IF(OR(U9="Completed",U9="Cancelled"),0,MAX(TODAY()-T9,0)))</x:f>
      </x:c>
      <x:c r="AD9" s="24"/>
    </x:row>
    <x:row r="10">
      <x:c r="A10" s="24"/>
      <x:c r="B10" s="24"/>
      <x:c r="C10" s="25" t="str">
        <x:f>IF(B10="","",IFERROR(VLOOKUP(B10,'04 Assessment Log'!$A$6:$AE$155,4,FALSE),"Assessment not found"))</x:f>
      </x:c>
      <x:c r="D10" s="25" t="str">
        <x:f>IF(C10="","",IFERROR(VLOOKUP(C10,'01 Staff Master'!$A$6:$M$105,2,FALSE),""))</x:f>
      </x:c>
      <x:c r="E10" s="25" t="str">
        <x:f>IF(B10="","",IFERROR(VLOOKUP(B10,'04 Assessment Log'!$A$6:$AE$155,6,FALSE),""))</x:f>
      </x:c>
      <x:c r="F10" s="25" t="str">
        <x:f>IF(B10="","",IFERROR(VLOOKUP(B10,'04 Assessment Log'!$A$6:$AE$155,7,FALSE),""))</x:f>
      </x:c>
      <x:c r="G10" s="25" t="str">
        <x:f>IF(B10="","",IFERROR(VLOOKUP(B10,'04 Assessment Log'!$A$6:$AE$155,10,FALSE),""))</x:f>
      </x:c>
      <x:c r="H10" s="25" t="str">
        <x:f>IF(G10="","",IFERROR(VLOOKUP(G10,'02 Skill Catalogue'!$A$6:$K$95,4,FALSE),""))</x:f>
      </x:c>
      <x:c r="I10" s="25" t="str">
        <x:f>IF(B10="","",IFERROR(VLOOKUP(B10,'04 Assessment Log'!$A$6:$AE$155,14,FALSE),""))</x:f>
      </x:c>
      <x:c r="J10" s="25" t="str">
        <x:f>IF(B10="","",IFERROR(VLOOKUP(B10,'04 Assessment Log'!$A$6:$AE$155,15,FALSE),""))</x:f>
      </x:c>
      <x:c r="K10" s="25" t="str">
        <x:f>IF(B10="","",IFERROR(VLOOKUP(B10,'04 Assessment Log'!$A$6:$AE$155,16,FALSE),""))</x:f>
      </x:c>
      <x:c r="L10" s="25" t="str">
        <x:f>IF(B10="","",IFERROR(VLOOKUP(B10,'04 Assessment Log'!$A$6:$AE$155,18,FALSE),""))</x:f>
      </x:c>
      <x:c r="M10" s="24"/>
      <x:c r="N10" s="27"/>
      <x:c r="O10" s="27"/>
      <x:c r="P10" s="24"/>
      <x:c r="Q10" s="24"/>
      <x:c r="R10" s="24"/>
      <x:c r="S10" s="26"/>
      <x:c r="T10" s="26"/>
      <x:c r="U10" s="24"/>
      <x:c r="V10" s="26"/>
      <x:c r="W10" s="27"/>
      <x:c r="X10" s="26"/>
      <x:c r="Y10" s="24"/>
      <x:c r="Z10" s="25" t="str">
        <x:f>IF(Y10="","",IFERROR(VLOOKUP(Y10,'04 Assessment Log'!$A$6:$AE$155,15,FALSE),"Assessment not found"))</x:f>
      </x:c>
      <x:c r="AA10" s="25" t="str">
        <x:f>IF(OR(J10="",Z10=""),"",Z10-J10)</x:f>
      </x:c>
      <x:c r="AB10" s="25" t="str">
        <x:f>IF(A10="","",IF(U10="Cancelled","Cancelled",IF(U10&lt;&gt;"Completed","Open",IF(Y10="","Pending Reassessment",IF(Z10&gt;=I10,"Closed — Competent","Further Action Required")))))</x:f>
      </x:c>
      <x:c r="AC10" s="25" t="str">
        <x:f>IF(OR(A10="",T10=""),"",IF(OR(U10="Completed",U10="Cancelled"),0,MAX(TODAY()-T10,0)))</x:f>
      </x:c>
      <x:c r="AD10" s="24"/>
    </x:row>
    <x:row r="11">
      <x:c r="A11" s="24"/>
      <x:c r="B11" s="24"/>
      <x:c r="C11" s="25" t="str">
        <x:f>IF(B11="","",IFERROR(VLOOKUP(B11,'04 Assessment Log'!$A$6:$AE$155,4,FALSE),"Assessment not found"))</x:f>
      </x:c>
      <x:c r="D11" s="25" t="str">
        <x:f>IF(C11="","",IFERROR(VLOOKUP(C11,'01 Staff Master'!$A$6:$M$105,2,FALSE),""))</x:f>
      </x:c>
      <x:c r="E11" s="25" t="str">
        <x:f>IF(B11="","",IFERROR(VLOOKUP(B11,'04 Assessment Log'!$A$6:$AE$155,6,FALSE),""))</x:f>
      </x:c>
      <x:c r="F11" s="25" t="str">
        <x:f>IF(B11="","",IFERROR(VLOOKUP(B11,'04 Assessment Log'!$A$6:$AE$155,7,FALSE),""))</x:f>
      </x:c>
      <x:c r="G11" s="25" t="str">
        <x:f>IF(B11="","",IFERROR(VLOOKUP(B11,'04 Assessment Log'!$A$6:$AE$155,10,FALSE),""))</x:f>
      </x:c>
      <x:c r="H11" s="25" t="str">
        <x:f>IF(G11="","",IFERROR(VLOOKUP(G11,'02 Skill Catalogue'!$A$6:$K$95,4,FALSE),""))</x:f>
      </x:c>
      <x:c r="I11" s="25" t="str">
        <x:f>IF(B11="","",IFERROR(VLOOKUP(B11,'04 Assessment Log'!$A$6:$AE$155,14,FALSE),""))</x:f>
      </x:c>
      <x:c r="J11" s="25" t="str">
        <x:f>IF(B11="","",IFERROR(VLOOKUP(B11,'04 Assessment Log'!$A$6:$AE$155,15,FALSE),""))</x:f>
      </x:c>
      <x:c r="K11" s="25" t="str">
        <x:f>IF(B11="","",IFERROR(VLOOKUP(B11,'04 Assessment Log'!$A$6:$AE$155,16,FALSE),""))</x:f>
      </x:c>
      <x:c r="L11" s="25" t="str">
        <x:f>IF(B11="","",IFERROR(VLOOKUP(B11,'04 Assessment Log'!$A$6:$AE$155,18,FALSE),""))</x:f>
      </x:c>
      <x:c r="M11" s="24"/>
      <x:c r="N11" s="27"/>
      <x:c r="O11" s="27"/>
      <x:c r="P11" s="24"/>
      <x:c r="Q11" s="24"/>
      <x:c r="R11" s="24"/>
      <x:c r="S11" s="26"/>
      <x:c r="T11" s="26"/>
      <x:c r="U11" s="24"/>
      <x:c r="V11" s="26"/>
      <x:c r="W11" s="27"/>
      <x:c r="X11" s="26"/>
      <x:c r="Y11" s="24"/>
      <x:c r="Z11" s="25" t="str">
        <x:f>IF(Y11="","",IFERROR(VLOOKUP(Y11,'04 Assessment Log'!$A$6:$AE$155,15,FALSE),"Assessment not found"))</x:f>
      </x:c>
      <x:c r="AA11" s="25" t="str">
        <x:f>IF(OR(J11="",Z11=""),"",Z11-J11)</x:f>
      </x:c>
      <x:c r="AB11" s="25" t="str">
        <x:f>IF(A11="","",IF(U11="Cancelled","Cancelled",IF(U11&lt;&gt;"Completed","Open",IF(Y11="","Pending Reassessment",IF(Z11&gt;=I11,"Closed — Competent","Further Action Required")))))</x:f>
      </x:c>
      <x:c r="AC11" s="25" t="str">
        <x:f>IF(OR(A11="",T11=""),"",IF(OR(U11="Completed",U11="Cancelled"),0,MAX(TODAY()-T11,0)))</x:f>
      </x:c>
      <x:c r="AD11" s="24"/>
    </x:row>
    <x:row r="12">
      <x:c r="A12" s="24"/>
      <x:c r="B12" s="24"/>
      <x:c r="C12" s="25" t="str">
        <x:f>IF(B12="","",IFERROR(VLOOKUP(B12,'04 Assessment Log'!$A$6:$AE$155,4,FALSE),"Assessment not found"))</x:f>
      </x:c>
      <x:c r="D12" s="25" t="str">
        <x:f>IF(C12="","",IFERROR(VLOOKUP(C12,'01 Staff Master'!$A$6:$M$105,2,FALSE),""))</x:f>
      </x:c>
      <x:c r="E12" s="25" t="str">
        <x:f>IF(B12="","",IFERROR(VLOOKUP(B12,'04 Assessment Log'!$A$6:$AE$155,6,FALSE),""))</x:f>
      </x:c>
      <x:c r="F12" s="25" t="str">
        <x:f>IF(B12="","",IFERROR(VLOOKUP(B12,'04 Assessment Log'!$A$6:$AE$155,7,FALSE),""))</x:f>
      </x:c>
      <x:c r="G12" s="25" t="str">
        <x:f>IF(B12="","",IFERROR(VLOOKUP(B12,'04 Assessment Log'!$A$6:$AE$155,10,FALSE),""))</x:f>
      </x:c>
      <x:c r="H12" s="25" t="str">
        <x:f>IF(G12="","",IFERROR(VLOOKUP(G12,'02 Skill Catalogue'!$A$6:$K$95,4,FALSE),""))</x:f>
      </x:c>
      <x:c r="I12" s="25" t="str">
        <x:f>IF(B12="","",IFERROR(VLOOKUP(B12,'04 Assessment Log'!$A$6:$AE$155,14,FALSE),""))</x:f>
      </x:c>
      <x:c r="J12" s="25" t="str">
        <x:f>IF(B12="","",IFERROR(VLOOKUP(B12,'04 Assessment Log'!$A$6:$AE$155,15,FALSE),""))</x:f>
      </x:c>
      <x:c r="K12" s="25" t="str">
        <x:f>IF(B12="","",IFERROR(VLOOKUP(B12,'04 Assessment Log'!$A$6:$AE$155,16,FALSE),""))</x:f>
      </x:c>
      <x:c r="L12" s="25" t="str">
        <x:f>IF(B12="","",IFERROR(VLOOKUP(B12,'04 Assessment Log'!$A$6:$AE$155,18,FALSE),""))</x:f>
      </x:c>
      <x:c r="M12" s="24"/>
      <x:c r="N12" s="27"/>
      <x:c r="O12" s="27"/>
      <x:c r="P12" s="24"/>
      <x:c r="Q12" s="24"/>
      <x:c r="R12" s="24"/>
      <x:c r="S12" s="26"/>
      <x:c r="T12" s="26"/>
      <x:c r="U12" s="24"/>
      <x:c r="V12" s="26"/>
      <x:c r="W12" s="27"/>
      <x:c r="X12" s="26"/>
      <x:c r="Y12" s="24"/>
      <x:c r="Z12" s="25" t="str">
        <x:f>IF(Y12="","",IFERROR(VLOOKUP(Y12,'04 Assessment Log'!$A$6:$AE$155,15,FALSE),"Assessment not found"))</x:f>
      </x:c>
      <x:c r="AA12" s="25" t="str">
        <x:f>IF(OR(J12="",Z12=""),"",Z12-J12)</x:f>
      </x:c>
      <x:c r="AB12" s="25" t="str">
        <x:f>IF(A12="","",IF(U12="Cancelled","Cancelled",IF(U12&lt;&gt;"Completed","Open",IF(Y12="","Pending Reassessment",IF(Z12&gt;=I12,"Closed — Competent","Further Action Required")))))</x:f>
      </x:c>
      <x:c r="AC12" s="25" t="str">
        <x:f>IF(OR(A12="",T12=""),"",IF(OR(U12="Completed",U12="Cancelled"),0,MAX(TODAY()-T12,0)))</x:f>
      </x:c>
      <x:c r="AD12" s="24"/>
    </x:row>
    <x:row r="13">
      <x:c r="A13" s="24"/>
      <x:c r="B13" s="24"/>
      <x:c r="C13" s="25" t="str">
        <x:f>IF(B13="","",IFERROR(VLOOKUP(B13,'04 Assessment Log'!$A$6:$AE$155,4,FALSE),"Assessment not found"))</x:f>
      </x:c>
      <x:c r="D13" s="25" t="str">
        <x:f>IF(C13="","",IFERROR(VLOOKUP(C13,'01 Staff Master'!$A$6:$M$105,2,FALSE),""))</x:f>
      </x:c>
      <x:c r="E13" s="25" t="str">
        <x:f>IF(B13="","",IFERROR(VLOOKUP(B13,'04 Assessment Log'!$A$6:$AE$155,6,FALSE),""))</x:f>
      </x:c>
      <x:c r="F13" s="25" t="str">
        <x:f>IF(B13="","",IFERROR(VLOOKUP(B13,'04 Assessment Log'!$A$6:$AE$155,7,FALSE),""))</x:f>
      </x:c>
      <x:c r="G13" s="25" t="str">
        <x:f>IF(B13="","",IFERROR(VLOOKUP(B13,'04 Assessment Log'!$A$6:$AE$155,10,FALSE),""))</x:f>
      </x:c>
      <x:c r="H13" s="25" t="str">
        <x:f>IF(G13="","",IFERROR(VLOOKUP(G13,'02 Skill Catalogue'!$A$6:$K$95,4,FALSE),""))</x:f>
      </x:c>
      <x:c r="I13" s="25" t="str">
        <x:f>IF(B13="","",IFERROR(VLOOKUP(B13,'04 Assessment Log'!$A$6:$AE$155,14,FALSE),""))</x:f>
      </x:c>
      <x:c r="J13" s="25" t="str">
        <x:f>IF(B13="","",IFERROR(VLOOKUP(B13,'04 Assessment Log'!$A$6:$AE$155,15,FALSE),""))</x:f>
      </x:c>
      <x:c r="K13" s="25" t="str">
        <x:f>IF(B13="","",IFERROR(VLOOKUP(B13,'04 Assessment Log'!$A$6:$AE$155,16,FALSE),""))</x:f>
      </x:c>
      <x:c r="L13" s="25" t="str">
        <x:f>IF(B13="","",IFERROR(VLOOKUP(B13,'04 Assessment Log'!$A$6:$AE$155,18,FALSE),""))</x:f>
      </x:c>
      <x:c r="M13" s="24"/>
      <x:c r="N13" s="27"/>
      <x:c r="O13" s="27"/>
      <x:c r="P13" s="24"/>
      <x:c r="Q13" s="24"/>
      <x:c r="R13" s="24"/>
      <x:c r="S13" s="26"/>
      <x:c r="T13" s="26"/>
      <x:c r="U13" s="24"/>
      <x:c r="V13" s="26"/>
      <x:c r="W13" s="27"/>
      <x:c r="X13" s="26"/>
      <x:c r="Y13" s="24"/>
      <x:c r="Z13" s="25" t="str">
        <x:f>IF(Y13="","",IFERROR(VLOOKUP(Y13,'04 Assessment Log'!$A$6:$AE$155,15,FALSE),"Assessment not found"))</x:f>
      </x:c>
      <x:c r="AA13" s="25" t="str">
        <x:f>IF(OR(J13="",Z13=""),"",Z13-J13)</x:f>
      </x:c>
      <x:c r="AB13" s="25" t="str">
        <x:f>IF(A13="","",IF(U13="Cancelled","Cancelled",IF(U13&lt;&gt;"Completed","Open",IF(Y13="","Pending Reassessment",IF(Z13&gt;=I13,"Closed — Competent","Further Action Required")))))</x:f>
      </x:c>
      <x:c r="AC13" s="25" t="str">
        <x:f>IF(OR(A13="",T13=""),"",IF(OR(U13="Completed",U13="Cancelled"),0,MAX(TODAY()-T13,0)))</x:f>
      </x:c>
      <x:c r="AD13" s="24"/>
    </x:row>
    <x:row r="14">
      <x:c r="A14" s="24"/>
      <x:c r="B14" s="24"/>
      <x:c r="C14" s="25" t="str">
        <x:f>IF(B14="","",IFERROR(VLOOKUP(B14,'04 Assessment Log'!$A$6:$AE$155,4,FALSE),"Assessment not found"))</x:f>
      </x:c>
      <x:c r="D14" s="25" t="str">
        <x:f>IF(C14="","",IFERROR(VLOOKUP(C14,'01 Staff Master'!$A$6:$M$105,2,FALSE),""))</x:f>
      </x:c>
      <x:c r="E14" s="25" t="str">
        <x:f>IF(B14="","",IFERROR(VLOOKUP(B14,'04 Assessment Log'!$A$6:$AE$155,6,FALSE),""))</x:f>
      </x:c>
      <x:c r="F14" s="25" t="str">
        <x:f>IF(B14="","",IFERROR(VLOOKUP(B14,'04 Assessment Log'!$A$6:$AE$155,7,FALSE),""))</x:f>
      </x:c>
      <x:c r="G14" s="25" t="str">
        <x:f>IF(B14="","",IFERROR(VLOOKUP(B14,'04 Assessment Log'!$A$6:$AE$155,10,FALSE),""))</x:f>
      </x:c>
      <x:c r="H14" s="25" t="str">
        <x:f>IF(G14="","",IFERROR(VLOOKUP(G14,'02 Skill Catalogue'!$A$6:$K$95,4,FALSE),""))</x:f>
      </x:c>
      <x:c r="I14" s="25" t="str">
        <x:f>IF(B14="","",IFERROR(VLOOKUP(B14,'04 Assessment Log'!$A$6:$AE$155,14,FALSE),""))</x:f>
      </x:c>
      <x:c r="J14" s="25" t="str">
        <x:f>IF(B14="","",IFERROR(VLOOKUP(B14,'04 Assessment Log'!$A$6:$AE$155,15,FALSE),""))</x:f>
      </x:c>
      <x:c r="K14" s="25" t="str">
        <x:f>IF(B14="","",IFERROR(VLOOKUP(B14,'04 Assessment Log'!$A$6:$AE$155,16,FALSE),""))</x:f>
      </x:c>
      <x:c r="L14" s="25" t="str">
        <x:f>IF(B14="","",IFERROR(VLOOKUP(B14,'04 Assessment Log'!$A$6:$AE$155,18,FALSE),""))</x:f>
      </x:c>
      <x:c r="M14" s="24"/>
      <x:c r="N14" s="27"/>
      <x:c r="O14" s="27"/>
      <x:c r="P14" s="24"/>
      <x:c r="Q14" s="24"/>
      <x:c r="R14" s="24"/>
      <x:c r="S14" s="26"/>
      <x:c r="T14" s="26"/>
      <x:c r="U14" s="24"/>
      <x:c r="V14" s="26"/>
      <x:c r="W14" s="27"/>
      <x:c r="X14" s="26"/>
      <x:c r="Y14" s="24"/>
      <x:c r="Z14" s="25" t="str">
        <x:f>IF(Y14="","",IFERROR(VLOOKUP(Y14,'04 Assessment Log'!$A$6:$AE$155,15,FALSE),"Assessment not found"))</x:f>
      </x:c>
      <x:c r="AA14" s="25" t="str">
        <x:f>IF(OR(J14="",Z14=""),"",Z14-J14)</x:f>
      </x:c>
      <x:c r="AB14" s="25" t="str">
        <x:f>IF(A14="","",IF(U14="Cancelled","Cancelled",IF(U14&lt;&gt;"Completed","Open",IF(Y14="","Pending Reassessment",IF(Z14&gt;=I14,"Closed — Competent","Further Action Required")))))</x:f>
      </x:c>
      <x:c r="AC14" s="25" t="str">
        <x:f>IF(OR(A14="",T14=""),"",IF(OR(U14="Completed",U14="Cancelled"),0,MAX(TODAY()-T14,0)))</x:f>
      </x:c>
      <x:c r="AD14" s="24"/>
    </x:row>
    <x:row r="15">
      <x:c r="A15" s="24"/>
      <x:c r="B15" s="24"/>
      <x:c r="C15" s="25" t="str">
        <x:f>IF(B15="","",IFERROR(VLOOKUP(B15,'04 Assessment Log'!$A$6:$AE$155,4,FALSE),"Assessment not found"))</x:f>
      </x:c>
      <x:c r="D15" s="25" t="str">
        <x:f>IF(C15="","",IFERROR(VLOOKUP(C15,'01 Staff Master'!$A$6:$M$105,2,FALSE),""))</x:f>
      </x:c>
      <x:c r="E15" s="25" t="str">
        <x:f>IF(B15="","",IFERROR(VLOOKUP(B15,'04 Assessment Log'!$A$6:$AE$155,6,FALSE),""))</x:f>
      </x:c>
      <x:c r="F15" s="25" t="str">
        <x:f>IF(B15="","",IFERROR(VLOOKUP(B15,'04 Assessment Log'!$A$6:$AE$155,7,FALSE),""))</x:f>
      </x:c>
      <x:c r="G15" s="25" t="str">
        <x:f>IF(B15="","",IFERROR(VLOOKUP(B15,'04 Assessment Log'!$A$6:$AE$155,10,FALSE),""))</x:f>
      </x:c>
      <x:c r="H15" s="25" t="str">
        <x:f>IF(G15="","",IFERROR(VLOOKUP(G15,'02 Skill Catalogue'!$A$6:$K$95,4,FALSE),""))</x:f>
      </x:c>
      <x:c r="I15" s="25" t="str">
        <x:f>IF(B15="","",IFERROR(VLOOKUP(B15,'04 Assessment Log'!$A$6:$AE$155,14,FALSE),""))</x:f>
      </x:c>
      <x:c r="J15" s="25" t="str">
        <x:f>IF(B15="","",IFERROR(VLOOKUP(B15,'04 Assessment Log'!$A$6:$AE$155,15,FALSE),""))</x:f>
      </x:c>
      <x:c r="K15" s="25" t="str">
        <x:f>IF(B15="","",IFERROR(VLOOKUP(B15,'04 Assessment Log'!$A$6:$AE$155,16,FALSE),""))</x:f>
      </x:c>
      <x:c r="L15" s="25" t="str">
        <x:f>IF(B15="","",IFERROR(VLOOKUP(B15,'04 Assessment Log'!$A$6:$AE$155,18,FALSE),""))</x:f>
      </x:c>
      <x:c r="M15" s="24"/>
      <x:c r="N15" s="27"/>
      <x:c r="O15" s="27"/>
      <x:c r="P15" s="24"/>
      <x:c r="Q15" s="24"/>
      <x:c r="R15" s="24"/>
      <x:c r="S15" s="26"/>
      <x:c r="T15" s="26"/>
      <x:c r="U15" s="24"/>
      <x:c r="V15" s="26"/>
      <x:c r="W15" s="27"/>
      <x:c r="X15" s="26"/>
      <x:c r="Y15" s="24"/>
      <x:c r="Z15" s="25" t="str">
        <x:f>IF(Y15="","",IFERROR(VLOOKUP(Y15,'04 Assessment Log'!$A$6:$AE$155,15,FALSE),"Assessment not found"))</x:f>
      </x:c>
      <x:c r="AA15" s="25" t="str">
        <x:f>IF(OR(J15="",Z15=""),"",Z15-J15)</x:f>
      </x:c>
      <x:c r="AB15" s="25" t="str">
        <x:f>IF(A15="","",IF(U15="Cancelled","Cancelled",IF(U15&lt;&gt;"Completed","Open",IF(Y15="","Pending Reassessment",IF(Z15&gt;=I15,"Closed — Competent","Further Action Required")))))</x:f>
      </x:c>
      <x:c r="AC15" s="25" t="str">
        <x:f>IF(OR(A15="",T15=""),"",IF(OR(U15="Completed",U15="Cancelled"),0,MAX(TODAY()-T15,0)))</x:f>
      </x:c>
      <x:c r="AD15" s="24"/>
    </x:row>
    <x:row r="16">
      <x:c r="A16" s="24"/>
      <x:c r="B16" s="24"/>
      <x:c r="C16" s="25" t="str">
        <x:f>IF(B16="","",IFERROR(VLOOKUP(B16,'04 Assessment Log'!$A$6:$AE$155,4,FALSE),"Assessment not found"))</x:f>
      </x:c>
      <x:c r="D16" s="25" t="str">
        <x:f>IF(C16="","",IFERROR(VLOOKUP(C16,'01 Staff Master'!$A$6:$M$105,2,FALSE),""))</x:f>
      </x:c>
      <x:c r="E16" s="25" t="str">
        <x:f>IF(B16="","",IFERROR(VLOOKUP(B16,'04 Assessment Log'!$A$6:$AE$155,6,FALSE),""))</x:f>
      </x:c>
      <x:c r="F16" s="25" t="str">
        <x:f>IF(B16="","",IFERROR(VLOOKUP(B16,'04 Assessment Log'!$A$6:$AE$155,7,FALSE),""))</x:f>
      </x:c>
      <x:c r="G16" s="25" t="str">
        <x:f>IF(B16="","",IFERROR(VLOOKUP(B16,'04 Assessment Log'!$A$6:$AE$155,10,FALSE),""))</x:f>
      </x:c>
      <x:c r="H16" s="25" t="str">
        <x:f>IF(G16="","",IFERROR(VLOOKUP(G16,'02 Skill Catalogue'!$A$6:$K$95,4,FALSE),""))</x:f>
      </x:c>
      <x:c r="I16" s="25" t="str">
        <x:f>IF(B16="","",IFERROR(VLOOKUP(B16,'04 Assessment Log'!$A$6:$AE$155,14,FALSE),""))</x:f>
      </x:c>
      <x:c r="J16" s="25" t="str">
        <x:f>IF(B16="","",IFERROR(VLOOKUP(B16,'04 Assessment Log'!$A$6:$AE$155,15,FALSE),""))</x:f>
      </x:c>
      <x:c r="K16" s="25" t="str">
        <x:f>IF(B16="","",IFERROR(VLOOKUP(B16,'04 Assessment Log'!$A$6:$AE$155,16,FALSE),""))</x:f>
      </x:c>
      <x:c r="L16" s="25" t="str">
        <x:f>IF(B16="","",IFERROR(VLOOKUP(B16,'04 Assessment Log'!$A$6:$AE$155,18,FALSE),""))</x:f>
      </x:c>
      <x:c r="M16" s="24"/>
      <x:c r="N16" s="27"/>
      <x:c r="O16" s="27"/>
      <x:c r="P16" s="24"/>
      <x:c r="Q16" s="24"/>
      <x:c r="R16" s="24"/>
      <x:c r="S16" s="26"/>
      <x:c r="T16" s="26"/>
      <x:c r="U16" s="24"/>
      <x:c r="V16" s="26"/>
      <x:c r="W16" s="27"/>
      <x:c r="X16" s="26"/>
      <x:c r="Y16" s="24"/>
      <x:c r="Z16" s="25" t="str">
        <x:f>IF(Y16="","",IFERROR(VLOOKUP(Y16,'04 Assessment Log'!$A$6:$AE$155,15,FALSE),"Assessment not found"))</x:f>
      </x:c>
      <x:c r="AA16" s="25" t="str">
        <x:f>IF(OR(J16="",Z16=""),"",Z16-J16)</x:f>
      </x:c>
      <x:c r="AB16" s="25" t="str">
        <x:f>IF(A16="","",IF(U16="Cancelled","Cancelled",IF(U16&lt;&gt;"Completed","Open",IF(Y16="","Pending Reassessment",IF(Z16&gt;=I16,"Closed — Competent","Further Action Required")))))</x:f>
      </x:c>
      <x:c r="AC16" s="25" t="str">
        <x:f>IF(OR(A16="",T16=""),"",IF(OR(U16="Completed",U16="Cancelled"),0,MAX(TODAY()-T16,0)))</x:f>
      </x:c>
      <x:c r="AD16" s="24"/>
    </x:row>
    <x:row r="17">
      <x:c r="A17" s="24"/>
      <x:c r="B17" s="24"/>
      <x:c r="C17" s="25" t="str">
        <x:f>IF(B17="","",IFERROR(VLOOKUP(B17,'04 Assessment Log'!$A$6:$AE$155,4,FALSE),"Assessment not found"))</x:f>
      </x:c>
      <x:c r="D17" s="25" t="str">
        <x:f>IF(C17="","",IFERROR(VLOOKUP(C17,'01 Staff Master'!$A$6:$M$105,2,FALSE),""))</x:f>
      </x:c>
      <x:c r="E17" s="25" t="str">
        <x:f>IF(B17="","",IFERROR(VLOOKUP(B17,'04 Assessment Log'!$A$6:$AE$155,6,FALSE),""))</x:f>
      </x:c>
      <x:c r="F17" s="25" t="str">
        <x:f>IF(B17="","",IFERROR(VLOOKUP(B17,'04 Assessment Log'!$A$6:$AE$155,7,FALSE),""))</x:f>
      </x:c>
      <x:c r="G17" s="25" t="str">
        <x:f>IF(B17="","",IFERROR(VLOOKUP(B17,'04 Assessment Log'!$A$6:$AE$155,10,FALSE),""))</x:f>
      </x:c>
      <x:c r="H17" s="25" t="str">
        <x:f>IF(G17="","",IFERROR(VLOOKUP(G17,'02 Skill Catalogue'!$A$6:$K$95,4,FALSE),""))</x:f>
      </x:c>
      <x:c r="I17" s="25" t="str">
        <x:f>IF(B17="","",IFERROR(VLOOKUP(B17,'04 Assessment Log'!$A$6:$AE$155,14,FALSE),""))</x:f>
      </x:c>
      <x:c r="J17" s="25" t="str">
        <x:f>IF(B17="","",IFERROR(VLOOKUP(B17,'04 Assessment Log'!$A$6:$AE$155,15,FALSE),""))</x:f>
      </x:c>
      <x:c r="K17" s="25" t="str">
        <x:f>IF(B17="","",IFERROR(VLOOKUP(B17,'04 Assessment Log'!$A$6:$AE$155,16,FALSE),""))</x:f>
      </x:c>
      <x:c r="L17" s="25" t="str">
        <x:f>IF(B17="","",IFERROR(VLOOKUP(B17,'04 Assessment Log'!$A$6:$AE$155,18,FALSE),""))</x:f>
      </x:c>
      <x:c r="M17" s="24"/>
      <x:c r="N17" s="27"/>
      <x:c r="O17" s="27"/>
      <x:c r="P17" s="24"/>
      <x:c r="Q17" s="24"/>
      <x:c r="R17" s="24"/>
      <x:c r="S17" s="26"/>
      <x:c r="T17" s="26"/>
      <x:c r="U17" s="24"/>
      <x:c r="V17" s="26"/>
      <x:c r="W17" s="27"/>
      <x:c r="X17" s="26"/>
      <x:c r="Y17" s="24"/>
      <x:c r="Z17" s="25" t="str">
        <x:f>IF(Y17="","",IFERROR(VLOOKUP(Y17,'04 Assessment Log'!$A$6:$AE$155,15,FALSE),"Assessment not found"))</x:f>
      </x:c>
      <x:c r="AA17" s="25" t="str">
        <x:f>IF(OR(J17="",Z17=""),"",Z17-J17)</x:f>
      </x:c>
      <x:c r="AB17" s="25" t="str">
        <x:f>IF(A17="","",IF(U17="Cancelled","Cancelled",IF(U17&lt;&gt;"Completed","Open",IF(Y17="","Pending Reassessment",IF(Z17&gt;=I17,"Closed — Competent","Further Action Required")))))</x:f>
      </x:c>
      <x:c r="AC17" s="25" t="str">
        <x:f>IF(OR(A17="",T17=""),"",IF(OR(U17="Completed",U17="Cancelled"),0,MAX(TODAY()-T17,0)))</x:f>
      </x:c>
      <x:c r="AD17" s="24"/>
    </x:row>
    <x:row r="18">
      <x:c r="A18" s="24"/>
      <x:c r="B18" s="24"/>
      <x:c r="C18" s="25" t="str">
        <x:f>IF(B18="","",IFERROR(VLOOKUP(B18,'04 Assessment Log'!$A$6:$AE$155,4,FALSE),"Assessment not found"))</x:f>
      </x:c>
      <x:c r="D18" s="25" t="str">
        <x:f>IF(C18="","",IFERROR(VLOOKUP(C18,'01 Staff Master'!$A$6:$M$105,2,FALSE),""))</x:f>
      </x:c>
      <x:c r="E18" s="25" t="str">
        <x:f>IF(B18="","",IFERROR(VLOOKUP(B18,'04 Assessment Log'!$A$6:$AE$155,6,FALSE),""))</x:f>
      </x:c>
      <x:c r="F18" s="25" t="str">
        <x:f>IF(B18="","",IFERROR(VLOOKUP(B18,'04 Assessment Log'!$A$6:$AE$155,7,FALSE),""))</x:f>
      </x:c>
      <x:c r="G18" s="25" t="str">
        <x:f>IF(B18="","",IFERROR(VLOOKUP(B18,'04 Assessment Log'!$A$6:$AE$155,10,FALSE),""))</x:f>
      </x:c>
      <x:c r="H18" s="25" t="str">
        <x:f>IF(G18="","",IFERROR(VLOOKUP(G18,'02 Skill Catalogue'!$A$6:$K$95,4,FALSE),""))</x:f>
      </x:c>
      <x:c r="I18" s="25" t="str">
        <x:f>IF(B18="","",IFERROR(VLOOKUP(B18,'04 Assessment Log'!$A$6:$AE$155,14,FALSE),""))</x:f>
      </x:c>
      <x:c r="J18" s="25" t="str">
        <x:f>IF(B18="","",IFERROR(VLOOKUP(B18,'04 Assessment Log'!$A$6:$AE$155,15,FALSE),""))</x:f>
      </x:c>
      <x:c r="K18" s="25" t="str">
        <x:f>IF(B18="","",IFERROR(VLOOKUP(B18,'04 Assessment Log'!$A$6:$AE$155,16,FALSE),""))</x:f>
      </x:c>
      <x:c r="L18" s="25" t="str">
        <x:f>IF(B18="","",IFERROR(VLOOKUP(B18,'04 Assessment Log'!$A$6:$AE$155,18,FALSE),""))</x:f>
      </x:c>
      <x:c r="M18" s="24"/>
      <x:c r="N18" s="27"/>
      <x:c r="O18" s="27"/>
      <x:c r="P18" s="24"/>
      <x:c r="Q18" s="24"/>
      <x:c r="R18" s="24"/>
      <x:c r="S18" s="26"/>
      <x:c r="T18" s="26"/>
      <x:c r="U18" s="24"/>
      <x:c r="V18" s="26"/>
      <x:c r="W18" s="27"/>
      <x:c r="X18" s="26"/>
      <x:c r="Y18" s="24"/>
      <x:c r="Z18" s="25" t="str">
        <x:f>IF(Y18="","",IFERROR(VLOOKUP(Y18,'04 Assessment Log'!$A$6:$AE$155,15,FALSE),"Assessment not found"))</x:f>
      </x:c>
      <x:c r="AA18" s="25" t="str">
        <x:f>IF(OR(J18="",Z18=""),"",Z18-J18)</x:f>
      </x:c>
      <x:c r="AB18" s="25" t="str">
        <x:f>IF(A18="","",IF(U18="Cancelled","Cancelled",IF(U18&lt;&gt;"Completed","Open",IF(Y18="","Pending Reassessment",IF(Z18&gt;=I18,"Closed — Competent","Further Action Required")))))</x:f>
      </x:c>
      <x:c r="AC18" s="25" t="str">
        <x:f>IF(OR(A18="",T18=""),"",IF(OR(U18="Completed",U18="Cancelled"),0,MAX(TODAY()-T18,0)))</x:f>
      </x:c>
      <x:c r="AD18" s="24"/>
    </x:row>
    <x:row r="19">
      <x:c r="A19" s="24"/>
      <x:c r="B19" s="24"/>
      <x:c r="C19" s="25" t="str">
        <x:f>IF(B19="","",IFERROR(VLOOKUP(B19,'04 Assessment Log'!$A$6:$AE$155,4,FALSE),"Assessment not found"))</x:f>
      </x:c>
      <x:c r="D19" s="25" t="str">
        <x:f>IF(C19="","",IFERROR(VLOOKUP(C19,'01 Staff Master'!$A$6:$M$105,2,FALSE),""))</x:f>
      </x:c>
      <x:c r="E19" s="25" t="str">
        <x:f>IF(B19="","",IFERROR(VLOOKUP(B19,'04 Assessment Log'!$A$6:$AE$155,6,FALSE),""))</x:f>
      </x:c>
      <x:c r="F19" s="25" t="str">
        <x:f>IF(B19="","",IFERROR(VLOOKUP(B19,'04 Assessment Log'!$A$6:$AE$155,7,FALSE),""))</x:f>
      </x:c>
      <x:c r="G19" s="25" t="str">
        <x:f>IF(B19="","",IFERROR(VLOOKUP(B19,'04 Assessment Log'!$A$6:$AE$155,10,FALSE),""))</x:f>
      </x:c>
      <x:c r="H19" s="25" t="str">
        <x:f>IF(G19="","",IFERROR(VLOOKUP(G19,'02 Skill Catalogue'!$A$6:$K$95,4,FALSE),""))</x:f>
      </x:c>
      <x:c r="I19" s="25" t="str">
        <x:f>IF(B19="","",IFERROR(VLOOKUP(B19,'04 Assessment Log'!$A$6:$AE$155,14,FALSE),""))</x:f>
      </x:c>
      <x:c r="J19" s="25" t="str">
        <x:f>IF(B19="","",IFERROR(VLOOKUP(B19,'04 Assessment Log'!$A$6:$AE$155,15,FALSE),""))</x:f>
      </x:c>
      <x:c r="K19" s="25" t="str">
        <x:f>IF(B19="","",IFERROR(VLOOKUP(B19,'04 Assessment Log'!$A$6:$AE$155,16,FALSE),""))</x:f>
      </x:c>
      <x:c r="L19" s="25" t="str">
        <x:f>IF(B19="","",IFERROR(VLOOKUP(B19,'04 Assessment Log'!$A$6:$AE$155,18,FALSE),""))</x:f>
      </x:c>
      <x:c r="M19" s="24"/>
      <x:c r="N19" s="27"/>
      <x:c r="O19" s="27"/>
      <x:c r="P19" s="24"/>
      <x:c r="Q19" s="24"/>
      <x:c r="R19" s="24"/>
      <x:c r="S19" s="26"/>
      <x:c r="T19" s="26"/>
      <x:c r="U19" s="24"/>
      <x:c r="V19" s="26"/>
      <x:c r="W19" s="27"/>
      <x:c r="X19" s="26"/>
      <x:c r="Y19" s="24"/>
      <x:c r="Z19" s="25" t="str">
        <x:f>IF(Y19="","",IFERROR(VLOOKUP(Y19,'04 Assessment Log'!$A$6:$AE$155,15,FALSE),"Assessment not found"))</x:f>
      </x:c>
      <x:c r="AA19" s="25" t="str">
        <x:f>IF(OR(J19="",Z19=""),"",Z19-J19)</x:f>
      </x:c>
      <x:c r="AB19" s="25" t="str">
        <x:f>IF(A19="","",IF(U19="Cancelled","Cancelled",IF(U19&lt;&gt;"Completed","Open",IF(Y19="","Pending Reassessment",IF(Z19&gt;=I19,"Closed — Competent","Further Action Required")))))</x:f>
      </x:c>
      <x:c r="AC19" s="25" t="str">
        <x:f>IF(OR(A19="",T19=""),"",IF(OR(U19="Completed",U19="Cancelled"),0,MAX(TODAY()-T19,0)))</x:f>
      </x:c>
      <x:c r="AD19" s="24"/>
    </x:row>
    <x:row r="20">
      <x:c r="A20" s="24"/>
      <x:c r="B20" s="24"/>
      <x:c r="C20" s="25" t="str">
        <x:f>IF(B20="","",IFERROR(VLOOKUP(B20,'04 Assessment Log'!$A$6:$AE$155,4,FALSE),"Assessment not found"))</x:f>
      </x:c>
      <x:c r="D20" s="25" t="str">
        <x:f>IF(C20="","",IFERROR(VLOOKUP(C20,'01 Staff Master'!$A$6:$M$105,2,FALSE),""))</x:f>
      </x:c>
      <x:c r="E20" s="25" t="str">
        <x:f>IF(B20="","",IFERROR(VLOOKUP(B20,'04 Assessment Log'!$A$6:$AE$155,6,FALSE),""))</x:f>
      </x:c>
      <x:c r="F20" s="25" t="str">
        <x:f>IF(B20="","",IFERROR(VLOOKUP(B20,'04 Assessment Log'!$A$6:$AE$155,7,FALSE),""))</x:f>
      </x:c>
      <x:c r="G20" s="25" t="str">
        <x:f>IF(B20="","",IFERROR(VLOOKUP(B20,'04 Assessment Log'!$A$6:$AE$155,10,FALSE),""))</x:f>
      </x:c>
      <x:c r="H20" s="25" t="str">
        <x:f>IF(G20="","",IFERROR(VLOOKUP(G20,'02 Skill Catalogue'!$A$6:$K$95,4,FALSE),""))</x:f>
      </x:c>
      <x:c r="I20" s="25" t="str">
        <x:f>IF(B20="","",IFERROR(VLOOKUP(B20,'04 Assessment Log'!$A$6:$AE$155,14,FALSE),""))</x:f>
      </x:c>
      <x:c r="J20" s="25" t="str">
        <x:f>IF(B20="","",IFERROR(VLOOKUP(B20,'04 Assessment Log'!$A$6:$AE$155,15,FALSE),""))</x:f>
      </x:c>
      <x:c r="K20" s="25" t="str">
        <x:f>IF(B20="","",IFERROR(VLOOKUP(B20,'04 Assessment Log'!$A$6:$AE$155,16,FALSE),""))</x:f>
      </x:c>
      <x:c r="L20" s="25" t="str">
        <x:f>IF(B20="","",IFERROR(VLOOKUP(B20,'04 Assessment Log'!$A$6:$AE$155,18,FALSE),""))</x:f>
      </x:c>
      <x:c r="M20" s="24"/>
      <x:c r="N20" s="27"/>
      <x:c r="O20" s="27"/>
      <x:c r="P20" s="24"/>
      <x:c r="Q20" s="24"/>
      <x:c r="R20" s="24"/>
      <x:c r="S20" s="26"/>
      <x:c r="T20" s="26"/>
      <x:c r="U20" s="24"/>
      <x:c r="V20" s="26"/>
      <x:c r="W20" s="27"/>
      <x:c r="X20" s="26"/>
      <x:c r="Y20" s="24"/>
      <x:c r="Z20" s="25" t="str">
        <x:f>IF(Y20="","",IFERROR(VLOOKUP(Y20,'04 Assessment Log'!$A$6:$AE$155,15,FALSE),"Assessment not found"))</x:f>
      </x:c>
      <x:c r="AA20" s="25" t="str">
        <x:f>IF(OR(J20="",Z20=""),"",Z20-J20)</x:f>
      </x:c>
      <x:c r="AB20" s="25" t="str">
        <x:f>IF(A20="","",IF(U20="Cancelled","Cancelled",IF(U20&lt;&gt;"Completed","Open",IF(Y20="","Pending Reassessment",IF(Z20&gt;=I20,"Closed — Competent","Further Action Required")))))</x:f>
      </x:c>
      <x:c r="AC20" s="25" t="str">
        <x:f>IF(OR(A20="",T20=""),"",IF(OR(U20="Completed",U20="Cancelled"),0,MAX(TODAY()-T20,0)))</x:f>
      </x:c>
      <x:c r="AD20" s="24"/>
    </x:row>
    <x:row r="21">
      <x:c r="A21" s="24"/>
      <x:c r="B21" s="24"/>
      <x:c r="C21" s="25" t="str">
        <x:f>IF(B21="","",IFERROR(VLOOKUP(B21,'04 Assessment Log'!$A$6:$AE$155,4,FALSE),"Assessment not found"))</x:f>
      </x:c>
      <x:c r="D21" s="25" t="str">
        <x:f>IF(C21="","",IFERROR(VLOOKUP(C21,'01 Staff Master'!$A$6:$M$105,2,FALSE),""))</x:f>
      </x:c>
      <x:c r="E21" s="25" t="str">
        <x:f>IF(B21="","",IFERROR(VLOOKUP(B21,'04 Assessment Log'!$A$6:$AE$155,6,FALSE),""))</x:f>
      </x:c>
      <x:c r="F21" s="25" t="str">
        <x:f>IF(B21="","",IFERROR(VLOOKUP(B21,'04 Assessment Log'!$A$6:$AE$155,7,FALSE),""))</x:f>
      </x:c>
      <x:c r="G21" s="25" t="str">
        <x:f>IF(B21="","",IFERROR(VLOOKUP(B21,'04 Assessment Log'!$A$6:$AE$155,10,FALSE),""))</x:f>
      </x:c>
      <x:c r="H21" s="25" t="str">
        <x:f>IF(G21="","",IFERROR(VLOOKUP(G21,'02 Skill Catalogue'!$A$6:$K$95,4,FALSE),""))</x:f>
      </x:c>
      <x:c r="I21" s="25" t="str">
        <x:f>IF(B21="","",IFERROR(VLOOKUP(B21,'04 Assessment Log'!$A$6:$AE$155,14,FALSE),""))</x:f>
      </x:c>
      <x:c r="J21" s="25" t="str">
        <x:f>IF(B21="","",IFERROR(VLOOKUP(B21,'04 Assessment Log'!$A$6:$AE$155,15,FALSE),""))</x:f>
      </x:c>
      <x:c r="K21" s="25" t="str">
        <x:f>IF(B21="","",IFERROR(VLOOKUP(B21,'04 Assessment Log'!$A$6:$AE$155,16,FALSE),""))</x:f>
      </x:c>
      <x:c r="L21" s="25" t="str">
        <x:f>IF(B21="","",IFERROR(VLOOKUP(B21,'04 Assessment Log'!$A$6:$AE$155,18,FALSE),""))</x:f>
      </x:c>
      <x:c r="M21" s="24"/>
      <x:c r="N21" s="27"/>
      <x:c r="O21" s="27"/>
      <x:c r="P21" s="24"/>
      <x:c r="Q21" s="24"/>
      <x:c r="R21" s="24"/>
      <x:c r="S21" s="26"/>
      <x:c r="T21" s="26"/>
      <x:c r="U21" s="24"/>
      <x:c r="V21" s="26"/>
      <x:c r="W21" s="27"/>
      <x:c r="X21" s="26"/>
      <x:c r="Y21" s="24"/>
      <x:c r="Z21" s="25" t="str">
        <x:f>IF(Y21="","",IFERROR(VLOOKUP(Y21,'04 Assessment Log'!$A$6:$AE$155,15,FALSE),"Assessment not found"))</x:f>
      </x:c>
      <x:c r="AA21" s="25" t="str">
        <x:f>IF(OR(J21="",Z21=""),"",Z21-J21)</x:f>
      </x:c>
      <x:c r="AB21" s="25" t="str">
        <x:f>IF(A21="","",IF(U21="Cancelled","Cancelled",IF(U21&lt;&gt;"Completed","Open",IF(Y21="","Pending Reassessment",IF(Z21&gt;=I21,"Closed — Competent","Further Action Required")))))</x:f>
      </x:c>
      <x:c r="AC21" s="25" t="str">
        <x:f>IF(OR(A21="",T21=""),"",IF(OR(U21="Completed",U21="Cancelled"),0,MAX(TODAY()-T21,0)))</x:f>
      </x:c>
      <x:c r="AD21" s="24"/>
    </x:row>
    <x:row r="22">
      <x:c r="A22" s="24"/>
      <x:c r="B22" s="24"/>
      <x:c r="C22" s="25" t="str">
        <x:f>IF(B22="","",IFERROR(VLOOKUP(B22,'04 Assessment Log'!$A$6:$AE$155,4,FALSE),"Assessment not found"))</x:f>
      </x:c>
      <x:c r="D22" s="25" t="str">
        <x:f>IF(C22="","",IFERROR(VLOOKUP(C22,'01 Staff Master'!$A$6:$M$105,2,FALSE),""))</x:f>
      </x:c>
      <x:c r="E22" s="25" t="str">
        <x:f>IF(B22="","",IFERROR(VLOOKUP(B22,'04 Assessment Log'!$A$6:$AE$155,6,FALSE),""))</x:f>
      </x:c>
      <x:c r="F22" s="25" t="str">
        <x:f>IF(B22="","",IFERROR(VLOOKUP(B22,'04 Assessment Log'!$A$6:$AE$155,7,FALSE),""))</x:f>
      </x:c>
      <x:c r="G22" s="25" t="str">
        <x:f>IF(B22="","",IFERROR(VLOOKUP(B22,'04 Assessment Log'!$A$6:$AE$155,10,FALSE),""))</x:f>
      </x:c>
      <x:c r="H22" s="25" t="str">
        <x:f>IF(G22="","",IFERROR(VLOOKUP(G22,'02 Skill Catalogue'!$A$6:$K$95,4,FALSE),""))</x:f>
      </x:c>
      <x:c r="I22" s="25" t="str">
        <x:f>IF(B22="","",IFERROR(VLOOKUP(B22,'04 Assessment Log'!$A$6:$AE$155,14,FALSE),""))</x:f>
      </x:c>
      <x:c r="J22" s="25" t="str">
        <x:f>IF(B22="","",IFERROR(VLOOKUP(B22,'04 Assessment Log'!$A$6:$AE$155,15,FALSE),""))</x:f>
      </x:c>
      <x:c r="K22" s="25" t="str">
        <x:f>IF(B22="","",IFERROR(VLOOKUP(B22,'04 Assessment Log'!$A$6:$AE$155,16,FALSE),""))</x:f>
      </x:c>
      <x:c r="L22" s="25" t="str">
        <x:f>IF(B22="","",IFERROR(VLOOKUP(B22,'04 Assessment Log'!$A$6:$AE$155,18,FALSE),""))</x:f>
      </x:c>
      <x:c r="M22" s="24"/>
      <x:c r="N22" s="27"/>
      <x:c r="O22" s="27"/>
      <x:c r="P22" s="24"/>
      <x:c r="Q22" s="24"/>
      <x:c r="R22" s="24"/>
      <x:c r="S22" s="26"/>
      <x:c r="T22" s="26"/>
      <x:c r="U22" s="24"/>
      <x:c r="V22" s="26"/>
      <x:c r="W22" s="27"/>
      <x:c r="X22" s="26"/>
      <x:c r="Y22" s="24"/>
      <x:c r="Z22" s="25" t="str">
        <x:f>IF(Y22="","",IFERROR(VLOOKUP(Y22,'04 Assessment Log'!$A$6:$AE$155,15,FALSE),"Assessment not found"))</x:f>
      </x:c>
      <x:c r="AA22" s="25" t="str">
        <x:f>IF(OR(J22="",Z22=""),"",Z22-J22)</x:f>
      </x:c>
      <x:c r="AB22" s="25" t="str">
        <x:f>IF(A22="","",IF(U22="Cancelled","Cancelled",IF(U22&lt;&gt;"Completed","Open",IF(Y22="","Pending Reassessment",IF(Z22&gt;=I22,"Closed — Competent","Further Action Required")))))</x:f>
      </x:c>
      <x:c r="AC22" s="25" t="str">
        <x:f>IF(OR(A22="",T22=""),"",IF(OR(U22="Completed",U22="Cancelled"),0,MAX(TODAY()-T22,0)))</x:f>
      </x:c>
      <x:c r="AD22" s="24"/>
    </x:row>
    <x:row r="23">
      <x:c r="A23" s="24"/>
      <x:c r="B23" s="24"/>
      <x:c r="C23" s="25" t="str">
        <x:f>IF(B23="","",IFERROR(VLOOKUP(B23,'04 Assessment Log'!$A$6:$AE$155,4,FALSE),"Assessment not found"))</x:f>
      </x:c>
      <x:c r="D23" s="25" t="str">
        <x:f>IF(C23="","",IFERROR(VLOOKUP(C23,'01 Staff Master'!$A$6:$M$105,2,FALSE),""))</x:f>
      </x:c>
      <x:c r="E23" s="25" t="str">
        <x:f>IF(B23="","",IFERROR(VLOOKUP(B23,'04 Assessment Log'!$A$6:$AE$155,6,FALSE),""))</x:f>
      </x:c>
      <x:c r="F23" s="25" t="str">
        <x:f>IF(B23="","",IFERROR(VLOOKUP(B23,'04 Assessment Log'!$A$6:$AE$155,7,FALSE),""))</x:f>
      </x:c>
      <x:c r="G23" s="25" t="str">
        <x:f>IF(B23="","",IFERROR(VLOOKUP(B23,'04 Assessment Log'!$A$6:$AE$155,10,FALSE),""))</x:f>
      </x:c>
      <x:c r="H23" s="25" t="str">
        <x:f>IF(G23="","",IFERROR(VLOOKUP(G23,'02 Skill Catalogue'!$A$6:$K$95,4,FALSE),""))</x:f>
      </x:c>
      <x:c r="I23" s="25" t="str">
        <x:f>IF(B23="","",IFERROR(VLOOKUP(B23,'04 Assessment Log'!$A$6:$AE$155,14,FALSE),""))</x:f>
      </x:c>
      <x:c r="J23" s="25" t="str">
        <x:f>IF(B23="","",IFERROR(VLOOKUP(B23,'04 Assessment Log'!$A$6:$AE$155,15,FALSE),""))</x:f>
      </x:c>
      <x:c r="K23" s="25" t="str">
        <x:f>IF(B23="","",IFERROR(VLOOKUP(B23,'04 Assessment Log'!$A$6:$AE$155,16,FALSE),""))</x:f>
      </x:c>
      <x:c r="L23" s="25" t="str">
        <x:f>IF(B23="","",IFERROR(VLOOKUP(B23,'04 Assessment Log'!$A$6:$AE$155,18,FALSE),""))</x:f>
      </x:c>
      <x:c r="M23" s="24"/>
      <x:c r="N23" s="27"/>
      <x:c r="O23" s="27"/>
      <x:c r="P23" s="24"/>
      <x:c r="Q23" s="24"/>
      <x:c r="R23" s="24"/>
      <x:c r="S23" s="26"/>
      <x:c r="T23" s="26"/>
      <x:c r="U23" s="24"/>
      <x:c r="V23" s="26"/>
      <x:c r="W23" s="27"/>
      <x:c r="X23" s="26"/>
      <x:c r="Y23" s="24"/>
      <x:c r="Z23" s="25" t="str">
        <x:f>IF(Y23="","",IFERROR(VLOOKUP(Y23,'04 Assessment Log'!$A$6:$AE$155,15,FALSE),"Assessment not found"))</x:f>
      </x:c>
      <x:c r="AA23" s="25" t="str">
        <x:f>IF(OR(J23="",Z23=""),"",Z23-J23)</x:f>
      </x:c>
      <x:c r="AB23" s="25" t="str">
        <x:f>IF(A23="","",IF(U23="Cancelled","Cancelled",IF(U23&lt;&gt;"Completed","Open",IF(Y23="","Pending Reassessment",IF(Z23&gt;=I23,"Closed — Competent","Further Action Required")))))</x:f>
      </x:c>
      <x:c r="AC23" s="25" t="str">
        <x:f>IF(OR(A23="",T23=""),"",IF(OR(U23="Completed",U23="Cancelled"),0,MAX(TODAY()-T23,0)))</x:f>
      </x:c>
      <x:c r="AD23" s="24"/>
    </x:row>
    <x:row r="24">
      <x:c r="A24" s="24"/>
      <x:c r="B24" s="24"/>
      <x:c r="C24" s="25" t="str">
        <x:f>IF(B24="","",IFERROR(VLOOKUP(B24,'04 Assessment Log'!$A$6:$AE$155,4,FALSE),"Assessment not found"))</x:f>
      </x:c>
      <x:c r="D24" s="25" t="str">
        <x:f>IF(C24="","",IFERROR(VLOOKUP(C24,'01 Staff Master'!$A$6:$M$105,2,FALSE),""))</x:f>
      </x:c>
      <x:c r="E24" s="25" t="str">
        <x:f>IF(B24="","",IFERROR(VLOOKUP(B24,'04 Assessment Log'!$A$6:$AE$155,6,FALSE),""))</x:f>
      </x:c>
      <x:c r="F24" s="25" t="str">
        <x:f>IF(B24="","",IFERROR(VLOOKUP(B24,'04 Assessment Log'!$A$6:$AE$155,7,FALSE),""))</x:f>
      </x:c>
      <x:c r="G24" s="25" t="str">
        <x:f>IF(B24="","",IFERROR(VLOOKUP(B24,'04 Assessment Log'!$A$6:$AE$155,10,FALSE),""))</x:f>
      </x:c>
      <x:c r="H24" s="25" t="str">
        <x:f>IF(G24="","",IFERROR(VLOOKUP(G24,'02 Skill Catalogue'!$A$6:$K$95,4,FALSE),""))</x:f>
      </x:c>
      <x:c r="I24" s="25" t="str">
        <x:f>IF(B24="","",IFERROR(VLOOKUP(B24,'04 Assessment Log'!$A$6:$AE$155,14,FALSE),""))</x:f>
      </x:c>
      <x:c r="J24" s="25" t="str">
        <x:f>IF(B24="","",IFERROR(VLOOKUP(B24,'04 Assessment Log'!$A$6:$AE$155,15,FALSE),""))</x:f>
      </x:c>
      <x:c r="K24" s="25" t="str">
        <x:f>IF(B24="","",IFERROR(VLOOKUP(B24,'04 Assessment Log'!$A$6:$AE$155,16,FALSE),""))</x:f>
      </x:c>
      <x:c r="L24" s="25" t="str">
        <x:f>IF(B24="","",IFERROR(VLOOKUP(B24,'04 Assessment Log'!$A$6:$AE$155,18,FALSE),""))</x:f>
      </x:c>
      <x:c r="M24" s="24"/>
      <x:c r="N24" s="27"/>
      <x:c r="O24" s="27"/>
      <x:c r="P24" s="24"/>
      <x:c r="Q24" s="24"/>
      <x:c r="R24" s="24"/>
      <x:c r="S24" s="26"/>
      <x:c r="T24" s="26"/>
      <x:c r="U24" s="24"/>
      <x:c r="V24" s="26"/>
      <x:c r="W24" s="27"/>
      <x:c r="X24" s="26"/>
      <x:c r="Y24" s="24"/>
      <x:c r="Z24" s="25" t="str">
        <x:f>IF(Y24="","",IFERROR(VLOOKUP(Y24,'04 Assessment Log'!$A$6:$AE$155,15,FALSE),"Assessment not found"))</x:f>
      </x:c>
      <x:c r="AA24" s="25" t="str">
        <x:f>IF(OR(J24="",Z24=""),"",Z24-J24)</x:f>
      </x:c>
      <x:c r="AB24" s="25" t="str">
        <x:f>IF(A24="","",IF(U24="Cancelled","Cancelled",IF(U24&lt;&gt;"Completed","Open",IF(Y24="","Pending Reassessment",IF(Z24&gt;=I24,"Closed — Competent","Further Action Required")))))</x:f>
      </x:c>
      <x:c r="AC24" s="25" t="str">
        <x:f>IF(OR(A24="",T24=""),"",IF(OR(U24="Completed",U24="Cancelled"),0,MAX(TODAY()-T24,0)))</x:f>
      </x:c>
      <x:c r="AD24" s="24"/>
    </x:row>
    <x:row r="25">
      <x:c r="A25" s="24"/>
      <x:c r="B25" s="24"/>
      <x:c r="C25" s="25" t="str">
        <x:f>IF(B25="","",IFERROR(VLOOKUP(B25,'04 Assessment Log'!$A$6:$AE$155,4,FALSE),"Assessment not found"))</x:f>
      </x:c>
      <x:c r="D25" s="25" t="str">
        <x:f>IF(C25="","",IFERROR(VLOOKUP(C25,'01 Staff Master'!$A$6:$M$105,2,FALSE),""))</x:f>
      </x:c>
      <x:c r="E25" s="25" t="str">
        <x:f>IF(B25="","",IFERROR(VLOOKUP(B25,'04 Assessment Log'!$A$6:$AE$155,6,FALSE),""))</x:f>
      </x:c>
      <x:c r="F25" s="25" t="str">
        <x:f>IF(B25="","",IFERROR(VLOOKUP(B25,'04 Assessment Log'!$A$6:$AE$155,7,FALSE),""))</x:f>
      </x:c>
      <x:c r="G25" s="25" t="str">
        <x:f>IF(B25="","",IFERROR(VLOOKUP(B25,'04 Assessment Log'!$A$6:$AE$155,10,FALSE),""))</x:f>
      </x:c>
      <x:c r="H25" s="25" t="str">
        <x:f>IF(G25="","",IFERROR(VLOOKUP(G25,'02 Skill Catalogue'!$A$6:$K$95,4,FALSE),""))</x:f>
      </x:c>
      <x:c r="I25" s="25" t="str">
        <x:f>IF(B25="","",IFERROR(VLOOKUP(B25,'04 Assessment Log'!$A$6:$AE$155,14,FALSE),""))</x:f>
      </x:c>
      <x:c r="J25" s="25" t="str">
        <x:f>IF(B25="","",IFERROR(VLOOKUP(B25,'04 Assessment Log'!$A$6:$AE$155,15,FALSE),""))</x:f>
      </x:c>
      <x:c r="K25" s="25" t="str">
        <x:f>IF(B25="","",IFERROR(VLOOKUP(B25,'04 Assessment Log'!$A$6:$AE$155,16,FALSE),""))</x:f>
      </x:c>
      <x:c r="L25" s="25" t="str">
        <x:f>IF(B25="","",IFERROR(VLOOKUP(B25,'04 Assessment Log'!$A$6:$AE$155,18,FALSE),""))</x:f>
      </x:c>
      <x:c r="M25" s="24"/>
      <x:c r="N25" s="27"/>
      <x:c r="O25" s="27"/>
      <x:c r="P25" s="24"/>
      <x:c r="Q25" s="24"/>
      <x:c r="R25" s="24"/>
      <x:c r="S25" s="26"/>
      <x:c r="T25" s="26"/>
      <x:c r="U25" s="24"/>
      <x:c r="V25" s="26"/>
      <x:c r="W25" s="27"/>
      <x:c r="X25" s="26"/>
      <x:c r="Y25" s="24"/>
      <x:c r="Z25" s="25" t="str">
        <x:f>IF(Y25="","",IFERROR(VLOOKUP(Y25,'04 Assessment Log'!$A$6:$AE$155,15,FALSE),"Assessment not found"))</x:f>
      </x:c>
      <x:c r="AA25" s="25" t="str">
        <x:f>IF(OR(J25="",Z25=""),"",Z25-J25)</x:f>
      </x:c>
      <x:c r="AB25" s="25" t="str">
        <x:f>IF(A25="","",IF(U25="Cancelled","Cancelled",IF(U25&lt;&gt;"Completed","Open",IF(Y25="","Pending Reassessment",IF(Z25&gt;=I25,"Closed — Competent","Further Action Required")))))</x:f>
      </x:c>
      <x:c r="AC25" s="25" t="str">
        <x:f>IF(OR(A25="",T25=""),"",IF(OR(U25="Completed",U25="Cancelled"),0,MAX(TODAY()-T25,0)))</x:f>
      </x:c>
      <x:c r="AD25" s="24"/>
    </x:row>
    <x:row r="26">
      <x:c r="A26" s="24"/>
      <x:c r="B26" s="24"/>
      <x:c r="C26" s="25" t="str">
        <x:f>IF(B26="","",IFERROR(VLOOKUP(B26,'04 Assessment Log'!$A$6:$AE$155,4,FALSE),"Assessment not found"))</x:f>
      </x:c>
      <x:c r="D26" s="25" t="str">
        <x:f>IF(C26="","",IFERROR(VLOOKUP(C26,'01 Staff Master'!$A$6:$M$105,2,FALSE),""))</x:f>
      </x:c>
      <x:c r="E26" s="25" t="str">
        <x:f>IF(B26="","",IFERROR(VLOOKUP(B26,'04 Assessment Log'!$A$6:$AE$155,6,FALSE),""))</x:f>
      </x:c>
      <x:c r="F26" s="25" t="str">
        <x:f>IF(B26="","",IFERROR(VLOOKUP(B26,'04 Assessment Log'!$A$6:$AE$155,7,FALSE),""))</x:f>
      </x:c>
      <x:c r="G26" s="25" t="str">
        <x:f>IF(B26="","",IFERROR(VLOOKUP(B26,'04 Assessment Log'!$A$6:$AE$155,10,FALSE),""))</x:f>
      </x:c>
      <x:c r="H26" s="25" t="str">
        <x:f>IF(G26="","",IFERROR(VLOOKUP(G26,'02 Skill Catalogue'!$A$6:$K$95,4,FALSE),""))</x:f>
      </x:c>
      <x:c r="I26" s="25" t="str">
        <x:f>IF(B26="","",IFERROR(VLOOKUP(B26,'04 Assessment Log'!$A$6:$AE$155,14,FALSE),""))</x:f>
      </x:c>
      <x:c r="J26" s="25" t="str">
        <x:f>IF(B26="","",IFERROR(VLOOKUP(B26,'04 Assessment Log'!$A$6:$AE$155,15,FALSE),""))</x:f>
      </x:c>
      <x:c r="K26" s="25" t="str">
        <x:f>IF(B26="","",IFERROR(VLOOKUP(B26,'04 Assessment Log'!$A$6:$AE$155,16,FALSE),""))</x:f>
      </x:c>
      <x:c r="L26" s="25" t="str">
        <x:f>IF(B26="","",IFERROR(VLOOKUP(B26,'04 Assessment Log'!$A$6:$AE$155,18,FALSE),""))</x:f>
      </x:c>
      <x:c r="M26" s="24"/>
      <x:c r="N26" s="27"/>
      <x:c r="O26" s="27"/>
      <x:c r="P26" s="24"/>
      <x:c r="Q26" s="24"/>
      <x:c r="R26" s="24"/>
      <x:c r="S26" s="26"/>
      <x:c r="T26" s="26"/>
      <x:c r="U26" s="24"/>
      <x:c r="V26" s="26"/>
      <x:c r="W26" s="27"/>
      <x:c r="X26" s="26"/>
      <x:c r="Y26" s="24"/>
      <x:c r="Z26" s="25" t="str">
        <x:f>IF(Y26="","",IFERROR(VLOOKUP(Y26,'04 Assessment Log'!$A$6:$AE$155,15,FALSE),"Assessment not found"))</x:f>
      </x:c>
      <x:c r="AA26" s="25" t="str">
        <x:f>IF(OR(J26="",Z26=""),"",Z26-J26)</x:f>
      </x:c>
      <x:c r="AB26" s="25" t="str">
        <x:f>IF(A26="","",IF(U26="Cancelled","Cancelled",IF(U26&lt;&gt;"Completed","Open",IF(Y26="","Pending Reassessment",IF(Z26&gt;=I26,"Closed — Competent","Further Action Required")))))</x:f>
      </x:c>
      <x:c r="AC26" s="25" t="str">
        <x:f>IF(OR(A26="",T26=""),"",IF(OR(U26="Completed",U26="Cancelled"),0,MAX(TODAY()-T26,0)))</x:f>
      </x:c>
      <x:c r="AD26" s="24"/>
    </x:row>
    <x:row r="27">
      <x:c r="A27" s="24"/>
      <x:c r="B27" s="24"/>
      <x:c r="C27" s="25" t="str">
        <x:f>IF(B27="","",IFERROR(VLOOKUP(B27,'04 Assessment Log'!$A$6:$AE$155,4,FALSE),"Assessment not found"))</x:f>
      </x:c>
      <x:c r="D27" s="25" t="str">
        <x:f>IF(C27="","",IFERROR(VLOOKUP(C27,'01 Staff Master'!$A$6:$M$105,2,FALSE),""))</x:f>
      </x:c>
      <x:c r="E27" s="25" t="str">
        <x:f>IF(B27="","",IFERROR(VLOOKUP(B27,'04 Assessment Log'!$A$6:$AE$155,6,FALSE),""))</x:f>
      </x:c>
      <x:c r="F27" s="25" t="str">
        <x:f>IF(B27="","",IFERROR(VLOOKUP(B27,'04 Assessment Log'!$A$6:$AE$155,7,FALSE),""))</x:f>
      </x:c>
      <x:c r="G27" s="25" t="str">
        <x:f>IF(B27="","",IFERROR(VLOOKUP(B27,'04 Assessment Log'!$A$6:$AE$155,10,FALSE),""))</x:f>
      </x:c>
      <x:c r="H27" s="25" t="str">
        <x:f>IF(G27="","",IFERROR(VLOOKUP(G27,'02 Skill Catalogue'!$A$6:$K$95,4,FALSE),""))</x:f>
      </x:c>
      <x:c r="I27" s="25" t="str">
        <x:f>IF(B27="","",IFERROR(VLOOKUP(B27,'04 Assessment Log'!$A$6:$AE$155,14,FALSE),""))</x:f>
      </x:c>
      <x:c r="J27" s="25" t="str">
        <x:f>IF(B27="","",IFERROR(VLOOKUP(B27,'04 Assessment Log'!$A$6:$AE$155,15,FALSE),""))</x:f>
      </x:c>
      <x:c r="K27" s="25" t="str">
        <x:f>IF(B27="","",IFERROR(VLOOKUP(B27,'04 Assessment Log'!$A$6:$AE$155,16,FALSE),""))</x:f>
      </x:c>
      <x:c r="L27" s="25" t="str">
        <x:f>IF(B27="","",IFERROR(VLOOKUP(B27,'04 Assessment Log'!$A$6:$AE$155,18,FALSE),""))</x:f>
      </x:c>
      <x:c r="M27" s="24"/>
      <x:c r="N27" s="27"/>
      <x:c r="O27" s="27"/>
      <x:c r="P27" s="24"/>
      <x:c r="Q27" s="24"/>
      <x:c r="R27" s="24"/>
      <x:c r="S27" s="26"/>
      <x:c r="T27" s="26"/>
      <x:c r="U27" s="24"/>
      <x:c r="V27" s="26"/>
      <x:c r="W27" s="27"/>
      <x:c r="X27" s="26"/>
      <x:c r="Y27" s="24"/>
      <x:c r="Z27" s="25" t="str">
        <x:f>IF(Y27="","",IFERROR(VLOOKUP(Y27,'04 Assessment Log'!$A$6:$AE$155,15,FALSE),"Assessment not found"))</x:f>
      </x:c>
      <x:c r="AA27" s="25" t="str">
        <x:f>IF(OR(J27="",Z27=""),"",Z27-J27)</x:f>
      </x:c>
      <x:c r="AB27" s="25" t="str">
        <x:f>IF(A27="","",IF(U27="Cancelled","Cancelled",IF(U27&lt;&gt;"Completed","Open",IF(Y27="","Pending Reassessment",IF(Z27&gt;=I27,"Closed — Competent","Further Action Required")))))</x:f>
      </x:c>
      <x:c r="AC27" s="25" t="str">
        <x:f>IF(OR(A27="",T27=""),"",IF(OR(U27="Completed",U27="Cancelled"),0,MAX(TODAY()-T27,0)))</x:f>
      </x:c>
      <x:c r="AD27" s="24"/>
    </x:row>
    <x:row r="28">
      <x:c r="A28" s="24"/>
      <x:c r="B28" s="24"/>
      <x:c r="C28" s="25" t="str">
        <x:f>IF(B28="","",IFERROR(VLOOKUP(B28,'04 Assessment Log'!$A$6:$AE$155,4,FALSE),"Assessment not found"))</x:f>
      </x:c>
      <x:c r="D28" s="25" t="str">
        <x:f>IF(C28="","",IFERROR(VLOOKUP(C28,'01 Staff Master'!$A$6:$M$105,2,FALSE),""))</x:f>
      </x:c>
      <x:c r="E28" s="25" t="str">
        <x:f>IF(B28="","",IFERROR(VLOOKUP(B28,'04 Assessment Log'!$A$6:$AE$155,6,FALSE),""))</x:f>
      </x:c>
      <x:c r="F28" s="25" t="str">
        <x:f>IF(B28="","",IFERROR(VLOOKUP(B28,'04 Assessment Log'!$A$6:$AE$155,7,FALSE),""))</x:f>
      </x:c>
      <x:c r="G28" s="25" t="str">
        <x:f>IF(B28="","",IFERROR(VLOOKUP(B28,'04 Assessment Log'!$A$6:$AE$155,10,FALSE),""))</x:f>
      </x:c>
      <x:c r="H28" s="25" t="str">
        <x:f>IF(G28="","",IFERROR(VLOOKUP(G28,'02 Skill Catalogue'!$A$6:$K$95,4,FALSE),""))</x:f>
      </x:c>
      <x:c r="I28" s="25" t="str">
        <x:f>IF(B28="","",IFERROR(VLOOKUP(B28,'04 Assessment Log'!$A$6:$AE$155,14,FALSE),""))</x:f>
      </x:c>
      <x:c r="J28" s="25" t="str">
        <x:f>IF(B28="","",IFERROR(VLOOKUP(B28,'04 Assessment Log'!$A$6:$AE$155,15,FALSE),""))</x:f>
      </x:c>
      <x:c r="K28" s="25" t="str">
        <x:f>IF(B28="","",IFERROR(VLOOKUP(B28,'04 Assessment Log'!$A$6:$AE$155,16,FALSE),""))</x:f>
      </x:c>
      <x:c r="L28" s="25" t="str">
        <x:f>IF(B28="","",IFERROR(VLOOKUP(B28,'04 Assessment Log'!$A$6:$AE$155,18,FALSE),""))</x:f>
      </x:c>
      <x:c r="M28" s="24"/>
      <x:c r="N28" s="27"/>
      <x:c r="O28" s="27"/>
      <x:c r="P28" s="24"/>
      <x:c r="Q28" s="24"/>
      <x:c r="R28" s="24"/>
      <x:c r="S28" s="26"/>
      <x:c r="T28" s="26"/>
      <x:c r="U28" s="24"/>
      <x:c r="V28" s="26"/>
      <x:c r="W28" s="27"/>
      <x:c r="X28" s="26"/>
      <x:c r="Y28" s="24"/>
      <x:c r="Z28" s="25" t="str">
        <x:f>IF(Y28="","",IFERROR(VLOOKUP(Y28,'04 Assessment Log'!$A$6:$AE$155,15,FALSE),"Assessment not found"))</x:f>
      </x:c>
      <x:c r="AA28" s="25" t="str">
        <x:f>IF(OR(J28="",Z28=""),"",Z28-J28)</x:f>
      </x:c>
      <x:c r="AB28" s="25" t="str">
        <x:f>IF(A28="","",IF(U28="Cancelled","Cancelled",IF(U28&lt;&gt;"Completed","Open",IF(Y28="","Pending Reassessment",IF(Z28&gt;=I28,"Closed — Competent","Further Action Required")))))</x:f>
      </x:c>
      <x:c r="AC28" s="25" t="str">
        <x:f>IF(OR(A28="",T28=""),"",IF(OR(U28="Completed",U28="Cancelled"),0,MAX(TODAY()-T28,0)))</x:f>
      </x:c>
      <x:c r="AD28" s="24"/>
    </x:row>
    <x:row r="29">
      <x:c r="A29" s="24"/>
      <x:c r="B29" s="24"/>
      <x:c r="C29" s="25" t="str">
        <x:f>IF(B29="","",IFERROR(VLOOKUP(B29,'04 Assessment Log'!$A$6:$AE$155,4,FALSE),"Assessment not found"))</x:f>
      </x:c>
      <x:c r="D29" s="25" t="str">
        <x:f>IF(C29="","",IFERROR(VLOOKUP(C29,'01 Staff Master'!$A$6:$M$105,2,FALSE),""))</x:f>
      </x:c>
      <x:c r="E29" s="25" t="str">
        <x:f>IF(B29="","",IFERROR(VLOOKUP(B29,'04 Assessment Log'!$A$6:$AE$155,6,FALSE),""))</x:f>
      </x:c>
      <x:c r="F29" s="25" t="str">
        <x:f>IF(B29="","",IFERROR(VLOOKUP(B29,'04 Assessment Log'!$A$6:$AE$155,7,FALSE),""))</x:f>
      </x:c>
      <x:c r="G29" s="25" t="str">
        <x:f>IF(B29="","",IFERROR(VLOOKUP(B29,'04 Assessment Log'!$A$6:$AE$155,10,FALSE),""))</x:f>
      </x:c>
      <x:c r="H29" s="25" t="str">
        <x:f>IF(G29="","",IFERROR(VLOOKUP(G29,'02 Skill Catalogue'!$A$6:$K$95,4,FALSE),""))</x:f>
      </x:c>
      <x:c r="I29" s="25" t="str">
        <x:f>IF(B29="","",IFERROR(VLOOKUP(B29,'04 Assessment Log'!$A$6:$AE$155,14,FALSE),""))</x:f>
      </x:c>
      <x:c r="J29" s="25" t="str">
        <x:f>IF(B29="","",IFERROR(VLOOKUP(B29,'04 Assessment Log'!$A$6:$AE$155,15,FALSE),""))</x:f>
      </x:c>
      <x:c r="K29" s="25" t="str">
        <x:f>IF(B29="","",IFERROR(VLOOKUP(B29,'04 Assessment Log'!$A$6:$AE$155,16,FALSE),""))</x:f>
      </x:c>
      <x:c r="L29" s="25" t="str">
        <x:f>IF(B29="","",IFERROR(VLOOKUP(B29,'04 Assessment Log'!$A$6:$AE$155,18,FALSE),""))</x:f>
      </x:c>
      <x:c r="M29" s="24"/>
      <x:c r="N29" s="27"/>
      <x:c r="O29" s="27"/>
      <x:c r="P29" s="24"/>
      <x:c r="Q29" s="24"/>
      <x:c r="R29" s="24"/>
      <x:c r="S29" s="26"/>
      <x:c r="T29" s="26"/>
      <x:c r="U29" s="24"/>
      <x:c r="V29" s="26"/>
      <x:c r="W29" s="27"/>
      <x:c r="X29" s="26"/>
      <x:c r="Y29" s="24"/>
      <x:c r="Z29" s="25" t="str">
        <x:f>IF(Y29="","",IFERROR(VLOOKUP(Y29,'04 Assessment Log'!$A$6:$AE$155,15,FALSE),"Assessment not found"))</x:f>
      </x:c>
      <x:c r="AA29" s="25" t="str">
        <x:f>IF(OR(J29="",Z29=""),"",Z29-J29)</x:f>
      </x:c>
      <x:c r="AB29" s="25" t="str">
        <x:f>IF(A29="","",IF(U29="Cancelled","Cancelled",IF(U29&lt;&gt;"Completed","Open",IF(Y29="","Pending Reassessment",IF(Z29&gt;=I29,"Closed — Competent","Further Action Required")))))</x:f>
      </x:c>
      <x:c r="AC29" s="25" t="str">
        <x:f>IF(OR(A29="",T29=""),"",IF(OR(U29="Completed",U29="Cancelled"),0,MAX(TODAY()-T29,0)))</x:f>
      </x:c>
      <x:c r="AD29" s="24"/>
    </x:row>
    <x:row r="30">
      <x:c r="A30" s="24"/>
      <x:c r="B30" s="24"/>
      <x:c r="C30" s="25" t="str">
        <x:f>IF(B30="","",IFERROR(VLOOKUP(B30,'04 Assessment Log'!$A$6:$AE$155,4,FALSE),"Assessment not found"))</x:f>
      </x:c>
      <x:c r="D30" s="25" t="str">
        <x:f>IF(C30="","",IFERROR(VLOOKUP(C30,'01 Staff Master'!$A$6:$M$105,2,FALSE),""))</x:f>
      </x:c>
      <x:c r="E30" s="25" t="str">
        <x:f>IF(B30="","",IFERROR(VLOOKUP(B30,'04 Assessment Log'!$A$6:$AE$155,6,FALSE),""))</x:f>
      </x:c>
      <x:c r="F30" s="25" t="str">
        <x:f>IF(B30="","",IFERROR(VLOOKUP(B30,'04 Assessment Log'!$A$6:$AE$155,7,FALSE),""))</x:f>
      </x:c>
      <x:c r="G30" s="25" t="str">
        <x:f>IF(B30="","",IFERROR(VLOOKUP(B30,'04 Assessment Log'!$A$6:$AE$155,10,FALSE),""))</x:f>
      </x:c>
      <x:c r="H30" s="25" t="str">
        <x:f>IF(G30="","",IFERROR(VLOOKUP(G30,'02 Skill Catalogue'!$A$6:$K$95,4,FALSE),""))</x:f>
      </x:c>
      <x:c r="I30" s="25" t="str">
        <x:f>IF(B30="","",IFERROR(VLOOKUP(B30,'04 Assessment Log'!$A$6:$AE$155,14,FALSE),""))</x:f>
      </x:c>
      <x:c r="J30" s="25" t="str">
        <x:f>IF(B30="","",IFERROR(VLOOKUP(B30,'04 Assessment Log'!$A$6:$AE$155,15,FALSE),""))</x:f>
      </x:c>
      <x:c r="K30" s="25" t="str">
        <x:f>IF(B30="","",IFERROR(VLOOKUP(B30,'04 Assessment Log'!$A$6:$AE$155,16,FALSE),""))</x:f>
      </x:c>
      <x:c r="L30" s="25" t="str">
        <x:f>IF(B30="","",IFERROR(VLOOKUP(B30,'04 Assessment Log'!$A$6:$AE$155,18,FALSE),""))</x:f>
      </x:c>
      <x:c r="M30" s="24"/>
      <x:c r="N30" s="27"/>
      <x:c r="O30" s="27"/>
      <x:c r="P30" s="24"/>
      <x:c r="Q30" s="24"/>
      <x:c r="R30" s="24"/>
      <x:c r="S30" s="26"/>
      <x:c r="T30" s="26"/>
      <x:c r="U30" s="24"/>
      <x:c r="V30" s="26"/>
      <x:c r="W30" s="27"/>
      <x:c r="X30" s="26"/>
      <x:c r="Y30" s="24"/>
      <x:c r="Z30" s="25" t="str">
        <x:f>IF(Y30="","",IFERROR(VLOOKUP(Y30,'04 Assessment Log'!$A$6:$AE$155,15,FALSE),"Assessment not found"))</x:f>
      </x:c>
      <x:c r="AA30" s="25" t="str">
        <x:f>IF(OR(J30="",Z30=""),"",Z30-J30)</x:f>
      </x:c>
      <x:c r="AB30" s="25" t="str">
        <x:f>IF(A30="","",IF(U30="Cancelled","Cancelled",IF(U30&lt;&gt;"Completed","Open",IF(Y30="","Pending Reassessment",IF(Z30&gt;=I30,"Closed — Competent","Further Action Required")))))</x:f>
      </x:c>
      <x:c r="AC30" s="25" t="str">
        <x:f>IF(OR(A30="",T30=""),"",IF(OR(U30="Completed",U30="Cancelled"),0,MAX(TODAY()-T30,0)))</x:f>
      </x:c>
      <x:c r="AD30" s="24"/>
    </x:row>
    <x:row r="31">
      <x:c r="A31" s="24"/>
      <x:c r="B31" s="24"/>
      <x:c r="C31" s="25" t="str">
        <x:f>IF(B31="","",IFERROR(VLOOKUP(B31,'04 Assessment Log'!$A$6:$AE$155,4,FALSE),"Assessment not found"))</x:f>
      </x:c>
      <x:c r="D31" s="25" t="str">
        <x:f>IF(C31="","",IFERROR(VLOOKUP(C31,'01 Staff Master'!$A$6:$M$105,2,FALSE),""))</x:f>
      </x:c>
      <x:c r="E31" s="25" t="str">
        <x:f>IF(B31="","",IFERROR(VLOOKUP(B31,'04 Assessment Log'!$A$6:$AE$155,6,FALSE),""))</x:f>
      </x:c>
      <x:c r="F31" s="25" t="str">
        <x:f>IF(B31="","",IFERROR(VLOOKUP(B31,'04 Assessment Log'!$A$6:$AE$155,7,FALSE),""))</x:f>
      </x:c>
      <x:c r="G31" s="25" t="str">
        <x:f>IF(B31="","",IFERROR(VLOOKUP(B31,'04 Assessment Log'!$A$6:$AE$155,10,FALSE),""))</x:f>
      </x:c>
      <x:c r="H31" s="25" t="str">
        <x:f>IF(G31="","",IFERROR(VLOOKUP(G31,'02 Skill Catalogue'!$A$6:$K$95,4,FALSE),""))</x:f>
      </x:c>
      <x:c r="I31" s="25" t="str">
        <x:f>IF(B31="","",IFERROR(VLOOKUP(B31,'04 Assessment Log'!$A$6:$AE$155,14,FALSE),""))</x:f>
      </x:c>
      <x:c r="J31" s="25" t="str">
        <x:f>IF(B31="","",IFERROR(VLOOKUP(B31,'04 Assessment Log'!$A$6:$AE$155,15,FALSE),""))</x:f>
      </x:c>
      <x:c r="K31" s="25" t="str">
        <x:f>IF(B31="","",IFERROR(VLOOKUP(B31,'04 Assessment Log'!$A$6:$AE$155,16,FALSE),""))</x:f>
      </x:c>
      <x:c r="L31" s="25" t="str">
        <x:f>IF(B31="","",IFERROR(VLOOKUP(B31,'04 Assessment Log'!$A$6:$AE$155,18,FALSE),""))</x:f>
      </x:c>
      <x:c r="M31" s="24"/>
      <x:c r="N31" s="27"/>
      <x:c r="O31" s="27"/>
      <x:c r="P31" s="24"/>
      <x:c r="Q31" s="24"/>
      <x:c r="R31" s="24"/>
      <x:c r="S31" s="26"/>
      <x:c r="T31" s="26"/>
      <x:c r="U31" s="24"/>
      <x:c r="V31" s="26"/>
      <x:c r="W31" s="27"/>
      <x:c r="X31" s="26"/>
      <x:c r="Y31" s="24"/>
      <x:c r="Z31" s="25" t="str">
        <x:f>IF(Y31="","",IFERROR(VLOOKUP(Y31,'04 Assessment Log'!$A$6:$AE$155,15,FALSE),"Assessment not found"))</x:f>
      </x:c>
      <x:c r="AA31" s="25" t="str">
        <x:f>IF(OR(J31="",Z31=""),"",Z31-J31)</x:f>
      </x:c>
      <x:c r="AB31" s="25" t="str">
        <x:f>IF(A31="","",IF(U31="Cancelled","Cancelled",IF(U31&lt;&gt;"Completed","Open",IF(Y31="","Pending Reassessment",IF(Z31&gt;=I31,"Closed — Competent","Further Action Required")))))</x:f>
      </x:c>
      <x:c r="AC31" s="25" t="str">
        <x:f>IF(OR(A31="",T31=""),"",IF(OR(U31="Completed",U31="Cancelled"),0,MAX(TODAY()-T31,0)))</x:f>
      </x:c>
      <x:c r="AD31" s="24"/>
    </x:row>
    <x:row r="32">
      <x:c r="A32" s="24"/>
      <x:c r="B32" s="24"/>
      <x:c r="C32" s="25" t="str">
        <x:f>IF(B32="","",IFERROR(VLOOKUP(B32,'04 Assessment Log'!$A$6:$AE$155,4,FALSE),"Assessment not found"))</x:f>
      </x:c>
      <x:c r="D32" s="25" t="str">
        <x:f>IF(C32="","",IFERROR(VLOOKUP(C32,'01 Staff Master'!$A$6:$M$105,2,FALSE),""))</x:f>
      </x:c>
      <x:c r="E32" s="25" t="str">
        <x:f>IF(B32="","",IFERROR(VLOOKUP(B32,'04 Assessment Log'!$A$6:$AE$155,6,FALSE),""))</x:f>
      </x:c>
      <x:c r="F32" s="25" t="str">
        <x:f>IF(B32="","",IFERROR(VLOOKUP(B32,'04 Assessment Log'!$A$6:$AE$155,7,FALSE),""))</x:f>
      </x:c>
      <x:c r="G32" s="25" t="str">
        <x:f>IF(B32="","",IFERROR(VLOOKUP(B32,'04 Assessment Log'!$A$6:$AE$155,10,FALSE),""))</x:f>
      </x:c>
      <x:c r="H32" s="25" t="str">
        <x:f>IF(G32="","",IFERROR(VLOOKUP(G32,'02 Skill Catalogue'!$A$6:$K$95,4,FALSE),""))</x:f>
      </x:c>
      <x:c r="I32" s="25" t="str">
        <x:f>IF(B32="","",IFERROR(VLOOKUP(B32,'04 Assessment Log'!$A$6:$AE$155,14,FALSE),""))</x:f>
      </x:c>
      <x:c r="J32" s="25" t="str">
        <x:f>IF(B32="","",IFERROR(VLOOKUP(B32,'04 Assessment Log'!$A$6:$AE$155,15,FALSE),""))</x:f>
      </x:c>
      <x:c r="K32" s="25" t="str">
        <x:f>IF(B32="","",IFERROR(VLOOKUP(B32,'04 Assessment Log'!$A$6:$AE$155,16,FALSE),""))</x:f>
      </x:c>
      <x:c r="L32" s="25" t="str">
        <x:f>IF(B32="","",IFERROR(VLOOKUP(B32,'04 Assessment Log'!$A$6:$AE$155,18,FALSE),""))</x:f>
      </x:c>
      <x:c r="M32" s="24"/>
      <x:c r="N32" s="27"/>
      <x:c r="O32" s="27"/>
      <x:c r="P32" s="24"/>
      <x:c r="Q32" s="24"/>
      <x:c r="R32" s="24"/>
      <x:c r="S32" s="26"/>
      <x:c r="T32" s="26"/>
      <x:c r="U32" s="24"/>
      <x:c r="V32" s="26"/>
      <x:c r="W32" s="27"/>
      <x:c r="X32" s="26"/>
      <x:c r="Y32" s="24"/>
      <x:c r="Z32" s="25" t="str">
        <x:f>IF(Y32="","",IFERROR(VLOOKUP(Y32,'04 Assessment Log'!$A$6:$AE$155,15,FALSE),"Assessment not found"))</x:f>
      </x:c>
      <x:c r="AA32" s="25" t="str">
        <x:f>IF(OR(J32="",Z32=""),"",Z32-J32)</x:f>
      </x:c>
      <x:c r="AB32" s="25" t="str">
        <x:f>IF(A32="","",IF(U32="Cancelled","Cancelled",IF(U32&lt;&gt;"Completed","Open",IF(Y32="","Pending Reassessment",IF(Z32&gt;=I32,"Closed — Competent","Further Action Required")))))</x:f>
      </x:c>
      <x:c r="AC32" s="25" t="str">
        <x:f>IF(OR(A32="",T32=""),"",IF(OR(U32="Completed",U32="Cancelled"),0,MAX(TODAY()-T32,0)))</x:f>
      </x:c>
      <x:c r="AD32" s="24"/>
    </x:row>
    <x:row r="33">
      <x:c r="A33" s="24"/>
      <x:c r="B33" s="24"/>
      <x:c r="C33" s="25" t="str">
        <x:f>IF(B33="","",IFERROR(VLOOKUP(B33,'04 Assessment Log'!$A$6:$AE$155,4,FALSE),"Assessment not found"))</x:f>
      </x:c>
      <x:c r="D33" s="25" t="str">
        <x:f>IF(C33="","",IFERROR(VLOOKUP(C33,'01 Staff Master'!$A$6:$M$105,2,FALSE),""))</x:f>
      </x:c>
      <x:c r="E33" s="25" t="str">
        <x:f>IF(B33="","",IFERROR(VLOOKUP(B33,'04 Assessment Log'!$A$6:$AE$155,6,FALSE),""))</x:f>
      </x:c>
      <x:c r="F33" s="25" t="str">
        <x:f>IF(B33="","",IFERROR(VLOOKUP(B33,'04 Assessment Log'!$A$6:$AE$155,7,FALSE),""))</x:f>
      </x:c>
      <x:c r="G33" s="25" t="str">
        <x:f>IF(B33="","",IFERROR(VLOOKUP(B33,'04 Assessment Log'!$A$6:$AE$155,10,FALSE),""))</x:f>
      </x:c>
      <x:c r="H33" s="25" t="str">
        <x:f>IF(G33="","",IFERROR(VLOOKUP(G33,'02 Skill Catalogue'!$A$6:$K$95,4,FALSE),""))</x:f>
      </x:c>
      <x:c r="I33" s="25" t="str">
        <x:f>IF(B33="","",IFERROR(VLOOKUP(B33,'04 Assessment Log'!$A$6:$AE$155,14,FALSE),""))</x:f>
      </x:c>
      <x:c r="J33" s="25" t="str">
        <x:f>IF(B33="","",IFERROR(VLOOKUP(B33,'04 Assessment Log'!$A$6:$AE$155,15,FALSE),""))</x:f>
      </x:c>
      <x:c r="K33" s="25" t="str">
        <x:f>IF(B33="","",IFERROR(VLOOKUP(B33,'04 Assessment Log'!$A$6:$AE$155,16,FALSE),""))</x:f>
      </x:c>
      <x:c r="L33" s="25" t="str">
        <x:f>IF(B33="","",IFERROR(VLOOKUP(B33,'04 Assessment Log'!$A$6:$AE$155,18,FALSE),""))</x:f>
      </x:c>
      <x:c r="M33" s="24"/>
      <x:c r="N33" s="27"/>
      <x:c r="O33" s="27"/>
      <x:c r="P33" s="24"/>
      <x:c r="Q33" s="24"/>
      <x:c r="R33" s="24"/>
      <x:c r="S33" s="26"/>
      <x:c r="T33" s="26"/>
      <x:c r="U33" s="24"/>
      <x:c r="V33" s="26"/>
      <x:c r="W33" s="27"/>
      <x:c r="X33" s="26"/>
      <x:c r="Y33" s="24"/>
      <x:c r="Z33" s="25" t="str">
        <x:f>IF(Y33="","",IFERROR(VLOOKUP(Y33,'04 Assessment Log'!$A$6:$AE$155,15,FALSE),"Assessment not found"))</x:f>
      </x:c>
      <x:c r="AA33" s="25" t="str">
        <x:f>IF(OR(J33="",Z33=""),"",Z33-J33)</x:f>
      </x:c>
      <x:c r="AB33" s="25" t="str">
        <x:f>IF(A33="","",IF(U33="Cancelled","Cancelled",IF(U33&lt;&gt;"Completed","Open",IF(Y33="","Pending Reassessment",IF(Z33&gt;=I33,"Closed — Competent","Further Action Required")))))</x:f>
      </x:c>
      <x:c r="AC33" s="25" t="str">
        <x:f>IF(OR(A33="",T33=""),"",IF(OR(U33="Completed",U33="Cancelled"),0,MAX(TODAY()-T33,0)))</x:f>
      </x:c>
      <x:c r="AD33" s="24"/>
    </x:row>
    <x:row r="34">
      <x:c r="A34" s="24"/>
      <x:c r="B34" s="24"/>
      <x:c r="C34" s="25" t="str">
        <x:f>IF(B34="","",IFERROR(VLOOKUP(B34,'04 Assessment Log'!$A$6:$AE$155,4,FALSE),"Assessment not found"))</x:f>
      </x:c>
      <x:c r="D34" s="25" t="str">
        <x:f>IF(C34="","",IFERROR(VLOOKUP(C34,'01 Staff Master'!$A$6:$M$105,2,FALSE),""))</x:f>
      </x:c>
      <x:c r="E34" s="25" t="str">
        <x:f>IF(B34="","",IFERROR(VLOOKUP(B34,'04 Assessment Log'!$A$6:$AE$155,6,FALSE),""))</x:f>
      </x:c>
      <x:c r="F34" s="25" t="str">
        <x:f>IF(B34="","",IFERROR(VLOOKUP(B34,'04 Assessment Log'!$A$6:$AE$155,7,FALSE),""))</x:f>
      </x:c>
      <x:c r="G34" s="25" t="str">
        <x:f>IF(B34="","",IFERROR(VLOOKUP(B34,'04 Assessment Log'!$A$6:$AE$155,10,FALSE),""))</x:f>
      </x:c>
      <x:c r="H34" s="25" t="str">
        <x:f>IF(G34="","",IFERROR(VLOOKUP(G34,'02 Skill Catalogue'!$A$6:$K$95,4,FALSE),""))</x:f>
      </x:c>
      <x:c r="I34" s="25" t="str">
        <x:f>IF(B34="","",IFERROR(VLOOKUP(B34,'04 Assessment Log'!$A$6:$AE$155,14,FALSE),""))</x:f>
      </x:c>
      <x:c r="J34" s="25" t="str">
        <x:f>IF(B34="","",IFERROR(VLOOKUP(B34,'04 Assessment Log'!$A$6:$AE$155,15,FALSE),""))</x:f>
      </x:c>
      <x:c r="K34" s="25" t="str">
        <x:f>IF(B34="","",IFERROR(VLOOKUP(B34,'04 Assessment Log'!$A$6:$AE$155,16,FALSE),""))</x:f>
      </x:c>
      <x:c r="L34" s="25" t="str">
        <x:f>IF(B34="","",IFERROR(VLOOKUP(B34,'04 Assessment Log'!$A$6:$AE$155,18,FALSE),""))</x:f>
      </x:c>
      <x:c r="M34" s="24"/>
      <x:c r="N34" s="27"/>
      <x:c r="O34" s="27"/>
      <x:c r="P34" s="24"/>
      <x:c r="Q34" s="24"/>
      <x:c r="R34" s="24"/>
      <x:c r="S34" s="26"/>
      <x:c r="T34" s="26"/>
      <x:c r="U34" s="24"/>
      <x:c r="V34" s="26"/>
      <x:c r="W34" s="27"/>
      <x:c r="X34" s="26"/>
      <x:c r="Y34" s="24"/>
      <x:c r="Z34" s="25" t="str">
        <x:f>IF(Y34="","",IFERROR(VLOOKUP(Y34,'04 Assessment Log'!$A$6:$AE$155,15,FALSE),"Assessment not found"))</x:f>
      </x:c>
      <x:c r="AA34" s="25" t="str">
        <x:f>IF(OR(J34="",Z34=""),"",Z34-J34)</x:f>
      </x:c>
      <x:c r="AB34" s="25" t="str">
        <x:f>IF(A34="","",IF(U34="Cancelled","Cancelled",IF(U34&lt;&gt;"Completed","Open",IF(Y34="","Pending Reassessment",IF(Z34&gt;=I34,"Closed — Competent","Further Action Required")))))</x:f>
      </x:c>
      <x:c r="AC34" s="25" t="str">
        <x:f>IF(OR(A34="",T34=""),"",IF(OR(U34="Completed",U34="Cancelled"),0,MAX(TODAY()-T34,0)))</x:f>
      </x:c>
      <x:c r="AD34" s="24"/>
    </x:row>
    <x:row r="35">
      <x:c r="A35" s="24"/>
      <x:c r="B35" s="24"/>
      <x:c r="C35" s="25" t="str">
        <x:f>IF(B35="","",IFERROR(VLOOKUP(B35,'04 Assessment Log'!$A$6:$AE$155,4,FALSE),"Assessment not found"))</x:f>
      </x:c>
      <x:c r="D35" s="25" t="str">
        <x:f>IF(C35="","",IFERROR(VLOOKUP(C35,'01 Staff Master'!$A$6:$M$105,2,FALSE),""))</x:f>
      </x:c>
      <x:c r="E35" s="25" t="str">
        <x:f>IF(B35="","",IFERROR(VLOOKUP(B35,'04 Assessment Log'!$A$6:$AE$155,6,FALSE),""))</x:f>
      </x:c>
      <x:c r="F35" s="25" t="str">
        <x:f>IF(B35="","",IFERROR(VLOOKUP(B35,'04 Assessment Log'!$A$6:$AE$155,7,FALSE),""))</x:f>
      </x:c>
      <x:c r="G35" s="25" t="str">
        <x:f>IF(B35="","",IFERROR(VLOOKUP(B35,'04 Assessment Log'!$A$6:$AE$155,10,FALSE),""))</x:f>
      </x:c>
      <x:c r="H35" s="25" t="str">
        <x:f>IF(G35="","",IFERROR(VLOOKUP(G35,'02 Skill Catalogue'!$A$6:$K$95,4,FALSE),""))</x:f>
      </x:c>
      <x:c r="I35" s="25" t="str">
        <x:f>IF(B35="","",IFERROR(VLOOKUP(B35,'04 Assessment Log'!$A$6:$AE$155,14,FALSE),""))</x:f>
      </x:c>
      <x:c r="J35" s="25" t="str">
        <x:f>IF(B35="","",IFERROR(VLOOKUP(B35,'04 Assessment Log'!$A$6:$AE$155,15,FALSE),""))</x:f>
      </x:c>
      <x:c r="K35" s="25" t="str">
        <x:f>IF(B35="","",IFERROR(VLOOKUP(B35,'04 Assessment Log'!$A$6:$AE$155,16,FALSE),""))</x:f>
      </x:c>
      <x:c r="L35" s="25" t="str">
        <x:f>IF(B35="","",IFERROR(VLOOKUP(B35,'04 Assessment Log'!$A$6:$AE$155,18,FALSE),""))</x:f>
      </x:c>
      <x:c r="M35" s="24"/>
      <x:c r="N35" s="27"/>
      <x:c r="O35" s="27"/>
      <x:c r="P35" s="24"/>
      <x:c r="Q35" s="24"/>
      <x:c r="R35" s="24"/>
      <x:c r="S35" s="26"/>
      <x:c r="T35" s="26"/>
      <x:c r="U35" s="24"/>
      <x:c r="V35" s="26"/>
      <x:c r="W35" s="27"/>
      <x:c r="X35" s="26"/>
      <x:c r="Y35" s="24"/>
      <x:c r="Z35" s="25" t="str">
        <x:f>IF(Y35="","",IFERROR(VLOOKUP(Y35,'04 Assessment Log'!$A$6:$AE$155,15,FALSE),"Assessment not found"))</x:f>
      </x:c>
      <x:c r="AA35" s="25" t="str">
        <x:f>IF(OR(J35="",Z35=""),"",Z35-J35)</x:f>
      </x:c>
      <x:c r="AB35" s="25" t="str">
        <x:f>IF(A35="","",IF(U35="Cancelled","Cancelled",IF(U35&lt;&gt;"Completed","Open",IF(Y35="","Pending Reassessment",IF(Z35&gt;=I35,"Closed — Competent","Further Action Required")))))</x:f>
      </x:c>
      <x:c r="AC35" s="25" t="str">
        <x:f>IF(OR(A35="",T35=""),"",IF(OR(U35="Completed",U35="Cancelled"),0,MAX(TODAY()-T35,0)))</x:f>
      </x:c>
      <x:c r="AD35" s="24"/>
    </x:row>
    <x:row r="36">
      <x:c r="A36" s="24"/>
      <x:c r="B36" s="24"/>
      <x:c r="C36" s="25" t="str">
        <x:f>IF(B36="","",IFERROR(VLOOKUP(B36,'04 Assessment Log'!$A$6:$AE$155,4,FALSE),"Assessment not found"))</x:f>
      </x:c>
      <x:c r="D36" s="25" t="str">
        <x:f>IF(C36="","",IFERROR(VLOOKUP(C36,'01 Staff Master'!$A$6:$M$105,2,FALSE),""))</x:f>
      </x:c>
      <x:c r="E36" s="25" t="str">
        <x:f>IF(B36="","",IFERROR(VLOOKUP(B36,'04 Assessment Log'!$A$6:$AE$155,6,FALSE),""))</x:f>
      </x:c>
      <x:c r="F36" s="25" t="str">
        <x:f>IF(B36="","",IFERROR(VLOOKUP(B36,'04 Assessment Log'!$A$6:$AE$155,7,FALSE),""))</x:f>
      </x:c>
      <x:c r="G36" s="25" t="str">
        <x:f>IF(B36="","",IFERROR(VLOOKUP(B36,'04 Assessment Log'!$A$6:$AE$155,10,FALSE),""))</x:f>
      </x:c>
      <x:c r="H36" s="25" t="str">
        <x:f>IF(G36="","",IFERROR(VLOOKUP(G36,'02 Skill Catalogue'!$A$6:$K$95,4,FALSE),""))</x:f>
      </x:c>
      <x:c r="I36" s="25" t="str">
        <x:f>IF(B36="","",IFERROR(VLOOKUP(B36,'04 Assessment Log'!$A$6:$AE$155,14,FALSE),""))</x:f>
      </x:c>
      <x:c r="J36" s="25" t="str">
        <x:f>IF(B36="","",IFERROR(VLOOKUP(B36,'04 Assessment Log'!$A$6:$AE$155,15,FALSE),""))</x:f>
      </x:c>
      <x:c r="K36" s="25" t="str">
        <x:f>IF(B36="","",IFERROR(VLOOKUP(B36,'04 Assessment Log'!$A$6:$AE$155,16,FALSE),""))</x:f>
      </x:c>
      <x:c r="L36" s="25" t="str">
        <x:f>IF(B36="","",IFERROR(VLOOKUP(B36,'04 Assessment Log'!$A$6:$AE$155,18,FALSE),""))</x:f>
      </x:c>
      <x:c r="M36" s="24"/>
      <x:c r="N36" s="27"/>
      <x:c r="O36" s="27"/>
      <x:c r="P36" s="24"/>
      <x:c r="Q36" s="24"/>
      <x:c r="R36" s="24"/>
      <x:c r="S36" s="26"/>
      <x:c r="T36" s="26"/>
      <x:c r="U36" s="24"/>
      <x:c r="V36" s="26"/>
      <x:c r="W36" s="27"/>
      <x:c r="X36" s="26"/>
      <x:c r="Y36" s="24"/>
      <x:c r="Z36" s="25" t="str">
        <x:f>IF(Y36="","",IFERROR(VLOOKUP(Y36,'04 Assessment Log'!$A$6:$AE$155,15,FALSE),"Assessment not found"))</x:f>
      </x:c>
      <x:c r="AA36" s="25" t="str">
        <x:f>IF(OR(J36="",Z36=""),"",Z36-J36)</x:f>
      </x:c>
      <x:c r="AB36" s="25" t="str">
        <x:f>IF(A36="","",IF(U36="Cancelled","Cancelled",IF(U36&lt;&gt;"Completed","Open",IF(Y36="","Pending Reassessment",IF(Z36&gt;=I36,"Closed — Competent","Further Action Required")))))</x:f>
      </x:c>
      <x:c r="AC36" s="25" t="str">
        <x:f>IF(OR(A36="",T36=""),"",IF(OR(U36="Completed",U36="Cancelled"),0,MAX(TODAY()-T36,0)))</x:f>
      </x:c>
      <x:c r="AD36" s="24"/>
    </x:row>
    <x:row r="37">
      <x:c r="A37" s="24"/>
      <x:c r="B37" s="24"/>
      <x:c r="C37" s="25" t="str">
        <x:f>IF(B37="","",IFERROR(VLOOKUP(B37,'04 Assessment Log'!$A$6:$AE$155,4,FALSE),"Assessment not found"))</x:f>
      </x:c>
      <x:c r="D37" s="25" t="str">
        <x:f>IF(C37="","",IFERROR(VLOOKUP(C37,'01 Staff Master'!$A$6:$M$105,2,FALSE),""))</x:f>
      </x:c>
      <x:c r="E37" s="25" t="str">
        <x:f>IF(B37="","",IFERROR(VLOOKUP(B37,'04 Assessment Log'!$A$6:$AE$155,6,FALSE),""))</x:f>
      </x:c>
      <x:c r="F37" s="25" t="str">
        <x:f>IF(B37="","",IFERROR(VLOOKUP(B37,'04 Assessment Log'!$A$6:$AE$155,7,FALSE),""))</x:f>
      </x:c>
      <x:c r="G37" s="25" t="str">
        <x:f>IF(B37="","",IFERROR(VLOOKUP(B37,'04 Assessment Log'!$A$6:$AE$155,10,FALSE),""))</x:f>
      </x:c>
      <x:c r="H37" s="25" t="str">
        <x:f>IF(G37="","",IFERROR(VLOOKUP(G37,'02 Skill Catalogue'!$A$6:$K$95,4,FALSE),""))</x:f>
      </x:c>
      <x:c r="I37" s="25" t="str">
        <x:f>IF(B37="","",IFERROR(VLOOKUP(B37,'04 Assessment Log'!$A$6:$AE$155,14,FALSE),""))</x:f>
      </x:c>
      <x:c r="J37" s="25" t="str">
        <x:f>IF(B37="","",IFERROR(VLOOKUP(B37,'04 Assessment Log'!$A$6:$AE$155,15,FALSE),""))</x:f>
      </x:c>
      <x:c r="K37" s="25" t="str">
        <x:f>IF(B37="","",IFERROR(VLOOKUP(B37,'04 Assessment Log'!$A$6:$AE$155,16,FALSE),""))</x:f>
      </x:c>
      <x:c r="L37" s="25" t="str">
        <x:f>IF(B37="","",IFERROR(VLOOKUP(B37,'04 Assessment Log'!$A$6:$AE$155,18,FALSE),""))</x:f>
      </x:c>
      <x:c r="M37" s="24"/>
      <x:c r="N37" s="27"/>
      <x:c r="O37" s="27"/>
      <x:c r="P37" s="24"/>
      <x:c r="Q37" s="24"/>
      <x:c r="R37" s="24"/>
      <x:c r="S37" s="26"/>
      <x:c r="T37" s="26"/>
      <x:c r="U37" s="24"/>
      <x:c r="V37" s="26"/>
      <x:c r="W37" s="27"/>
      <x:c r="X37" s="26"/>
      <x:c r="Y37" s="24"/>
      <x:c r="Z37" s="25" t="str">
        <x:f>IF(Y37="","",IFERROR(VLOOKUP(Y37,'04 Assessment Log'!$A$6:$AE$155,15,FALSE),"Assessment not found"))</x:f>
      </x:c>
      <x:c r="AA37" s="25" t="str">
        <x:f>IF(OR(J37="",Z37=""),"",Z37-J37)</x:f>
      </x:c>
      <x:c r="AB37" s="25" t="str">
        <x:f>IF(A37="","",IF(U37="Cancelled","Cancelled",IF(U37&lt;&gt;"Completed","Open",IF(Y37="","Pending Reassessment",IF(Z37&gt;=I37,"Closed — Competent","Further Action Required")))))</x:f>
      </x:c>
      <x:c r="AC37" s="25" t="str">
        <x:f>IF(OR(A37="",T37=""),"",IF(OR(U37="Completed",U37="Cancelled"),0,MAX(TODAY()-T37,0)))</x:f>
      </x:c>
      <x:c r="AD37" s="24"/>
    </x:row>
    <x:row r="38">
      <x:c r="A38" s="24"/>
      <x:c r="B38" s="24"/>
      <x:c r="C38" s="25" t="str">
        <x:f>IF(B38="","",IFERROR(VLOOKUP(B38,'04 Assessment Log'!$A$6:$AE$155,4,FALSE),"Assessment not found"))</x:f>
      </x:c>
      <x:c r="D38" s="25" t="str">
        <x:f>IF(C38="","",IFERROR(VLOOKUP(C38,'01 Staff Master'!$A$6:$M$105,2,FALSE),""))</x:f>
      </x:c>
      <x:c r="E38" s="25" t="str">
        <x:f>IF(B38="","",IFERROR(VLOOKUP(B38,'04 Assessment Log'!$A$6:$AE$155,6,FALSE),""))</x:f>
      </x:c>
      <x:c r="F38" s="25" t="str">
        <x:f>IF(B38="","",IFERROR(VLOOKUP(B38,'04 Assessment Log'!$A$6:$AE$155,7,FALSE),""))</x:f>
      </x:c>
      <x:c r="G38" s="25" t="str">
        <x:f>IF(B38="","",IFERROR(VLOOKUP(B38,'04 Assessment Log'!$A$6:$AE$155,10,FALSE),""))</x:f>
      </x:c>
      <x:c r="H38" s="25" t="str">
        <x:f>IF(G38="","",IFERROR(VLOOKUP(G38,'02 Skill Catalogue'!$A$6:$K$95,4,FALSE),""))</x:f>
      </x:c>
      <x:c r="I38" s="25" t="str">
        <x:f>IF(B38="","",IFERROR(VLOOKUP(B38,'04 Assessment Log'!$A$6:$AE$155,14,FALSE),""))</x:f>
      </x:c>
      <x:c r="J38" s="25" t="str">
        <x:f>IF(B38="","",IFERROR(VLOOKUP(B38,'04 Assessment Log'!$A$6:$AE$155,15,FALSE),""))</x:f>
      </x:c>
      <x:c r="K38" s="25" t="str">
        <x:f>IF(B38="","",IFERROR(VLOOKUP(B38,'04 Assessment Log'!$A$6:$AE$155,16,FALSE),""))</x:f>
      </x:c>
      <x:c r="L38" s="25" t="str">
        <x:f>IF(B38="","",IFERROR(VLOOKUP(B38,'04 Assessment Log'!$A$6:$AE$155,18,FALSE),""))</x:f>
      </x:c>
      <x:c r="M38" s="24"/>
      <x:c r="N38" s="27"/>
      <x:c r="O38" s="27"/>
      <x:c r="P38" s="24"/>
      <x:c r="Q38" s="24"/>
      <x:c r="R38" s="24"/>
      <x:c r="S38" s="26"/>
      <x:c r="T38" s="26"/>
      <x:c r="U38" s="24"/>
      <x:c r="V38" s="26"/>
      <x:c r="W38" s="27"/>
      <x:c r="X38" s="26"/>
      <x:c r="Y38" s="24"/>
      <x:c r="Z38" s="25" t="str">
        <x:f>IF(Y38="","",IFERROR(VLOOKUP(Y38,'04 Assessment Log'!$A$6:$AE$155,15,FALSE),"Assessment not found"))</x:f>
      </x:c>
      <x:c r="AA38" s="25" t="str">
        <x:f>IF(OR(J38="",Z38=""),"",Z38-J38)</x:f>
      </x:c>
      <x:c r="AB38" s="25" t="str">
        <x:f>IF(A38="","",IF(U38="Cancelled","Cancelled",IF(U38&lt;&gt;"Completed","Open",IF(Y38="","Pending Reassessment",IF(Z38&gt;=I38,"Closed — Competent","Further Action Required")))))</x:f>
      </x:c>
      <x:c r="AC38" s="25" t="str">
        <x:f>IF(OR(A38="",T38=""),"",IF(OR(U38="Completed",U38="Cancelled"),0,MAX(TODAY()-T38,0)))</x:f>
      </x:c>
      <x:c r="AD38" s="24"/>
    </x:row>
    <x:row r="39">
      <x:c r="A39" s="24"/>
      <x:c r="B39" s="24"/>
      <x:c r="C39" s="25" t="str">
        <x:f>IF(B39="","",IFERROR(VLOOKUP(B39,'04 Assessment Log'!$A$6:$AE$155,4,FALSE),"Assessment not found"))</x:f>
      </x:c>
      <x:c r="D39" s="25" t="str">
        <x:f>IF(C39="","",IFERROR(VLOOKUP(C39,'01 Staff Master'!$A$6:$M$105,2,FALSE),""))</x:f>
      </x:c>
      <x:c r="E39" s="25" t="str">
        <x:f>IF(B39="","",IFERROR(VLOOKUP(B39,'04 Assessment Log'!$A$6:$AE$155,6,FALSE),""))</x:f>
      </x:c>
      <x:c r="F39" s="25" t="str">
        <x:f>IF(B39="","",IFERROR(VLOOKUP(B39,'04 Assessment Log'!$A$6:$AE$155,7,FALSE),""))</x:f>
      </x:c>
      <x:c r="G39" s="25" t="str">
        <x:f>IF(B39="","",IFERROR(VLOOKUP(B39,'04 Assessment Log'!$A$6:$AE$155,10,FALSE),""))</x:f>
      </x:c>
      <x:c r="H39" s="25" t="str">
        <x:f>IF(G39="","",IFERROR(VLOOKUP(G39,'02 Skill Catalogue'!$A$6:$K$95,4,FALSE),""))</x:f>
      </x:c>
      <x:c r="I39" s="25" t="str">
        <x:f>IF(B39="","",IFERROR(VLOOKUP(B39,'04 Assessment Log'!$A$6:$AE$155,14,FALSE),""))</x:f>
      </x:c>
      <x:c r="J39" s="25" t="str">
        <x:f>IF(B39="","",IFERROR(VLOOKUP(B39,'04 Assessment Log'!$A$6:$AE$155,15,FALSE),""))</x:f>
      </x:c>
      <x:c r="K39" s="25" t="str">
        <x:f>IF(B39="","",IFERROR(VLOOKUP(B39,'04 Assessment Log'!$A$6:$AE$155,16,FALSE),""))</x:f>
      </x:c>
      <x:c r="L39" s="25" t="str">
        <x:f>IF(B39="","",IFERROR(VLOOKUP(B39,'04 Assessment Log'!$A$6:$AE$155,18,FALSE),""))</x:f>
      </x:c>
      <x:c r="M39" s="24"/>
      <x:c r="N39" s="27"/>
      <x:c r="O39" s="27"/>
      <x:c r="P39" s="24"/>
      <x:c r="Q39" s="24"/>
      <x:c r="R39" s="24"/>
      <x:c r="S39" s="26"/>
      <x:c r="T39" s="26"/>
      <x:c r="U39" s="24"/>
      <x:c r="V39" s="26"/>
      <x:c r="W39" s="27"/>
      <x:c r="X39" s="26"/>
      <x:c r="Y39" s="24"/>
      <x:c r="Z39" s="25" t="str">
        <x:f>IF(Y39="","",IFERROR(VLOOKUP(Y39,'04 Assessment Log'!$A$6:$AE$155,15,FALSE),"Assessment not found"))</x:f>
      </x:c>
      <x:c r="AA39" s="25" t="str">
        <x:f>IF(OR(J39="",Z39=""),"",Z39-J39)</x:f>
      </x:c>
      <x:c r="AB39" s="25" t="str">
        <x:f>IF(A39="","",IF(U39="Cancelled","Cancelled",IF(U39&lt;&gt;"Completed","Open",IF(Y39="","Pending Reassessment",IF(Z39&gt;=I39,"Closed — Competent","Further Action Required")))))</x:f>
      </x:c>
      <x:c r="AC39" s="25" t="str">
        <x:f>IF(OR(A39="",T39=""),"",IF(OR(U39="Completed",U39="Cancelled"),0,MAX(TODAY()-T39,0)))</x:f>
      </x:c>
      <x:c r="AD39" s="24"/>
    </x:row>
    <x:row r="40">
      <x:c r="A40" s="24"/>
      <x:c r="B40" s="24"/>
      <x:c r="C40" s="25" t="str">
        <x:f>IF(B40="","",IFERROR(VLOOKUP(B40,'04 Assessment Log'!$A$6:$AE$155,4,FALSE),"Assessment not found"))</x:f>
      </x:c>
      <x:c r="D40" s="25" t="str">
        <x:f>IF(C40="","",IFERROR(VLOOKUP(C40,'01 Staff Master'!$A$6:$M$105,2,FALSE),""))</x:f>
      </x:c>
      <x:c r="E40" s="25" t="str">
        <x:f>IF(B40="","",IFERROR(VLOOKUP(B40,'04 Assessment Log'!$A$6:$AE$155,6,FALSE),""))</x:f>
      </x:c>
      <x:c r="F40" s="25" t="str">
        <x:f>IF(B40="","",IFERROR(VLOOKUP(B40,'04 Assessment Log'!$A$6:$AE$155,7,FALSE),""))</x:f>
      </x:c>
      <x:c r="G40" s="25" t="str">
        <x:f>IF(B40="","",IFERROR(VLOOKUP(B40,'04 Assessment Log'!$A$6:$AE$155,10,FALSE),""))</x:f>
      </x:c>
      <x:c r="H40" s="25" t="str">
        <x:f>IF(G40="","",IFERROR(VLOOKUP(G40,'02 Skill Catalogue'!$A$6:$K$95,4,FALSE),""))</x:f>
      </x:c>
      <x:c r="I40" s="25" t="str">
        <x:f>IF(B40="","",IFERROR(VLOOKUP(B40,'04 Assessment Log'!$A$6:$AE$155,14,FALSE),""))</x:f>
      </x:c>
      <x:c r="J40" s="25" t="str">
        <x:f>IF(B40="","",IFERROR(VLOOKUP(B40,'04 Assessment Log'!$A$6:$AE$155,15,FALSE),""))</x:f>
      </x:c>
      <x:c r="K40" s="25" t="str">
        <x:f>IF(B40="","",IFERROR(VLOOKUP(B40,'04 Assessment Log'!$A$6:$AE$155,16,FALSE),""))</x:f>
      </x:c>
      <x:c r="L40" s="25" t="str">
        <x:f>IF(B40="","",IFERROR(VLOOKUP(B40,'04 Assessment Log'!$A$6:$AE$155,18,FALSE),""))</x:f>
      </x:c>
      <x:c r="M40" s="24"/>
      <x:c r="N40" s="27"/>
      <x:c r="O40" s="27"/>
      <x:c r="P40" s="24"/>
      <x:c r="Q40" s="24"/>
      <x:c r="R40" s="24"/>
      <x:c r="S40" s="26"/>
      <x:c r="T40" s="26"/>
      <x:c r="U40" s="24"/>
      <x:c r="V40" s="26"/>
      <x:c r="W40" s="27"/>
      <x:c r="X40" s="26"/>
      <x:c r="Y40" s="24"/>
      <x:c r="Z40" s="25" t="str">
        <x:f>IF(Y40="","",IFERROR(VLOOKUP(Y40,'04 Assessment Log'!$A$6:$AE$155,15,FALSE),"Assessment not found"))</x:f>
      </x:c>
      <x:c r="AA40" s="25" t="str">
        <x:f>IF(OR(J40="",Z40=""),"",Z40-J40)</x:f>
      </x:c>
      <x:c r="AB40" s="25" t="str">
        <x:f>IF(A40="","",IF(U40="Cancelled","Cancelled",IF(U40&lt;&gt;"Completed","Open",IF(Y40="","Pending Reassessment",IF(Z40&gt;=I40,"Closed — Competent","Further Action Required")))))</x:f>
      </x:c>
      <x:c r="AC40" s="25" t="str">
        <x:f>IF(OR(A40="",T40=""),"",IF(OR(U40="Completed",U40="Cancelled"),0,MAX(TODAY()-T40,0)))</x:f>
      </x:c>
      <x:c r="AD40" s="24"/>
    </x:row>
    <x:row r="41">
      <x:c r="A41" s="24"/>
      <x:c r="B41" s="24"/>
      <x:c r="C41" s="25" t="str">
        <x:f>IF(B41="","",IFERROR(VLOOKUP(B41,'04 Assessment Log'!$A$6:$AE$155,4,FALSE),"Assessment not found"))</x:f>
      </x:c>
      <x:c r="D41" s="25" t="str">
        <x:f>IF(C41="","",IFERROR(VLOOKUP(C41,'01 Staff Master'!$A$6:$M$105,2,FALSE),""))</x:f>
      </x:c>
      <x:c r="E41" s="25" t="str">
        <x:f>IF(B41="","",IFERROR(VLOOKUP(B41,'04 Assessment Log'!$A$6:$AE$155,6,FALSE),""))</x:f>
      </x:c>
      <x:c r="F41" s="25" t="str">
        <x:f>IF(B41="","",IFERROR(VLOOKUP(B41,'04 Assessment Log'!$A$6:$AE$155,7,FALSE),""))</x:f>
      </x:c>
      <x:c r="G41" s="25" t="str">
        <x:f>IF(B41="","",IFERROR(VLOOKUP(B41,'04 Assessment Log'!$A$6:$AE$155,10,FALSE),""))</x:f>
      </x:c>
      <x:c r="H41" s="25" t="str">
        <x:f>IF(G41="","",IFERROR(VLOOKUP(G41,'02 Skill Catalogue'!$A$6:$K$95,4,FALSE),""))</x:f>
      </x:c>
      <x:c r="I41" s="25" t="str">
        <x:f>IF(B41="","",IFERROR(VLOOKUP(B41,'04 Assessment Log'!$A$6:$AE$155,14,FALSE),""))</x:f>
      </x:c>
      <x:c r="J41" s="25" t="str">
        <x:f>IF(B41="","",IFERROR(VLOOKUP(B41,'04 Assessment Log'!$A$6:$AE$155,15,FALSE),""))</x:f>
      </x:c>
      <x:c r="K41" s="25" t="str">
        <x:f>IF(B41="","",IFERROR(VLOOKUP(B41,'04 Assessment Log'!$A$6:$AE$155,16,FALSE),""))</x:f>
      </x:c>
      <x:c r="L41" s="25" t="str">
        <x:f>IF(B41="","",IFERROR(VLOOKUP(B41,'04 Assessment Log'!$A$6:$AE$155,18,FALSE),""))</x:f>
      </x:c>
      <x:c r="M41" s="24"/>
      <x:c r="N41" s="27"/>
      <x:c r="O41" s="27"/>
      <x:c r="P41" s="24"/>
      <x:c r="Q41" s="24"/>
      <x:c r="R41" s="24"/>
      <x:c r="S41" s="26"/>
      <x:c r="T41" s="26"/>
      <x:c r="U41" s="24"/>
      <x:c r="V41" s="26"/>
      <x:c r="W41" s="27"/>
      <x:c r="X41" s="26"/>
      <x:c r="Y41" s="24"/>
      <x:c r="Z41" s="25" t="str">
        <x:f>IF(Y41="","",IFERROR(VLOOKUP(Y41,'04 Assessment Log'!$A$6:$AE$155,15,FALSE),"Assessment not found"))</x:f>
      </x:c>
      <x:c r="AA41" s="25" t="str">
        <x:f>IF(OR(J41="",Z41=""),"",Z41-J41)</x:f>
      </x:c>
      <x:c r="AB41" s="25" t="str">
        <x:f>IF(A41="","",IF(U41="Cancelled","Cancelled",IF(U41&lt;&gt;"Completed","Open",IF(Y41="","Pending Reassessment",IF(Z41&gt;=I41,"Closed — Competent","Further Action Required")))))</x:f>
      </x:c>
      <x:c r="AC41" s="25" t="str">
        <x:f>IF(OR(A41="",T41=""),"",IF(OR(U41="Completed",U41="Cancelled"),0,MAX(TODAY()-T41,0)))</x:f>
      </x:c>
      <x:c r="AD41" s="24"/>
    </x:row>
    <x:row r="42">
      <x:c r="A42" s="24"/>
      <x:c r="B42" s="24"/>
      <x:c r="C42" s="25" t="str">
        <x:f>IF(B42="","",IFERROR(VLOOKUP(B42,'04 Assessment Log'!$A$6:$AE$155,4,FALSE),"Assessment not found"))</x:f>
      </x:c>
      <x:c r="D42" s="25" t="str">
        <x:f>IF(C42="","",IFERROR(VLOOKUP(C42,'01 Staff Master'!$A$6:$M$105,2,FALSE),""))</x:f>
      </x:c>
      <x:c r="E42" s="25" t="str">
        <x:f>IF(B42="","",IFERROR(VLOOKUP(B42,'04 Assessment Log'!$A$6:$AE$155,6,FALSE),""))</x:f>
      </x:c>
      <x:c r="F42" s="25" t="str">
        <x:f>IF(B42="","",IFERROR(VLOOKUP(B42,'04 Assessment Log'!$A$6:$AE$155,7,FALSE),""))</x:f>
      </x:c>
      <x:c r="G42" s="25" t="str">
        <x:f>IF(B42="","",IFERROR(VLOOKUP(B42,'04 Assessment Log'!$A$6:$AE$155,10,FALSE),""))</x:f>
      </x:c>
      <x:c r="H42" s="25" t="str">
        <x:f>IF(G42="","",IFERROR(VLOOKUP(G42,'02 Skill Catalogue'!$A$6:$K$95,4,FALSE),""))</x:f>
      </x:c>
      <x:c r="I42" s="25" t="str">
        <x:f>IF(B42="","",IFERROR(VLOOKUP(B42,'04 Assessment Log'!$A$6:$AE$155,14,FALSE),""))</x:f>
      </x:c>
      <x:c r="J42" s="25" t="str">
        <x:f>IF(B42="","",IFERROR(VLOOKUP(B42,'04 Assessment Log'!$A$6:$AE$155,15,FALSE),""))</x:f>
      </x:c>
      <x:c r="K42" s="25" t="str">
        <x:f>IF(B42="","",IFERROR(VLOOKUP(B42,'04 Assessment Log'!$A$6:$AE$155,16,FALSE),""))</x:f>
      </x:c>
      <x:c r="L42" s="25" t="str">
        <x:f>IF(B42="","",IFERROR(VLOOKUP(B42,'04 Assessment Log'!$A$6:$AE$155,18,FALSE),""))</x:f>
      </x:c>
      <x:c r="M42" s="24"/>
      <x:c r="N42" s="27"/>
      <x:c r="O42" s="27"/>
      <x:c r="P42" s="24"/>
      <x:c r="Q42" s="24"/>
      <x:c r="R42" s="24"/>
      <x:c r="S42" s="26"/>
      <x:c r="T42" s="26"/>
      <x:c r="U42" s="24"/>
      <x:c r="V42" s="26"/>
      <x:c r="W42" s="27"/>
      <x:c r="X42" s="26"/>
      <x:c r="Y42" s="24"/>
      <x:c r="Z42" s="25" t="str">
        <x:f>IF(Y42="","",IFERROR(VLOOKUP(Y42,'04 Assessment Log'!$A$6:$AE$155,15,FALSE),"Assessment not found"))</x:f>
      </x:c>
      <x:c r="AA42" s="25" t="str">
        <x:f>IF(OR(J42="",Z42=""),"",Z42-J42)</x:f>
      </x:c>
      <x:c r="AB42" s="25" t="str">
        <x:f>IF(A42="","",IF(U42="Cancelled","Cancelled",IF(U42&lt;&gt;"Completed","Open",IF(Y42="","Pending Reassessment",IF(Z42&gt;=I42,"Closed — Competent","Further Action Required")))))</x:f>
      </x:c>
      <x:c r="AC42" s="25" t="str">
        <x:f>IF(OR(A42="",T42=""),"",IF(OR(U42="Completed",U42="Cancelled"),0,MAX(TODAY()-T42,0)))</x:f>
      </x:c>
      <x:c r="AD42" s="24"/>
    </x:row>
    <x:row r="43">
      <x:c r="A43" s="24"/>
      <x:c r="B43" s="24"/>
      <x:c r="C43" s="25" t="str">
        <x:f>IF(B43="","",IFERROR(VLOOKUP(B43,'04 Assessment Log'!$A$6:$AE$155,4,FALSE),"Assessment not found"))</x:f>
      </x:c>
      <x:c r="D43" s="25" t="str">
        <x:f>IF(C43="","",IFERROR(VLOOKUP(C43,'01 Staff Master'!$A$6:$M$105,2,FALSE),""))</x:f>
      </x:c>
      <x:c r="E43" s="25" t="str">
        <x:f>IF(B43="","",IFERROR(VLOOKUP(B43,'04 Assessment Log'!$A$6:$AE$155,6,FALSE),""))</x:f>
      </x:c>
      <x:c r="F43" s="25" t="str">
        <x:f>IF(B43="","",IFERROR(VLOOKUP(B43,'04 Assessment Log'!$A$6:$AE$155,7,FALSE),""))</x:f>
      </x:c>
      <x:c r="G43" s="25" t="str">
        <x:f>IF(B43="","",IFERROR(VLOOKUP(B43,'04 Assessment Log'!$A$6:$AE$155,10,FALSE),""))</x:f>
      </x:c>
      <x:c r="H43" s="25" t="str">
        <x:f>IF(G43="","",IFERROR(VLOOKUP(G43,'02 Skill Catalogue'!$A$6:$K$95,4,FALSE),""))</x:f>
      </x:c>
      <x:c r="I43" s="25" t="str">
        <x:f>IF(B43="","",IFERROR(VLOOKUP(B43,'04 Assessment Log'!$A$6:$AE$155,14,FALSE),""))</x:f>
      </x:c>
      <x:c r="J43" s="25" t="str">
        <x:f>IF(B43="","",IFERROR(VLOOKUP(B43,'04 Assessment Log'!$A$6:$AE$155,15,FALSE),""))</x:f>
      </x:c>
      <x:c r="K43" s="25" t="str">
        <x:f>IF(B43="","",IFERROR(VLOOKUP(B43,'04 Assessment Log'!$A$6:$AE$155,16,FALSE),""))</x:f>
      </x:c>
      <x:c r="L43" s="25" t="str">
        <x:f>IF(B43="","",IFERROR(VLOOKUP(B43,'04 Assessment Log'!$A$6:$AE$155,18,FALSE),""))</x:f>
      </x:c>
      <x:c r="M43" s="24"/>
      <x:c r="N43" s="27"/>
      <x:c r="O43" s="27"/>
      <x:c r="P43" s="24"/>
      <x:c r="Q43" s="24"/>
      <x:c r="R43" s="24"/>
      <x:c r="S43" s="26"/>
      <x:c r="T43" s="26"/>
      <x:c r="U43" s="24"/>
      <x:c r="V43" s="26"/>
      <x:c r="W43" s="27"/>
      <x:c r="X43" s="26"/>
      <x:c r="Y43" s="24"/>
      <x:c r="Z43" s="25" t="str">
        <x:f>IF(Y43="","",IFERROR(VLOOKUP(Y43,'04 Assessment Log'!$A$6:$AE$155,15,FALSE),"Assessment not found"))</x:f>
      </x:c>
      <x:c r="AA43" s="25" t="str">
        <x:f>IF(OR(J43="",Z43=""),"",Z43-J43)</x:f>
      </x:c>
      <x:c r="AB43" s="25" t="str">
        <x:f>IF(A43="","",IF(U43="Cancelled","Cancelled",IF(U43&lt;&gt;"Completed","Open",IF(Y43="","Pending Reassessment",IF(Z43&gt;=I43,"Closed — Competent","Further Action Required")))))</x:f>
      </x:c>
      <x:c r="AC43" s="25" t="str">
        <x:f>IF(OR(A43="",T43=""),"",IF(OR(U43="Completed",U43="Cancelled"),0,MAX(TODAY()-T43,0)))</x:f>
      </x:c>
      <x:c r="AD43" s="24"/>
    </x:row>
    <x:row r="44">
      <x:c r="A44" s="24"/>
      <x:c r="B44" s="24"/>
      <x:c r="C44" s="25" t="str">
        <x:f>IF(B44="","",IFERROR(VLOOKUP(B44,'04 Assessment Log'!$A$6:$AE$155,4,FALSE),"Assessment not found"))</x:f>
      </x:c>
      <x:c r="D44" s="25" t="str">
        <x:f>IF(C44="","",IFERROR(VLOOKUP(C44,'01 Staff Master'!$A$6:$M$105,2,FALSE),""))</x:f>
      </x:c>
      <x:c r="E44" s="25" t="str">
        <x:f>IF(B44="","",IFERROR(VLOOKUP(B44,'04 Assessment Log'!$A$6:$AE$155,6,FALSE),""))</x:f>
      </x:c>
      <x:c r="F44" s="25" t="str">
        <x:f>IF(B44="","",IFERROR(VLOOKUP(B44,'04 Assessment Log'!$A$6:$AE$155,7,FALSE),""))</x:f>
      </x:c>
      <x:c r="G44" s="25" t="str">
        <x:f>IF(B44="","",IFERROR(VLOOKUP(B44,'04 Assessment Log'!$A$6:$AE$155,10,FALSE),""))</x:f>
      </x:c>
      <x:c r="H44" s="25" t="str">
        <x:f>IF(G44="","",IFERROR(VLOOKUP(G44,'02 Skill Catalogue'!$A$6:$K$95,4,FALSE),""))</x:f>
      </x:c>
      <x:c r="I44" s="25" t="str">
        <x:f>IF(B44="","",IFERROR(VLOOKUP(B44,'04 Assessment Log'!$A$6:$AE$155,14,FALSE),""))</x:f>
      </x:c>
      <x:c r="J44" s="25" t="str">
        <x:f>IF(B44="","",IFERROR(VLOOKUP(B44,'04 Assessment Log'!$A$6:$AE$155,15,FALSE),""))</x:f>
      </x:c>
      <x:c r="K44" s="25" t="str">
        <x:f>IF(B44="","",IFERROR(VLOOKUP(B44,'04 Assessment Log'!$A$6:$AE$155,16,FALSE),""))</x:f>
      </x:c>
      <x:c r="L44" s="25" t="str">
        <x:f>IF(B44="","",IFERROR(VLOOKUP(B44,'04 Assessment Log'!$A$6:$AE$155,18,FALSE),""))</x:f>
      </x:c>
      <x:c r="M44" s="24"/>
      <x:c r="N44" s="27"/>
      <x:c r="O44" s="27"/>
      <x:c r="P44" s="24"/>
      <x:c r="Q44" s="24"/>
      <x:c r="R44" s="24"/>
      <x:c r="S44" s="26"/>
      <x:c r="T44" s="26"/>
      <x:c r="U44" s="24"/>
      <x:c r="V44" s="26"/>
      <x:c r="W44" s="27"/>
      <x:c r="X44" s="26"/>
      <x:c r="Y44" s="24"/>
      <x:c r="Z44" s="25" t="str">
        <x:f>IF(Y44="","",IFERROR(VLOOKUP(Y44,'04 Assessment Log'!$A$6:$AE$155,15,FALSE),"Assessment not found"))</x:f>
      </x:c>
      <x:c r="AA44" s="25" t="str">
        <x:f>IF(OR(J44="",Z44=""),"",Z44-J44)</x:f>
      </x:c>
      <x:c r="AB44" s="25" t="str">
        <x:f>IF(A44="","",IF(U44="Cancelled","Cancelled",IF(U44&lt;&gt;"Completed","Open",IF(Y44="","Pending Reassessment",IF(Z44&gt;=I44,"Closed — Competent","Further Action Required")))))</x:f>
      </x:c>
      <x:c r="AC44" s="25" t="str">
        <x:f>IF(OR(A44="",T44=""),"",IF(OR(U44="Completed",U44="Cancelled"),0,MAX(TODAY()-T44,0)))</x:f>
      </x:c>
      <x:c r="AD44" s="24"/>
    </x:row>
    <x:row r="45">
      <x:c r="A45" s="24"/>
      <x:c r="B45" s="24"/>
      <x:c r="C45" s="25" t="str">
        <x:f>IF(B45="","",IFERROR(VLOOKUP(B45,'04 Assessment Log'!$A$6:$AE$155,4,FALSE),"Assessment not found"))</x:f>
      </x:c>
      <x:c r="D45" s="25" t="str">
        <x:f>IF(C45="","",IFERROR(VLOOKUP(C45,'01 Staff Master'!$A$6:$M$105,2,FALSE),""))</x:f>
      </x:c>
      <x:c r="E45" s="25" t="str">
        <x:f>IF(B45="","",IFERROR(VLOOKUP(B45,'04 Assessment Log'!$A$6:$AE$155,6,FALSE),""))</x:f>
      </x:c>
      <x:c r="F45" s="25" t="str">
        <x:f>IF(B45="","",IFERROR(VLOOKUP(B45,'04 Assessment Log'!$A$6:$AE$155,7,FALSE),""))</x:f>
      </x:c>
      <x:c r="G45" s="25" t="str">
        <x:f>IF(B45="","",IFERROR(VLOOKUP(B45,'04 Assessment Log'!$A$6:$AE$155,10,FALSE),""))</x:f>
      </x:c>
      <x:c r="H45" s="25" t="str">
        <x:f>IF(G45="","",IFERROR(VLOOKUP(G45,'02 Skill Catalogue'!$A$6:$K$95,4,FALSE),""))</x:f>
      </x:c>
      <x:c r="I45" s="25" t="str">
        <x:f>IF(B45="","",IFERROR(VLOOKUP(B45,'04 Assessment Log'!$A$6:$AE$155,14,FALSE),""))</x:f>
      </x:c>
      <x:c r="J45" s="25" t="str">
        <x:f>IF(B45="","",IFERROR(VLOOKUP(B45,'04 Assessment Log'!$A$6:$AE$155,15,FALSE),""))</x:f>
      </x:c>
      <x:c r="K45" s="25" t="str">
        <x:f>IF(B45="","",IFERROR(VLOOKUP(B45,'04 Assessment Log'!$A$6:$AE$155,16,FALSE),""))</x:f>
      </x:c>
      <x:c r="L45" s="25" t="str">
        <x:f>IF(B45="","",IFERROR(VLOOKUP(B45,'04 Assessment Log'!$A$6:$AE$155,18,FALSE),""))</x:f>
      </x:c>
      <x:c r="M45" s="24"/>
      <x:c r="N45" s="27"/>
      <x:c r="O45" s="27"/>
      <x:c r="P45" s="24"/>
      <x:c r="Q45" s="24"/>
      <x:c r="R45" s="24"/>
      <x:c r="S45" s="26"/>
      <x:c r="T45" s="26"/>
      <x:c r="U45" s="24"/>
      <x:c r="V45" s="26"/>
      <x:c r="W45" s="27"/>
      <x:c r="X45" s="26"/>
      <x:c r="Y45" s="24"/>
      <x:c r="Z45" s="25" t="str">
        <x:f>IF(Y45="","",IFERROR(VLOOKUP(Y45,'04 Assessment Log'!$A$6:$AE$155,15,FALSE),"Assessment not found"))</x:f>
      </x:c>
      <x:c r="AA45" s="25" t="str">
        <x:f>IF(OR(J45="",Z45=""),"",Z45-J45)</x:f>
      </x:c>
      <x:c r="AB45" s="25" t="str">
        <x:f>IF(A45="","",IF(U45="Cancelled","Cancelled",IF(U45&lt;&gt;"Completed","Open",IF(Y45="","Pending Reassessment",IF(Z45&gt;=I45,"Closed — Competent","Further Action Required")))))</x:f>
      </x:c>
      <x:c r="AC45" s="25" t="str">
        <x:f>IF(OR(A45="",T45=""),"",IF(OR(U45="Completed",U45="Cancelled"),0,MAX(TODAY()-T45,0)))</x:f>
      </x:c>
      <x:c r="AD45" s="24"/>
    </x:row>
    <x:row r="46">
      <x:c r="A46" s="24"/>
      <x:c r="B46" s="24"/>
      <x:c r="C46" s="25" t="str">
        <x:f>IF(B46="","",IFERROR(VLOOKUP(B46,'04 Assessment Log'!$A$6:$AE$155,4,FALSE),"Assessment not found"))</x:f>
      </x:c>
      <x:c r="D46" s="25" t="str">
        <x:f>IF(C46="","",IFERROR(VLOOKUP(C46,'01 Staff Master'!$A$6:$M$105,2,FALSE),""))</x:f>
      </x:c>
      <x:c r="E46" s="25" t="str">
        <x:f>IF(B46="","",IFERROR(VLOOKUP(B46,'04 Assessment Log'!$A$6:$AE$155,6,FALSE),""))</x:f>
      </x:c>
      <x:c r="F46" s="25" t="str">
        <x:f>IF(B46="","",IFERROR(VLOOKUP(B46,'04 Assessment Log'!$A$6:$AE$155,7,FALSE),""))</x:f>
      </x:c>
      <x:c r="G46" s="25" t="str">
        <x:f>IF(B46="","",IFERROR(VLOOKUP(B46,'04 Assessment Log'!$A$6:$AE$155,10,FALSE),""))</x:f>
      </x:c>
      <x:c r="H46" s="25" t="str">
        <x:f>IF(G46="","",IFERROR(VLOOKUP(G46,'02 Skill Catalogue'!$A$6:$K$95,4,FALSE),""))</x:f>
      </x:c>
      <x:c r="I46" s="25" t="str">
        <x:f>IF(B46="","",IFERROR(VLOOKUP(B46,'04 Assessment Log'!$A$6:$AE$155,14,FALSE),""))</x:f>
      </x:c>
      <x:c r="J46" s="25" t="str">
        <x:f>IF(B46="","",IFERROR(VLOOKUP(B46,'04 Assessment Log'!$A$6:$AE$155,15,FALSE),""))</x:f>
      </x:c>
      <x:c r="K46" s="25" t="str">
        <x:f>IF(B46="","",IFERROR(VLOOKUP(B46,'04 Assessment Log'!$A$6:$AE$155,16,FALSE),""))</x:f>
      </x:c>
      <x:c r="L46" s="25" t="str">
        <x:f>IF(B46="","",IFERROR(VLOOKUP(B46,'04 Assessment Log'!$A$6:$AE$155,18,FALSE),""))</x:f>
      </x:c>
      <x:c r="M46" s="24"/>
      <x:c r="N46" s="27"/>
      <x:c r="O46" s="27"/>
      <x:c r="P46" s="24"/>
      <x:c r="Q46" s="24"/>
      <x:c r="R46" s="24"/>
      <x:c r="S46" s="26"/>
      <x:c r="T46" s="26"/>
      <x:c r="U46" s="24"/>
      <x:c r="V46" s="26"/>
      <x:c r="W46" s="27"/>
      <x:c r="X46" s="26"/>
      <x:c r="Y46" s="24"/>
      <x:c r="Z46" s="25" t="str">
        <x:f>IF(Y46="","",IFERROR(VLOOKUP(Y46,'04 Assessment Log'!$A$6:$AE$155,15,FALSE),"Assessment not found"))</x:f>
      </x:c>
      <x:c r="AA46" s="25" t="str">
        <x:f>IF(OR(J46="",Z46=""),"",Z46-J46)</x:f>
      </x:c>
      <x:c r="AB46" s="25" t="str">
        <x:f>IF(A46="","",IF(U46="Cancelled","Cancelled",IF(U46&lt;&gt;"Completed","Open",IF(Y46="","Pending Reassessment",IF(Z46&gt;=I46,"Closed — Competent","Further Action Required")))))</x:f>
      </x:c>
      <x:c r="AC46" s="25" t="str">
        <x:f>IF(OR(A46="",T46=""),"",IF(OR(U46="Completed",U46="Cancelled"),0,MAX(TODAY()-T46,0)))</x:f>
      </x:c>
      <x:c r="AD46" s="24"/>
    </x:row>
    <x:row r="47">
      <x:c r="A47" s="24"/>
      <x:c r="B47" s="24"/>
      <x:c r="C47" s="25" t="str">
        <x:f>IF(B47="","",IFERROR(VLOOKUP(B47,'04 Assessment Log'!$A$6:$AE$155,4,FALSE),"Assessment not found"))</x:f>
      </x:c>
      <x:c r="D47" s="25" t="str">
        <x:f>IF(C47="","",IFERROR(VLOOKUP(C47,'01 Staff Master'!$A$6:$M$105,2,FALSE),""))</x:f>
      </x:c>
      <x:c r="E47" s="25" t="str">
        <x:f>IF(B47="","",IFERROR(VLOOKUP(B47,'04 Assessment Log'!$A$6:$AE$155,6,FALSE),""))</x:f>
      </x:c>
      <x:c r="F47" s="25" t="str">
        <x:f>IF(B47="","",IFERROR(VLOOKUP(B47,'04 Assessment Log'!$A$6:$AE$155,7,FALSE),""))</x:f>
      </x:c>
      <x:c r="G47" s="25" t="str">
        <x:f>IF(B47="","",IFERROR(VLOOKUP(B47,'04 Assessment Log'!$A$6:$AE$155,10,FALSE),""))</x:f>
      </x:c>
      <x:c r="H47" s="25" t="str">
        <x:f>IF(G47="","",IFERROR(VLOOKUP(G47,'02 Skill Catalogue'!$A$6:$K$95,4,FALSE),""))</x:f>
      </x:c>
      <x:c r="I47" s="25" t="str">
        <x:f>IF(B47="","",IFERROR(VLOOKUP(B47,'04 Assessment Log'!$A$6:$AE$155,14,FALSE),""))</x:f>
      </x:c>
      <x:c r="J47" s="25" t="str">
        <x:f>IF(B47="","",IFERROR(VLOOKUP(B47,'04 Assessment Log'!$A$6:$AE$155,15,FALSE),""))</x:f>
      </x:c>
      <x:c r="K47" s="25" t="str">
        <x:f>IF(B47="","",IFERROR(VLOOKUP(B47,'04 Assessment Log'!$A$6:$AE$155,16,FALSE),""))</x:f>
      </x:c>
      <x:c r="L47" s="25" t="str">
        <x:f>IF(B47="","",IFERROR(VLOOKUP(B47,'04 Assessment Log'!$A$6:$AE$155,18,FALSE),""))</x:f>
      </x:c>
      <x:c r="M47" s="24"/>
      <x:c r="N47" s="27"/>
      <x:c r="O47" s="27"/>
      <x:c r="P47" s="24"/>
      <x:c r="Q47" s="24"/>
      <x:c r="R47" s="24"/>
      <x:c r="S47" s="26"/>
      <x:c r="T47" s="26"/>
      <x:c r="U47" s="24"/>
      <x:c r="V47" s="26"/>
      <x:c r="W47" s="27"/>
      <x:c r="X47" s="26"/>
      <x:c r="Y47" s="24"/>
      <x:c r="Z47" s="25" t="str">
        <x:f>IF(Y47="","",IFERROR(VLOOKUP(Y47,'04 Assessment Log'!$A$6:$AE$155,15,FALSE),"Assessment not found"))</x:f>
      </x:c>
      <x:c r="AA47" s="25" t="str">
        <x:f>IF(OR(J47="",Z47=""),"",Z47-J47)</x:f>
      </x:c>
      <x:c r="AB47" s="25" t="str">
        <x:f>IF(A47="","",IF(U47="Cancelled","Cancelled",IF(U47&lt;&gt;"Completed","Open",IF(Y47="","Pending Reassessment",IF(Z47&gt;=I47,"Closed — Competent","Further Action Required")))))</x:f>
      </x:c>
      <x:c r="AC47" s="25" t="str">
        <x:f>IF(OR(A47="",T47=""),"",IF(OR(U47="Completed",U47="Cancelled"),0,MAX(TODAY()-T47,0)))</x:f>
      </x:c>
      <x:c r="AD47" s="24"/>
    </x:row>
    <x:row r="48">
      <x:c r="A48" s="24"/>
      <x:c r="B48" s="24"/>
      <x:c r="C48" s="25" t="str">
        <x:f>IF(B48="","",IFERROR(VLOOKUP(B48,'04 Assessment Log'!$A$6:$AE$155,4,FALSE),"Assessment not found"))</x:f>
      </x:c>
      <x:c r="D48" s="25" t="str">
        <x:f>IF(C48="","",IFERROR(VLOOKUP(C48,'01 Staff Master'!$A$6:$M$105,2,FALSE),""))</x:f>
      </x:c>
      <x:c r="E48" s="25" t="str">
        <x:f>IF(B48="","",IFERROR(VLOOKUP(B48,'04 Assessment Log'!$A$6:$AE$155,6,FALSE),""))</x:f>
      </x:c>
      <x:c r="F48" s="25" t="str">
        <x:f>IF(B48="","",IFERROR(VLOOKUP(B48,'04 Assessment Log'!$A$6:$AE$155,7,FALSE),""))</x:f>
      </x:c>
      <x:c r="G48" s="25" t="str">
        <x:f>IF(B48="","",IFERROR(VLOOKUP(B48,'04 Assessment Log'!$A$6:$AE$155,10,FALSE),""))</x:f>
      </x:c>
      <x:c r="H48" s="25" t="str">
        <x:f>IF(G48="","",IFERROR(VLOOKUP(G48,'02 Skill Catalogue'!$A$6:$K$95,4,FALSE),""))</x:f>
      </x:c>
      <x:c r="I48" s="25" t="str">
        <x:f>IF(B48="","",IFERROR(VLOOKUP(B48,'04 Assessment Log'!$A$6:$AE$155,14,FALSE),""))</x:f>
      </x:c>
      <x:c r="J48" s="25" t="str">
        <x:f>IF(B48="","",IFERROR(VLOOKUP(B48,'04 Assessment Log'!$A$6:$AE$155,15,FALSE),""))</x:f>
      </x:c>
      <x:c r="K48" s="25" t="str">
        <x:f>IF(B48="","",IFERROR(VLOOKUP(B48,'04 Assessment Log'!$A$6:$AE$155,16,FALSE),""))</x:f>
      </x:c>
      <x:c r="L48" s="25" t="str">
        <x:f>IF(B48="","",IFERROR(VLOOKUP(B48,'04 Assessment Log'!$A$6:$AE$155,18,FALSE),""))</x:f>
      </x:c>
      <x:c r="M48" s="24"/>
      <x:c r="N48" s="27"/>
      <x:c r="O48" s="27"/>
      <x:c r="P48" s="24"/>
      <x:c r="Q48" s="24"/>
      <x:c r="R48" s="24"/>
      <x:c r="S48" s="26"/>
      <x:c r="T48" s="26"/>
      <x:c r="U48" s="24"/>
      <x:c r="V48" s="26"/>
      <x:c r="W48" s="27"/>
      <x:c r="X48" s="26"/>
      <x:c r="Y48" s="24"/>
      <x:c r="Z48" s="25" t="str">
        <x:f>IF(Y48="","",IFERROR(VLOOKUP(Y48,'04 Assessment Log'!$A$6:$AE$155,15,FALSE),"Assessment not found"))</x:f>
      </x:c>
      <x:c r="AA48" s="25" t="str">
        <x:f>IF(OR(J48="",Z48=""),"",Z48-J48)</x:f>
      </x:c>
      <x:c r="AB48" s="25" t="str">
        <x:f>IF(A48="","",IF(U48="Cancelled","Cancelled",IF(U48&lt;&gt;"Completed","Open",IF(Y48="","Pending Reassessment",IF(Z48&gt;=I48,"Closed — Competent","Further Action Required")))))</x:f>
      </x:c>
      <x:c r="AC48" s="25" t="str">
        <x:f>IF(OR(A48="",T48=""),"",IF(OR(U48="Completed",U48="Cancelled"),0,MAX(TODAY()-T48,0)))</x:f>
      </x:c>
      <x:c r="AD48" s="24"/>
    </x:row>
    <x:row r="49">
      <x:c r="A49" s="24"/>
      <x:c r="B49" s="24"/>
      <x:c r="C49" s="25" t="str">
        <x:f>IF(B49="","",IFERROR(VLOOKUP(B49,'04 Assessment Log'!$A$6:$AE$155,4,FALSE),"Assessment not found"))</x:f>
      </x:c>
      <x:c r="D49" s="25" t="str">
        <x:f>IF(C49="","",IFERROR(VLOOKUP(C49,'01 Staff Master'!$A$6:$M$105,2,FALSE),""))</x:f>
      </x:c>
      <x:c r="E49" s="25" t="str">
        <x:f>IF(B49="","",IFERROR(VLOOKUP(B49,'04 Assessment Log'!$A$6:$AE$155,6,FALSE),""))</x:f>
      </x:c>
      <x:c r="F49" s="25" t="str">
        <x:f>IF(B49="","",IFERROR(VLOOKUP(B49,'04 Assessment Log'!$A$6:$AE$155,7,FALSE),""))</x:f>
      </x:c>
      <x:c r="G49" s="25" t="str">
        <x:f>IF(B49="","",IFERROR(VLOOKUP(B49,'04 Assessment Log'!$A$6:$AE$155,10,FALSE),""))</x:f>
      </x:c>
      <x:c r="H49" s="25" t="str">
        <x:f>IF(G49="","",IFERROR(VLOOKUP(G49,'02 Skill Catalogue'!$A$6:$K$95,4,FALSE),""))</x:f>
      </x:c>
      <x:c r="I49" s="25" t="str">
        <x:f>IF(B49="","",IFERROR(VLOOKUP(B49,'04 Assessment Log'!$A$6:$AE$155,14,FALSE),""))</x:f>
      </x:c>
      <x:c r="J49" s="25" t="str">
        <x:f>IF(B49="","",IFERROR(VLOOKUP(B49,'04 Assessment Log'!$A$6:$AE$155,15,FALSE),""))</x:f>
      </x:c>
      <x:c r="K49" s="25" t="str">
        <x:f>IF(B49="","",IFERROR(VLOOKUP(B49,'04 Assessment Log'!$A$6:$AE$155,16,FALSE),""))</x:f>
      </x:c>
      <x:c r="L49" s="25" t="str">
        <x:f>IF(B49="","",IFERROR(VLOOKUP(B49,'04 Assessment Log'!$A$6:$AE$155,18,FALSE),""))</x:f>
      </x:c>
      <x:c r="M49" s="24"/>
      <x:c r="N49" s="27"/>
      <x:c r="O49" s="27"/>
      <x:c r="P49" s="24"/>
      <x:c r="Q49" s="24"/>
      <x:c r="R49" s="24"/>
      <x:c r="S49" s="26"/>
      <x:c r="T49" s="26"/>
      <x:c r="U49" s="24"/>
      <x:c r="V49" s="26"/>
      <x:c r="W49" s="27"/>
      <x:c r="X49" s="26"/>
      <x:c r="Y49" s="24"/>
      <x:c r="Z49" s="25" t="str">
        <x:f>IF(Y49="","",IFERROR(VLOOKUP(Y49,'04 Assessment Log'!$A$6:$AE$155,15,FALSE),"Assessment not found"))</x:f>
      </x:c>
      <x:c r="AA49" s="25" t="str">
        <x:f>IF(OR(J49="",Z49=""),"",Z49-J49)</x:f>
      </x:c>
      <x:c r="AB49" s="25" t="str">
        <x:f>IF(A49="","",IF(U49="Cancelled","Cancelled",IF(U49&lt;&gt;"Completed","Open",IF(Y49="","Pending Reassessment",IF(Z49&gt;=I49,"Closed — Competent","Further Action Required")))))</x:f>
      </x:c>
      <x:c r="AC49" s="25" t="str">
        <x:f>IF(OR(A49="",T49=""),"",IF(OR(U49="Completed",U49="Cancelled"),0,MAX(TODAY()-T49,0)))</x:f>
      </x:c>
      <x:c r="AD49" s="24"/>
    </x:row>
    <x:row r="50">
      <x:c r="A50" s="24"/>
      <x:c r="B50" s="24"/>
      <x:c r="C50" s="25" t="str">
        <x:f>IF(B50="","",IFERROR(VLOOKUP(B50,'04 Assessment Log'!$A$6:$AE$155,4,FALSE),"Assessment not found"))</x:f>
      </x:c>
      <x:c r="D50" s="25" t="str">
        <x:f>IF(C50="","",IFERROR(VLOOKUP(C50,'01 Staff Master'!$A$6:$M$105,2,FALSE),""))</x:f>
      </x:c>
      <x:c r="E50" s="25" t="str">
        <x:f>IF(B50="","",IFERROR(VLOOKUP(B50,'04 Assessment Log'!$A$6:$AE$155,6,FALSE),""))</x:f>
      </x:c>
      <x:c r="F50" s="25" t="str">
        <x:f>IF(B50="","",IFERROR(VLOOKUP(B50,'04 Assessment Log'!$A$6:$AE$155,7,FALSE),""))</x:f>
      </x:c>
      <x:c r="G50" s="25" t="str">
        <x:f>IF(B50="","",IFERROR(VLOOKUP(B50,'04 Assessment Log'!$A$6:$AE$155,10,FALSE),""))</x:f>
      </x:c>
      <x:c r="H50" s="25" t="str">
        <x:f>IF(G50="","",IFERROR(VLOOKUP(G50,'02 Skill Catalogue'!$A$6:$K$95,4,FALSE),""))</x:f>
      </x:c>
      <x:c r="I50" s="25" t="str">
        <x:f>IF(B50="","",IFERROR(VLOOKUP(B50,'04 Assessment Log'!$A$6:$AE$155,14,FALSE),""))</x:f>
      </x:c>
      <x:c r="J50" s="25" t="str">
        <x:f>IF(B50="","",IFERROR(VLOOKUP(B50,'04 Assessment Log'!$A$6:$AE$155,15,FALSE),""))</x:f>
      </x:c>
      <x:c r="K50" s="25" t="str">
        <x:f>IF(B50="","",IFERROR(VLOOKUP(B50,'04 Assessment Log'!$A$6:$AE$155,16,FALSE),""))</x:f>
      </x:c>
      <x:c r="L50" s="25" t="str">
        <x:f>IF(B50="","",IFERROR(VLOOKUP(B50,'04 Assessment Log'!$A$6:$AE$155,18,FALSE),""))</x:f>
      </x:c>
      <x:c r="M50" s="24"/>
      <x:c r="N50" s="27"/>
      <x:c r="O50" s="27"/>
      <x:c r="P50" s="24"/>
      <x:c r="Q50" s="24"/>
      <x:c r="R50" s="24"/>
      <x:c r="S50" s="26"/>
      <x:c r="T50" s="26"/>
      <x:c r="U50" s="24"/>
      <x:c r="V50" s="26"/>
      <x:c r="W50" s="27"/>
      <x:c r="X50" s="26"/>
      <x:c r="Y50" s="24"/>
      <x:c r="Z50" s="25" t="str">
        <x:f>IF(Y50="","",IFERROR(VLOOKUP(Y50,'04 Assessment Log'!$A$6:$AE$155,15,FALSE),"Assessment not found"))</x:f>
      </x:c>
      <x:c r="AA50" s="25" t="str">
        <x:f>IF(OR(J50="",Z50=""),"",Z50-J50)</x:f>
      </x:c>
      <x:c r="AB50" s="25" t="str">
        <x:f>IF(A50="","",IF(U50="Cancelled","Cancelled",IF(U50&lt;&gt;"Completed","Open",IF(Y50="","Pending Reassessment",IF(Z50&gt;=I50,"Closed — Competent","Further Action Required")))))</x:f>
      </x:c>
      <x:c r="AC50" s="25" t="str">
        <x:f>IF(OR(A50="",T50=""),"",IF(OR(U50="Completed",U50="Cancelled"),0,MAX(TODAY()-T50,0)))</x:f>
      </x:c>
      <x:c r="AD50" s="24"/>
    </x:row>
    <x:row r="51">
      <x:c r="A51" s="24"/>
      <x:c r="B51" s="24"/>
      <x:c r="C51" s="25" t="str">
        <x:f>IF(B51="","",IFERROR(VLOOKUP(B51,'04 Assessment Log'!$A$6:$AE$155,4,FALSE),"Assessment not found"))</x:f>
      </x:c>
      <x:c r="D51" s="25" t="str">
        <x:f>IF(C51="","",IFERROR(VLOOKUP(C51,'01 Staff Master'!$A$6:$M$105,2,FALSE),""))</x:f>
      </x:c>
      <x:c r="E51" s="25" t="str">
        <x:f>IF(B51="","",IFERROR(VLOOKUP(B51,'04 Assessment Log'!$A$6:$AE$155,6,FALSE),""))</x:f>
      </x:c>
      <x:c r="F51" s="25" t="str">
        <x:f>IF(B51="","",IFERROR(VLOOKUP(B51,'04 Assessment Log'!$A$6:$AE$155,7,FALSE),""))</x:f>
      </x:c>
      <x:c r="G51" s="25" t="str">
        <x:f>IF(B51="","",IFERROR(VLOOKUP(B51,'04 Assessment Log'!$A$6:$AE$155,10,FALSE),""))</x:f>
      </x:c>
      <x:c r="H51" s="25" t="str">
        <x:f>IF(G51="","",IFERROR(VLOOKUP(G51,'02 Skill Catalogue'!$A$6:$K$95,4,FALSE),""))</x:f>
      </x:c>
      <x:c r="I51" s="25" t="str">
        <x:f>IF(B51="","",IFERROR(VLOOKUP(B51,'04 Assessment Log'!$A$6:$AE$155,14,FALSE),""))</x:f>
      </x:c>
      <x:c r="J51" s="25" t="str">
        <x:f>IF(B51="","",IFERROR(VLOOKUP(B51,'04 Assessment Log'!$A$6:$AE$155,15,FALSE),""))</x:f>
      </x:c>
      <x:c r="K51" s="25" t="str">
        <x:f>IF(B51="","",IFERROR(VLOOKUP(B51,'04 Assessment Log'!$A$6:$AE$155,16,FALSE),""))</x:f>
      </x:c>
      <x:c r="L51" s="25" t="str">
        <x:f>IF(B51="","",IFERROR(VLOOKUP(B51,'04 Assessment Log'!$A$6:$AE$155,18,FALSE),""))</x:f>
      </x:c>
      <x:c r="M51" s="24"/>
      <x:c r="N51" s="27"/>
      <x:c r="O51" s="27"/>
      <x:c r="P51" s="24"/>
      <x:c r="Q51" s="24"/>
      <x:c r="R51" s="24"/>
      <x:c r="S51" s="26"/>
      <x:c r="T51" s="26"/>
      <x:c r="U51" s="24"/>
      <x:c r="V51" s="26"/>
      <x:c r="W51" s="27"/>
      <x:c r="X51" s="26"/>
      <x:c r="Y51" s="24"/>
      <x:c r="Z51" s="25" t="str">
        <x:f>IF(Y51="","",IFERROR(VLOOKUP(Y51,'04 Assessment Log'!$A$6:$AE$155,15,FALSE),"Assessment not found"))</x:f>
      </x:c>
      <x:c r="AA51" s="25" t="str">
        <x:f>IF(OR(J51="",Z51=""),"",Z51-J51)</x:f>
      </x:c>
      <x:c r="AB51" s="25" t="str">
        <x:f>IF(A51="","",IF(U51="Cancelled","Cancelled",IF(U51&lt;&gt;"Completed","Open",IF(Y51="","Pending Reassessment",IF(Z51&gt;=I51,"Closed — Competent","Further Action Required")))))</x:f>
      </x:c>
      <x:c r="AC51" s="25" t="str">
        <x:f>IF(OR(A51="",T51=""),"",IF(OR(U51="Completed",U51="Cancelled"),0,MAX(TODAY()-T51,0)))</x:f>
      </x:c>
      <x:c r="AD51" s="24"/>
    </x:row>
    <x:row r="52">
      <x:c r="A52" s="24"/>
      <x:c r="B52" s="24"/>
      <x:c r="C52" s="25" t="str">
        <x:f>IF(B52="","",IFERROR(VLOOKUP(B52,'04 Assessment Log'!$A$6:$AE$155,4,FALSE),"Assessment not found"))</x:f>
      </x:c>
      <x:c r="D52" s="25" t="str">
        <x:f>IF(C52="","",IFERROR(VLOOKUP(C52,'01 Staff Master'!$A$6:$M$105,2,FALSE),""))</x:f>
      </x:c>
      <x:c r="E52" s="25" t="str">
        <x:f>IF(B52="","",IFERROR(VLOOKUP(B52,'04 Assessment Log'!$A$6:$AE$155,6,FALSE),""))</x:f>
      </x:c>
      <x:c r="F52" s="25" t="str">
        <x:f>IF(B52="","",IFERROR(VLOOKUP(B52,'04 Assessment Log'!$A$6:$AE$155,7,FALSE),""))</x:f>
      </x:c>
      <x:c r="G52" s="25" t="str">
        <x:f>IF(B52="","",IFERROR(VLOOKUP(B52,'04 Assessment Log'!$A$6:$AE$155,10,FALSE),""))</x:f>
      </x:c>
      <x:c r="H52" s="25" t="str">
        <x:f>IF(G52="","",IFERROR(VLOOKUP(G52,'02 Skill Catalogue'!$A$6:$K$95,4,FALSE),""))</x:f>
      </x:c>
      <x:c r="I52" s="25" t="str">
        <x:f>IF(B52="","",IFERROR(VLOOKUP(B52,'04 Assessment Log'!$A$6:$AE$155,14,FALSE),""))</x:f>
      </x:c>
      <x:c r="J52" s="25" t="str">
        <x:f>IF(B52="","",IFERROR(VLOOKUP(B52,'04 Assessment Log'!$A$6:$AE$155,15,FALSE),""))</x:f>
      </x:c>
      <x:c r="K52" s="25" t="str">
        <x:f>IF(B52="","",IFERROR(VLOOKUP(B52,'04 Assessment Log'!$A$6:$AE$155,16,FALSE),""))</x:f>
      </x:c>
      <x:c r="L52" s="25" t="str">
        <x:f>IF(B52="","",IFERROR(VLOOKUP(B52,'04 Assessment Log'!$A$6:$AE$155,18,FALSE),""))</x:f>
      </x:c>
      <x:c r="M52" s="24"/>
      <x:c r="N52" s="27"/>
      <x:c r="O52" s="27"/>
      <x:c r="P52" s="24"/>
      <x:c r="Q52" s="24"/>
      <x:c r="R52" s="24"/>
      <x:c r="S52" s="26"/>
      <x:c r="T52" s="26"/>
      <x:c r="U52" s="24"/>
      <x:c r="V52" s="26"/>
      <x:c r="W52" s="27"/>
      <x:c r="X52" s="26"/>
      <x:c r="Y52" s="24"/>
      <x:c r="Z52" s="25" t="str">
        <x:f>IF(Y52="","",IFERROR(VLOOKUP(Y52,'04 Assessment Log'!$A$6:$AE$155,15,FALSE),"Assessment not found"))</x:f>
      </x:c>
      <x:c r="AA52" s="25" t="str">
        <x:f>IF(OR(J52="",Z52=""),"",Z52-J52)</x:f>
      </x:c>
      <x:c r="AB52" s="25" t="str">
        <x:f>IF(A52="","",IF(U52="Cancelled","Cancelled",IF(U52&lt;&gt;"Completed","Open",IF(Y52="","Pending Reassessment",IF(Z52&gt;=I52,"Closed — Competent","Further Action Required")))))</x:f>
      </x:c>
      <x:c r="AC52" s="25" t="str">
        <x:f>IF(OR(A52="",T52=""),"",IF(OR(U52="Completed",U52="Cancelled"),0,MAX(TODAY()-T52,0)))</x:f>
      </x:c>
      <x:c r="AD52" s="24"/>
    </x:row>
    <x:row r="53">
      <x:c r="A53" s="24"/>
      <x:c r="B53" s="24"/>
      <x:c r="C53" s="25" t="str">
        <x:f>IF(B53="","",IFERROR(VLOOKUP(B53,'04 Assessment Log'!$A$6:$AE$155,4,FALSE),"Assessment not found"))</x:f>
      </x:c>
      <x:c r="D53" s="25" t="str">
        <x:f>IF(C53="","",IFERROR(VLOOKUP(C53,'01 Staff Master'!$A$6:$M$105,2,FALSE),""))</x:f>
      </x:c>
      <x:c r="E53" s="25" t="str">
        <x:f>IF(B53="","",IFERROR(VLOOKUP(B53,'04 Assessment Log'!$A$6:$AE$155,6,FALSE),""))</x:f>
      </x:c>
      <x:c r="F53" s="25" t="str">
        <x:f>IF(B53="","",IFERROR(VLOOKUP(B53,'04 Assessment Log'!$A$6:$AE$155,7,FALSE),""))</x:f>
      </x:c>
      <x:c r="G53" s="25" t="str">
        <x:f>IF(B53="","",IFERROR(VLOOKUP(B53,'04 Assessment Log'!$A$6:$AE$155,10,FALSE),""))</x:f>
      </x:c>
      <x:c r="H53" s="25" t="str">
        <x:f>IF(G53="","",IFERROR(VLOOKUP(G53,'02 Skill Catalogue'!$A$6:$K$95,4,FALSE),""))</x:f>
      </x:c>
      <x:c r="I53" s="25" t="str">
        <x:f>IF(B53="","",IFERROR(VLOOKUP(B53,'04 Assessment Log'!$A$6:$AE$155,14,FALSE),""))</x:f>
      </x:c>
      <x:c r="J53" s="25" t="str">
        <x:f>IF(B53="","",IFERROR(VLOOKUP(B53,'04 Assessment Log'!$A$6:$AE$155,15,FALSE),""))</x:f>
      </x:c>
      <x:c r="K53" s="25" t="str">
        <x:f>IF(B53="","",IFERROR(VLOOKUP(B53,'04 Assessment Log'!$A$6:$AE$155,16,FALSE),""))</x:f>
      </x:c>
      <x:c r="L53" s="25" t="str">
        <x:f>IF(B53="","",IFERROR(VLOOKUP(B53,'04 Assessment Log'!$A$6:$AE$155,18,FALSE),""))</x:f>
      </x:c>
      <x:c r="M53" s="24"/>
      <x:c r="N53" s="27"/>
      <x:c r="O53" s="27"/>
      <x:c r="P53" s="24"/>
      <x:c r="Q53" s="24"/>
      <x:c r="R53" s="24"/>
      <x:c r="S53" s="26"/>
      <x:c r="T53" s="26"/>
      <x:c r="U53" s="24"/>
      <x:c r="V53" s="26"/>
      <x:c r="W53" s="27"/>
      <x:c r="X53" s="26"/>
      <x:c r="Y53" s="24"/>
      <x:c r="Z53" s="25" t="str">
        <x:f>IF(Y53="","",IFERROR(VLOOKUP(Y53,'04 Assessment Log'!$A$6:$AE$155,15,FALSE),"Assessment not found"))</x:f>
      </x:c>
      <x:c r="AA53" s="25" t="str">
        <x:f>IF(OR(J53="",Z53=""),"",Z53-J53)</x:f>
      </x:c>
      <x:c r="AB53" s="25" t="str">
        <x:f>IF(A53="","",IF(U53="Cancelled","Cancelled",IF(U53&lt;&gt;"Completed","Open",IF(Y53="","Pending Reassessment",IF(Z53&gt;=I53,"Closed — Competent","Further Action Required")))))</x:f>
      </x:c>
      <x:c r="AC53" s="25" t="str">
        <x:f>IF(OR(A53="",T53=""),"",IF(OR(U53="Completed",U53="Cancelled"),0,MAX(TODAY()-T53,0)))</x:f>
      </x:c>
      <x:c r="AD53" s="24"/>
    </x:row>
    <x:row r="54">
      <x:c r="A54" s="24"/>
      <x:c r="B54" s="24"/>
      <x:c r="C54" s="25" t="str">
        <x:f>IF(B54="","",IFERROR(VLOOKUP(B54,'04 Assessment Log'!$A$6:$AE$155,4,FALSE),"Assessment not found"))</x:f>
      </x:c>
      <x:c r="D54" s="25" t="str">
        <x:f>IF(C54="","",IFERROR(VLOOKUP(C54,'01 Staff Master'!$A$6:$M$105,2,FALSE),""))</x:f>
      </x:c>
      <x:c r="E54" s="25" t="str">
        <x:f>IF(B54="","",IFERROR(VLOOKUP(B54,'04 Assessment Log'!$A$6:$AE$155,6,FALSE),""))</x:f>
      </x:c>
      <x:c r="F54" s="25" t="str">
        <x:f>IF(B54="","",IFERROR(VLOOKUP(B54,'04 Assessment Log'!$A$6:$AE$155,7,FALSE),""))</x:f>
      </x:c>
      <x:c r="G54" s="25" t="str">
        <x:f>IF(B54="","",IFERROR(VLOOKUP(B54,'04 Assessment Log'!$A$6:$AE$155,10,FALSE),""))</x:f>
      </x:c>
      <x:c r="H54" s="25" t="str">
        <x:f>IF(G54="","",IFERROR(VLOOKUP(G54,'02 Skill Catalogue'!$A$6:$K$95,4,FALSE),""))</x:f>
      </x:c>
      <x:c r="I54" s="25" t="str">
        <x:f>IF(B54="","",IFERROR(VLOOKUP(B54,'04 Assessment Log'!$A$6:$AE$155,14,FALSE),""))</x:f>
      </x:c>
      <x:c r="J54" s="25" t="str">
        <x:f>IF(B54="","",IFERROR(VLOOKUP(B54,'04 Assessment Log'!$A$6:$AE$155,15,FALSE),""))</x:f>
      </x:c>
      <x:c r="K54" s="25" t="str">
        <x:f>IF(B54="","",IFERROR(VLOOKUP(B54,'04 Assessment Log'!$A$6:$AE$155,16,FALSE),""))</x:f>
      </x:c>
      <x:c r="L54" s="25" t="str">
        <x:f>IF(B54="","",IFERROR(VLOOKUP(B54,'04 Assessment Log'!$A$6:$AE$155,18,FALSE),""))</x:f>
      </x:c>
      <x:c r="M54" s="24"/>
      <x:c r="N54" s="27"/>
      <x:c r="O54" s="27"/>
      <x:c r="P54" s="24"/>
      <x:c r="Q54" s="24"/>
      <x:c r="R54" s="24"/>
      <x:c r="S54" s="26"/>
      <x:c r="T54" s="26"/>
      <x:c r="U54" s="24"/>
      <x:c r="V54" s="26"/>
      <x:c r="W54" s="27"/>
      <x:c r="X54" s="26"/>
      <x:c r="Y54" s="24"/>
      <x:c r="Z54" s="25" t="str">
        <x:f>IF(Y54="","",IFERROR(VLOOKUP(Y54,'04 Assessment Log'!$A$6:$AE$155,15,FALSE),"Assessment not found"))</x:f>
      </x:c>
      <x:c r="AA54" s="25" t="str">
        <x:f>IF(OR(J54="",Z54=""),"",Z54-J54)</x:f>
      </x:c>
      <x:c r="AB54" s="25" t="str">
        <x:f>IF(A54="","",IF(U54="Cancelled","Cancelled",IF(U54&lt;&gt;"Completed","Open",IF(Y54="","Pending Reassessment",IF(Z54&gt;=I54,"Closed — Competent","Further Action Required")))))</x:f>
      </x:c>
      <x:c r="AC54" s="25" t="str">
        <x:f>IF(OR(A54="",T54=""),"",IF(OR(U54="Completed",U54="Cancelled"),0,MAX(TODAY()-T54,0)))</x:f>
      </x:c>
      <x:c r="AD54" s="24"/>
    </x:row>
    <x:row r="55">
      <x:c r="A55" s="24"/>
      <x:c r="B55" s="24"/>
      <x:c r="C55" s="25" t="str">
        <x:f>IF(B55="","",IFERROR(VLOOKUP(B55,'04 Assessment Log'!$A$6:$AE$155,4,FALSE),"Assessment not found"))</x:f>
      </x:c>
      <x:c r="D55" s="25" t="str">
        <x:f>IF(C55="","",IFERROR(VLOOKUP(C55,'01 Staff Master'!$A$6:$M$105,2,FALSE),""))</x:f>
      </x:c>
      <x:c r="E55" s="25" t="str">
        <x:f>IF(B55="","",IFERROR(VLOOKUP(B55,'04 Assessment Log'!$A$6:$AE$155,6,FALSE),""))</x:f>
      </x:c>
      <x:c r="F55" s="25" t="str">
        <x:f>IF(B55="","",IFERROR(VLOOKUP(B55,'04 Assessment Log'!$A$6:$AE$155,7,FALSE),""))</x:f>
      </x:c>
      <x:c r="G55" s="25" t="str">
        <x:f>IF(B55="","",IFERROR(VLOOKUP(B55,'04 Assessment Log'!$A$6:$AE$155,10,FALSE),""))</x:f>
      </x:c>
      <x:c r="H55" s="25" t="str">
        <x:f>IF(G55="","",IFERROR(VLOOKUP(G55,'02 Skill Catalogue'!$A$6:$K$95,4,FALSE),""))</x:f>
      </x:c>
      <x:c r="I55" s="25" t="str">
        <x:f>IF(B55="","",IFERROR(VLOOKUP(B55,'04 Assessment Log'!$A$6:$AE$155,14,FALSE),""))</x:f>
      </x:c>
      <x:c r="J55" s="25" t="str">
        <x:f>IF(B55="","",IFERROR(VLOOKUP(B55,'04 Assessment Log'!$A$6:$AE$155,15,FALSE),""))</x:f>
      </x:c>
      <x:c r="K55" s="25" t="str">
        <x:f>IF(B55="","",IFERROR(VLOOKUP(B55,'04 Assessment Log'!$A$6:$AE$155,16,FALSE),""))</x:f>
      </x:c>
      <x:c r="L55" s="25" t="str">
        <x:f>IF(B55="","",IFERROR(VLOOKUP(B55,'04 Assessment Log'!$A$6:$AE$155,18,FALSE),""))</x:f>
      </x:c>
      <x:c r="M55" s="24"/>
      <x:c r="N55" s="27"/>
      <x:c r="O55" s="27"/>
      <x:c r="P55" s="24"/>
      <x:c r="Q55" s="24"/>
      <x:c r="R55" s="24"/>
      <x:c r="S55" s="26"/>
      <x:c r="T55" s="26"/>
      <x:c r="U55" s="24"/>
      <x:c r="V55" s="26"/>
      <x:c r="W55" s="27"/>
      <x:c r="X55" s="26"/>
      <x:c r="Y55" s="24"/>
      <x:c r="Z55" s="25" t="str">
        <x:f>IF(Y55="","",IFERROR(VLOOKUP(Y55,'04 Assessment Log'!$A$6:$AE$155,15,FALSE),"Assessment not found"))</x:f>
      </x:c>
      <x:c r="AA55" s="25" t="str">
        <x:f>IF(OR(J55="",Z55=""),"",Z55-J55)</x:f>
      </x:c>
      <x:c r="AB55" s="25" t="str">
        <x:f>IF(A55="","",IF(U55="Cancelled","Cancelled",IF(U55&lt;&gt;"Completed","Open",IF(Y55="","Pending Reassessment",IF(Z55&gt;=I55,"Closed — Competent","Further Action Required")))))</x:f>
      </x:c>
      <x:c r="AC55" s="25" t="str">
        <x:f>IF(OR(A55="",T55=""),"",IF(OR(U55="Completed",U55="Cancelled"),0,MAX(TODAY()-T55,0)))</x:f>
      </x:c>
      <x:c r="AD55" s="24"/>
    </x:row>
    <x:row r="56">
      <x:c r="A56" s="24"/>
      <x:c r="B56" s="24"/>
      <x:c r="C56" s="25" t="str">
        <x:f>IF(B56="","",IFERROR(VLOOKUP(B56,'04 Assessment Log'!$A$6:$AE$155,4,FALSE),"Assessment not found"))</x:f>
      </x:c>
      <x:c r="D56" s="25" t="str">
        <x:f>IF(C56="","",IFERROR(VLOOKUP(C56,'01 Staff Master'!$A$6:$M$105,2,FALSE),""))</x:f>
      </x:c>
      <x:c r="E56" s="25" t="str">
        <x:f>IF(B56="","",IFERROR(VLOOKUP(B56,'04 Assessment Log'!$A$6:$AE$155,6,FALSE),""))</x:f>
      </x:c>
      <x:c r="F56" s="25" t="str">
        <x:f>IF(B56="","",IFERROR(VLOOKUP(B56,'04 Assessment Log'!$A$6:$AE$155,7,FALSE),""))</x:f>
      </x:c>
      <x:c r="G56" s="25" t="str">
        <x:f>IF(B56="","",IFERROR(VLOOKUP(B56,'04 Assessment Log'!$A$6:$AE$155,10,FALSE),""))</x:f>
      </x:c>
      <x:c r="H56" s="25" t="str">
        <x:f>IF(G56="","",IFERROR(VLOOKUP(G56,'02 Skill Catalogue'!$A$6:$K$95,4,FALSE),""))</x:f>
      </x:c>
      <x:c r="I56" s="25" t="str">
        <x:f>IF(B56="","",IFERROR(VLOOKUP(B56,'04 Assessment Log'!$A$6:$AE$155,14,FALSE),""))</x:f>
      </x:c>
      <x:c r="J56" s="25" t="str">
        <x:f>IF(B56="","",IFERROR(VLOOKUP(B56,'04 Assessment Log'!$A$6:$AE$155,15,FALSE),""))</x:f>
      </x:c>
      <x:c r="K56" s="25" t="str">
        <x:f>IF(B56="","",IFERROR(VLOOKUP(B56,'04 Assessment Log'!$A$6:$AE$155,16,FALSE),""))</x:f>
      </x:c>
      <x:c r="L56" s="25" t="str">
        <x:f>IF(B56="","",IFERROR(VLOOKUP(B56,'04 Assessment Log'!$A$6:$AE$155,18,FALSE),""))</x:f>
      </x:c>
      <x:c r="M56" s="24"/>
      <x:c r="N56" s="27"/>
      <x:c r="O56" s="27"/>
      <x:c r="P56" s="24"/>
      <x:c r="Q56" s="24"/>
      <x:c r="R56" s="24"/>
      <x:c r="S56" s="26"/>
      <x:c r="T56" s="26"/>
      <x:c r="U56" s="24"/>
      <x:c r="V56" s="26"/>
      <x:c r="W56" s="27"/>
      <x:c r="X56" s="26"/>
      <x:c r="Y56" s="24"/>
      <x:c r="Z56" s="25" t="str">
        <x:f>IF(Y56="","",IFERROR(VLOOKUP(Y56,'04 Assessment Log'!$A$6:$AE$155,15,FALSE),"Assessment not found"))</x:f>
      </x:c>
      <x:c r="AA56" s="25" t="str">
        <x:f>IF(OR(J56="",Z56=""),"",Z56-J56)</x:f>
      </x:c>
      <x:c r="AB56" s="25" t="str">
        <x:f>IF(A56="","",IF(U56="Cancelled","Cancelled",IF(U56&lt;&gt;"Completed","Open",IF(Y56="","Pending Reassessment",IF(Z56&gt;=I56,"Closed — Competent","Further Action Required")))))</x:f>
      </x:c>
      <x:c r="AC56" s="25" t="str">
        <x:f>IF(OR(A56="",T56=""),"",IF(OR(U56="Completed",U56="Cancelled"),0,MAX(TODAY()-T56,0)))</x:f>
      </x:c>
      <x:c r="AD56" s="24"/>
    </x:row>
    <x:row r="57">
      <x:c r="A57" s="24"/>
      <x:c r="B57" s="24"/>
      <x:c r="C57" s="25" t="str">
        <x:f>IF(B57="","",IFERROR(VLOOKUP(B57,'04 Assessment Log'!$A$6:$AE$155,4,FALSE),"Assessment not found"))</x:f>
      </x:c>
      <x:c r="D57" s="25" t="str">
        <x:f>IF(C57="","",IFERROR(VLOOKUP(C57,'01 Staff Master'!$A$6:$M$105,2,FALSE),""))</x:f>
      </x:c>
      <x:c r="E57" s="25" t="str">
        <x:f>IF(B57="","",IFERROR(VLOOKUP(B57,'04 Assessment Log'!$A$6:$AE$155,6,FALSE),""))</x:f>
      </x:c>
      <x:c r="F57" s="25" t="str">
        <x:f>IF(B57="","",IFERROR(VLOOKUP(B57,'04 Assessment Log'!$A$6:$AE$155,7,FALSE),""))</x:f>
      </x:c>
      <x:c r="G57" s="25" t="str">
        <x:f>IF(B57="","",IFERROR(VLOOKUP(B57,'04 Assessment Log'!$A$6:$AE$155,10,FALSE),""))</x:f>
      </x:c>
      <x:c r="H57" s="25" t="str">
        <x:f>IF(G57="","",IFERROR(VLOOKUP(G57,'02 Skill Catalogue'!$A$6:$K$95,4,FALSE),""))</x:f>
      </x:c>
      <x:c r="I57" s="25" t="str">
        <x:f>IF(B57="","",IFERROR(VLOOKUP(B57,'04 Assessment Log'!$A$6:$AE$155,14,FALSE),""))</x:f>
      </x:c>
      <x:c r="J57" s="25" t="str">
        <x:f>IF(B57="","",IFERROR(VLOOKUP(B57,'04 Assessment Log'!$A$6:$AE$155,15,FALSE),""))</x:f>
      </x:c>
      <x:c r="K57" s="25" t="str">
        <x:f>IF(B57="","",IFERROR(VLOOKUP(B57,'04 Assessment Log'!$A$6:$AE$155,16,FALSE),""))</x:f>
      </x:c>
      <x:c r="L57" s="25" t="str">
        <x:f>IF(B57="","",IFERROR(VLOOKUP(B57,'04 Assessment Log'!$A$6:$AE$155,18,FALSE),""))</x:f>
      </x:c>
      <x:c r="M57" s="24"/>
      <x:c r="N57" s="27"/>
      <x:c r="O57" s="27"/>
      <x:c r="P57" s="24"/>
      <x:c r="Q57" s="24"/>
      <x:c r="R57" s="24"/>
      <x:c r="S57" s="26"/>
      <x:c r="T57" s="26"/>
      <x:c r="U57" s="24"/>
      <x:c r="V57" s="26"/>
      <x:c r="W57" s="27"/>
      <x:c r="X57" s="26"/>
      <x:c r="Y57" s="24"/>
      <x:c r="Z57" s="25" t="str">
        <x:f>IF(Y57="","",IFERROR(VLOOKUP(Y57,'04 Assessment Log'!$A$6:$AE$155,15,FALSE),"Assessment not found"))</x:f>
      </x:c>
      <x:c r="AA57" s="25" t="str">
        <x:f>IF(OR(J57="",Z57=""),"",Z57-J57)</x:f>
      </x:c>
      <x:c r="AB57" s="25" t="str">
        <x:f>IF(A57="","",IF(U57="Cancelled","Cancelled",IF(U57&lt;&gt;"Completed","Open",IF(Y57="","Pending Reassessment",IF(Z57&gt;=I57,"Closed — Competent","Further Action Required")))))</x:f>
      </x:c>
      <x:c r="AC57" s="25" t="str">
        <x:f>IF(OR(A57="",T57=""),"",IF(OR(U57="Completed",U57="Cancelled"),0,MAX(TODAY()-T57,0)))</x:f>
      </x:c>
      <x:c r="AD57" s="24"/>
    </x:row>
    <x:row r="58">
      <x:c r="A58" s="24"/>
      <x:c r="B58" s="24"/>
      <x:c r="C58" s="25" t="str">
        <x:f>IF(B58="","",IFERROR(VLOOKUP(B58,'04 Assessment Log'!$A$6:$AE$155,4,FALSE),"Assessment not found"))</x:f>
      </x:c>
      <x:c r="D58" s="25" t="str">
        <x:f>IF(C58="","",IFERROR(VLOOKUP(C58,'01 Staff Master'!$A$6:$M$105,2,FALSE),""))</x:f>
      </x:c>
      <x:c r="E58" s="25" t="str">
        <x:f>IF(B58="","",IFERROR(VLOOKUP(B58,'04 Assessment Log'!$A$6:$AE$155,6,FALSE),""))</x:f>
      </x:c>
      <x:c r="F58" s="25" t="str">
        <x:f>IF(B58="","",IFERROR(VLOOKUP(B58,'04 Assessment Log'!$A$6:$AE$155,7,FALSE),""))</x:f>
      </x:c>
      <x:c r="G58" s="25" t="str">
        <x:f>IF(B58="","",IFERROR(VLOOKUP(B58,'04 Assessment Log'!$A$6:$AE$155,10,FALSE),""))</x:f>
      </x:c>
      <x:c r="H58" s="25" t="str">
        <x:f>IF(G58="","",IFERROR(VLOOKUP(G58,'02 Skill Catalogue'!$A$6:$K$95,4,FALSE),""))</x:f>
      </x:c>
      <x:c r="I58" s="25" t="str">
        <x:f>IF(B58="","",IFERROR(VLOOKUP(B58,'04 Assessment Log'!$A$6:$AE$155,14,FALSE),""))</x:f>
      </x:c>
      <x:c r="J58" s="25" t="str">
        <x:f>IF(B58="","",IFERROR(VLOOKUP(B58,'04 Assessment Log'!$A$6:$AE$155,15,FALSE),""))</x:f>
      </x:c>
      <x:c r="K58" s="25" t="str">
        <x:f>IF(B58="","",IFERROR(VLOOKUP(B58,'04 Assessment Log'!$A$6:$AE$155,16,FALSE),""))</x:f>
      </x:c>
      <x:c r="L58" s="25" t="str">
        <x:f>IF(B58="","",IFERROR(VLOOKUP(B58,'04 Assessment Log'!$A$6:$AE$155,18,FALSE),""))</x:f>
      </x:c>
      <x:c r="M58" s="24"/>
      <x:c r="N58" s="27"/>
      <x:c r="O58" s="27"/>
      <x:c r="P58" s="24"/>
      <x:c r="Q58" s="24"/>
      <x:c r="R58" s="24"/>
      <x:c r="S58" s="26"/>
      <x:c r="T58" s="26"/>
      <x:c r="U58" s="24"/>
      <x:c r="V58" s="26"/>
      <x:c r="W58" s="27"/>
      <x:c r="X58" s="26"/>
      <x:c r="Y58" s="24"/>
      <x:c r="Z58" s="25" t="str">
        <x:f>IF(Y58="","",IFERROR(VLOOKUP(Y58,'04 Assessment Log'!$A$6:$AE$155,15,FALSE),"Assessment not found"))</x:f>
      </x:c>
      <x:c r="AA58" s="25" t="str">
        <x:f>IF(OR(J58="",Z58=""),"",Z58-J58)</x:f>
      </x:c>
      <x:c r="AB58" s="25" t="str">
        <x:f>IF(A58="","",IF(U58="Cancelled","Cancelled",IF(U58&lt;&gt;"Completed","Open",IF(Y58="","Pending Reassessment",IF(Z58&gt;=I58,"Closed — Competent","Further Action Required")))))</x:f>
      </x:c>
      <x:c r="AC58" s="25" t="str">
        <x:f>IF(OR(A58="",T58=""),"",IF(OR(U58="Completed",U58="Cancelled"),0,MAX(TODAY()-T58,0)))</x:f>
      </x:c>
      <x:c r="AD58" s="24"/>
    </x:row>
    <x:row r="59">
      <x:c r="A59" s="24"/>
      <x:c r="B59" s="24"/>
      <x:c r="C59" s="25" t="str">
        <x:f>IF(B59="","",IFERROR(VLOOKUP(B59,'04 Assessment Log'!$A$6:$AE$155,4,FALSE),"Assessment not found"))</x:f>
      </x:c>
      <x:c r="D59" s="25" t="str">
        <x:f>IF(C59="","",IFERROR(VLOOKUP(C59,'01 Staff Master'!$A$6:$M$105,2,FALSE),""))</x:f>
      </x:c>
      <x:c r="E59" s="25" t="str">
        <x:f>IF(B59="","",IFERROR(VLOOKUP(B59,'04 Assessment Log'!$A$6:$AE$155,6,FALSE),""))</x:f>
      </x:c>
      <x:c r="F59" s="25" t="str">
        <x:f>IF(B59="","",IFERROR(VLOOKUP(B59,'04 Assessment Log'!$A$6:$AE$155,7,FALSE),""))</x:f>
      </x:c>
      <x:c r="G59" s="25" t="str">
        <x:f>IF(B59="","",IFERROR(VLOOKUP(B59,'04 Assessment Log'!$A$6:$AE$155,10,FALSE),""))</x:f>
      </x:c>
      <x:c r="H59" s="25" t="str">
        <x:f>IF(G59="","",IFERROR(VLOOKUP(G59,'02 Skill Catalogue'!$A$6:$K$95,4,FALSE),""))</x:f>
      </x:c>
      <x:c r="I59" s="25" t="str">
        <x:f>IF(B59="","",IFERROR(VLOOKUP(B59,'04 Assessment Log'!$A$6:$AE$155,14,FALSE),""))</x:f>
      </x:c>
      <x:c r="J59" s="25" t="str">
        <x:f>IF(B59="","",IFERROR(VLOOKUP(B59,'04 Assessment Log'!$A$6:$AE$155,15,FALSE),""))</x:f>
      </x:c>
      <x:c r="K59" s="25" t="str">
        <x:f>IF(B59="","",IFERROR(VLOOKUP(B59,'04 Assessment Log'!$A$6:$AE$155,16,FALSE),""))</x:f>
      </x:c>
      <x:c r="L59" s="25" t="str">
        <x:f>IF(B59="","",IFERROR(VLOOKUP(B59,'04 Assessment Log'!$A$6:$AE$155,18,FALSE),""))</x:f>
      </x:c>
      <x:c r="M59" s="24"/>
      <x:c r="N59" s="27"/>
      <x:c r="O59" s="27"/>
      <x:c r="P59" s="24"/>
      <x:c r="Q59" s="24"/>
      <x:c r="R59" s="24"/>
      <x:c r="S59" s="26"/>
      <x:c r="T59" s="26"/>
      <x:c r="U59" s="24"/>
      <x:c r="V59" s="26"/>
      <x:c r="W59" s="27"/>
      <x:c r="X59" s="26"/>
      <x:c r="Y59" s="24"/>
      <x:c r="Z59" s="25" t="str">
        <x:f>IF(Y59="","",IFERROR(VLOOKUP(Y59,'04 Assessment Log'!$A$6:$AE$155,15,FALSE),"Assessment not found"))</x:f>
      </x:c>
      <x:c r="AA59" s="25" t="str">
        <x:f>IF(OR(J59="",Z59=""),"",Z59-J59)</x:f>
      </x:c>
      <x:c r="AB59" s="25" t="str">
        <x:f>IF(A59="","",IF(U59="Cancelled","Cancelled",IF(U59&lt;&gt;"Completed","Open",IF(Y59="","Pending Reassessment",IF(Z59&gt;=I59,"Closed — Competent","Further Action Required")))))</x:f>
      </x:c>
      <x:c r="AC59" s="25" t="str">
        <x:f>IF(OR(A59="",T59=""),"",IF(OR(U59="Completed",U59="Cancelled"),0,MAX(TODAY()-T59,0)))</x:f>
      </x:c>
      <x:c r="AD59" s="24"/>
    </x:row>
    <x:row r="60">
      <x:c r="A60" s="24"/>
      <x:c r="B60" s="24"/>
      <x:c r="C60" s="25" t="str">
        <x:f>IF(B60="","",IFERROR(VLOOKUP(B60,'04 Assessment Log'!$A$6:$AE$155,4,FALSE),"Assessment not found"))</x:f>
      </x:c>
      <x:c r="D60" s="25" t="str">
        <x:f>IF(C60="","",IFERROR(VLOOKUP(C60,'01 Staff Master'!$A$6:$M$105,2,FALSE),""))</x:f>
      </x:c>
      <x:c r="E60" s="25" t="str">
        <x:f>IF(B60="","",IFERROR(VLOOKUP(B60,'04 Assessment Log'!$A$6:$AE$155,6,FALSE),""))</x:f>
      </x:c>
      <x:c r="F60" s="25" t="str">
        <x:f>IF(B60="","",IFERROR(VLOOKUP(B60,'04 Assessment Log'!$A$6:$AE$155,7,FALSE),""))</x:f>
      </x:c>
      <x:c r="G60" s="25" t="str">
        <x:f>IF(B60="","",IFERROR(VLOOKUP(B60,'04 Assessment Log'!$A$6:$AE$155,10,FALSE),""))</x:f>
      </x:c>
      <x:c r="H60" s="25" t="str">
        <x:f>IF(G60="","",IFERROR(VLOOKUP(G60,'02 Skill Catalogue'!$A$6:$K$95,4,FALSE),""))</x:f>
      </x:c>
      <x:c r="I60" s="25" t="str">
        <x:f>IF(B60="","",IFERROR(VLOOKUP(B60,'04 Assessment Log'!$A$6:$AE$155,14,FALSE),""))</x:f>
      </x:c>
      <x:c r="J60" s="25" t="str">
        <x:f>IF(B60="","",IFERROR(VLOOKUP(B60,'04 Assessment Log'!$A$6:$AE$155,15,FALSE),""))</x:f>
      </x:c>
      <x:c r="K60" s="25" t="str">
        <x:f>IF(B60="","",IFERROR(VLOOKUP(B60,'04 Assessment Log'!$A$6:$AE$155,16,FALSE),""))</x:f>
      </x:c>
      <x:c r="L60" s="25" t="str">
        <x:f>IF(B60="","",IFERROR(VLOOKUP(B60,'04 Assessment Log'!$A$6:$AE$155,18,FALSE),""))</x:f>
      </x:c>
      <x:c r="M60" s="24"/>
      <x:c r="N60" s="27"/>
      <x:c r="O60" s="27"/>
      <x:c r="P60" s="24"/>
      <x:c r="Q60" s="24"/>
      <x:c r="R60" s="24"/>
      <x:c r="S60" s="26"/>
      <x:c r="T60" s="26"/>
      <x:c r="U60" s="24"/>
      <x:c r="V60" s="26"/>
      <x:c r="W60" s="27"/>
      <x:c r="X60" s="26"/>
      <x:c r="Y60" s="24"/>
      <x:c r="Z60" s="25" t="str">
        <x:f>IF(Y60="","",IFERROR(VLOOKUP(Y60,'04 Assessment Log'!$A$6:$AE$155,15,FALSE),"Assessment not found"))</x:f>
      </x:c>
      <x:c r="AA60" s="25" t="str">
        <x:f>IF(OR(J60="",Z60=""),"",Z60-J60)</x:f>
      </x:c>
      <x:c r="AB60" s="25" t="str">
        <x:f>IF(A60="","",IF(U60="Cancelled","Cancelled",IF(U60&lt;&gt;"Completed","Open",IF(Y60="","Pending Reassessment",IF(Z60&gt;=I60,"Closed — Competent","Further Action Required")))))</x:f>
      </x:c>
      <x:c r="AC60" s="25" t="str">
        <x:f>IF(OR(A60="",T60=""),"",IF(OR(U60="Completed",U60="Cancelled"),0,MAX(TODAY()-T60,0)))</x:f>
      </x:c>
      <x:c r="AD60" s="24"/>
    </x:row>
    <x:row r="61">
      <x:c r="A61" s="24"/>
      <x:c r="B61" s="24"/>
      <x:c r="C61" s="25" t="str">
        <x:f>IF(B61="","",IFERROR(VLOOKUP(B61,'04 Assessment Log'!$A$6:$AE$155,4,FALSE),"Assessment not found"))</x:f>
      </x:c>
      <x:c r="D61" s="25" t="str">
        <x:f>IF(C61="","",IFERROR(VLOOKUP(C61,'01 Staff Master'!$A$6:$M$105,2,FALSE),""))</x:f>
      </x:c>
      <x:c r="E61" s="25" t="str">
        <x:f>IF(B61="","",IFERROR(VLOOKUP(B61,'04 Assessment Log'!$A$6:$AE$155,6,FALSE),""))</x:f>
      </x:c>
      <x:c r="F61" s="25" t="str">
        <x:f>IF(B61="","",IFERROR(VLOOKUP(B61,'04 Assessment Log'!$A$6:$AE$155,7,FALSE),""))</x:f>
      </x:c>
      <x:c r="G61" s="25" t="str">
        <x:f>IF(B61="","",IFERROR(VLOOKUP(B61,'04 Assessment Log'!$A$6:$AE$155,10,FALSE),""))</x:f>
      </x:c>
      <x:c r="H61" s="25" t="str">
        <x:f>IF(G61="","",IFERROR(VLOOKUP(G61,'02 Skill Catalogue'!$A$6:$K$95,4,FALSE),""))</x:f>
      </x:c>
      <x:c r="I61" s="25" t="str">
        <x:f>IF(B61="","",IFERROR(VLOOKUP(B61,'04 Assessment Log'!$A$6:$AE$155,14,FALSE),""))</x:f>
      </x:c>
      <x:c r="J61" s="25" t="str">
        <x:f>IF(B61="","",IFERROR(VLOOKUP(B61,'04 Assessment Log'!$A$6:$AE$155,15,FALSE),""))</x:f>
      </x:c>
      <x:c r="K61" s="25" t="str">
        <x:f>IF(B61="","",IFERROR(VLOOKUP(B61,'04 Assessment Log'!$A$6:$AE$155,16,FALSE),""))</x:f>
      </x:c>
      <x:c r="L61" s="25" t="str">
        <x:f>IF(B61="","",IFERROR(VLOOKUP(B61,'04 Assessment Log'!$A$6:$AE$155,18,FALSE),""))</x:f>
      </x:c>
      <x:c r="M61" s="24"/>
      <x:c r="N61" s="27"/>
      <x:c r="O61" s="27"/>
      <x:c r="P61" s="24"/>
      <x:c r="Q61" s="24"/>
      <x:c r="R61" s="24"/>
      <x:c r="S61" s="26"/>
      <x:c r="T61" s="26"/>
      <x:c r="U61" s="24"/>
      <x:c r="V61" s="26"/>
      <x:c r="W61" s="27"/>
      <x:c r="X61" s="26"/>
      <x:c r="Y61" s="24"/>
      <x:c r="Z61" s="25" t="str">
        <x:f>IF(Y61="","",IFERROR(VLOOKUP(Y61,'04 Assessment Log'!$A$6:$AE$155,15,FALSE),"Assessment not found"))</x:f>
      </x:c>
      <x:c r="AA61" s="25" t="str">
        <x:f>IF(OR(J61="",Z61=""),"",Z61-J61)</x:f>
      </x:c>
      <x:c r="AB61" s="25" t="str">
        <x:f>IF(A61="","",IF(U61="Cancelled","Cancelled",IF(U61&lt;&gt;"Completed","Open",IF(Y61="","Pending Reassessment",IF(Z61&gt;=I61,"Closed — Competent","Further Action Required")))))</x:f>
      </x:c>
      <x:c r="AC61" s="25" t="str">
        <x:f>IF(OR(A61="",T61=""),"",IF(OR(U61="Completed",U61="Cancelled"),0,MAX(TODAY()-T61,0)))</x:f>
      </x:c>
      <x:c r="AD61" s="24"/>
    </x:row>
    <x:row r="62">
      <x:c r="A62" s="24"/>
      <x:c r="B62" s="24"/>
      <x:c r="C62" s="25" t="str">
        <x:f>IF(B62="","",IFERROR(VLOOKUP(B62,'04 Assessment Log'!$A$6:$AE$155,4,FALSE),"Assessment not found"))</x:f>
      </x:c>
      <x:c r="D62" s="25" t="str">
        <x:f>IF(C62="","",IFERROR(VLOOKUP(C62,'01 Staff Master'!$A$6:$M$105,2,FALSE),""))</x:f>
      </x:c>
      <x:c r="E62" s="25" t="str">
        <x:f>IF(B62="","",IFERROR(VLOOKUP(B62,'04 Assessment Log'!$A$6:$AE$155,6,FALSE),""))</x:f>
      </x:c>
      <x:c r="F62" s="25" t="str">
        <x:f>IF(B62="","",IFERROR(VLOOKUP(B62,'04 Assessment Log'!$A$6:$AE$155,7,FALSE),""))</x:f>
      </x:c>
      <x:c r="G62" s="25" t="str">
        <x:f>IF(B62="","",IFERROR(VLOOKUP(B62,'04 Assessment Log'!$A$6:$AE$155,10,FALSE),""))</x:f>
      </x:c>
      <x:c r="H62" s="25" t="str">
        <x:f>IF(G62="","",IFERROR(VLOOKUP(G62,'02 Skill Catalogue'!$A$6:$K$95,4,FALSE),""))</x:f>
      </x:c>
      <x:c r="I62" s="25" t="str">
        <x:f>IF(B62="","",IFERROR(VLOOKUP(B62,'04 Assessment Log'!$A$6:$AE$155,14,FALSE),""))</x:f>
      </x:c>
      <x:c r="J62" s="25" t="str">
        <x:f>IF(B62="","",IFERROR(VLOOKUP(B62,'04 Assessment Log'!$A$6:$AE$155,15,FALSE),""))</x:f>
      </x:c>
      <x:c r="K62" s="25" t="str">
        <x:f>IF(B62="","",IFERROR(VLOOKUP(B62,'04 Assessment Log'!$A$6:$AE$155,16,FALSE),""))</x:f>
      </x:c>
      <x:c r="L62" s="25" t="str">
        <x:f>IF(B62="","",IFERROR(VLOOKUP(B62,'04 Assessment Log'!$A$6:$AE$155,18,FALSE),""))</x:f>
      </x:c>
      <x:c r="M62" s="24"/>
      <x:c r="N62" s="27"/>
      <x:c r="O62" s="27"/>
      <x:c r="P62" s="24"/>
      <x:c r="Q62" s="24"/>
      <x:c r="R62" s="24"/>
      <x:c r="S62" s="26"/>
      <x:c r="T62" s="26"/>
      <x:c r="U62" s="24"/>
      <x:c r="V62" s="26"/>
      <x:c r="W62" s="27"/>
      <x:c r="X62" s="26"/>
      <x:c r="Y62" s="24"/>
      <x:c r="Z62" s="25" t="str">
        <x:f>IF(Y62="","",IFERROR(VLOOKUP(Y62,'04 Assessment Log'!$A$6:$AE$155,15,FALSE),"Assessment not found"))</x:f>
      </x:c>
      <x:c r="AA62" s="25" t="str">
        <x:f>IF(OR(J62="",Z62=""),"",Z62-J62)</x:f>
      </x:c>
      <x:c r="AB62" s="25" t="str">
        <x:f>IF(A62="","",IF(U62="Cancelled","Cancelled",IF(U62&lt;&gt;"Completed","Open",IF(Y62="","Pending Reassessment",IF(Z62&gt;=I62,"Closed — Competent","Further Action Required")))))</x:f>
      </x:c>
      <x:c r="AC62" s="25" t="str">
        <x:f>IF(OR(A62="",T62=""),"",IF(OR(U62="Completed",U62="Cancelled"),0,MAX(TODAY()-T62,0)))</x:f>
      </x:c>
      <x:c r="AD62" s="24"/>
    </x:row>
    <x:row r="63">
      <x:c r="A63" s="24"/>
      <x:c r="B63" s="24"/>
      <x:c r="C63" s="25" t="str">
        <x:f>IF(B63="","",IFERROR(VLOOKUP(B63,'04 Assessment Log'!$A$6:$AE$155,4,FALSE),"Assessment not found"))</x:f>
      </x:c>
      <x:c r="D63" s="25" t="str">
        <x:f>IF(C63="","",IFERROR(VLOOKUP(C63,'01 Staff Master'!$A$6:$M$105,2,FALSE),""))</x:f>
      </x:c>
      <x:c r="E63" s="25" t="str">
        <x:f>IF(B63="","",IFERROR(VLOOKUP(B63,'04 Assessment Log'!$A$6:$AE$155,6,FALSE),""))</x:f>
      </x:c>
      <x:c r="F63" s="25" t="str">
        <x:f>IF(B63="","",IFERROR(VLOOKUP(B63,'04 Assessment Log'!$A$6:$AE$155,7,FALSE),""))</x:f>
      </x:c>
      <x:c r="G63" s="25" t="str">
        <x:f>IF(B63="","",IFERROR(VLOOKUP(B63,'04 Assessment Log'!$A$6:$AE$155,10,FALSE),""))</x:f>
      </x:c>
      <x:c r="H63" s="25" t="str">
        <x:f>IF(G63="","",IFERROR(VLOOKUP(G63,'02 Skill Catalogue'!$A$6:$K$95,4,FALSE),""))</x:f>
      </x:c>
      <x:c r="I63" s="25" t="str">
        <x:f>IF(B63="","",IFERROR(VLOOKUP(B63,'04 Assessment Log'!$A$6:$AE$155,14,FALSE),""))</x:f>
      </x:c>
      <x:c r="J63" s="25" t="str">
        <x:f>IF(B63="","",IFERROR(VLOOKUP(B63,'04 Assessment Log'!$A$6:$AE$155,15,FALSE),""))</x:f>
      </x:c>
      <x:c r="K63" s="25" t="str">
        <x:f>IF(B63="","",IFERROR(VLOOKUP(B63,'04 Assessment Log'!$A$6:$AE$155,16,FALSE),""))</x:f>
      </x:c>
      <x:c r="L63" s="25" t="str">
        <x:f>IF(B63="","",IFERROR(VLOOKUP(B63,'04 Assessment Log'!$A$6:$AE$155,18,FALSE),""))</x:f>
      </x:c>
      <x:c r="M63" s="24"/>
      <x:c r="N63" s="27"/>
      <x:c r="O63" s="27"/>
      <x:c r="P63" s="24"/>
      <x:c r="Q63" s="24"/>
      <x:c r="R63" s="24"/>
      <x:c r="S63" s="26"/>
      <x:c r="T63" s="26"/>
      <x:c r="U63" s="24"/>
      <x:c r="V63" s="26"/>
      <x:c r="W63" s="27"/>
      <x:c r="X63" s="26"/>
      <x:c r="Y63" s="24"/>
      <x:c r="Z63" s="25" t="str">
        <x:f>IF(Y63="","",IFERROR(VLOOKUP(Y63,'04 Assessment Log'!$A$6:$AE$155,15,FALSE),"Assessment not found"))</x:f>
      </x:c>
      <x:c r="AA63" s="25" t="str">
        <x:f>IF(OR(J63="",Z63=""),"",Z63-J63)</x:f>
      </x:c>
      <x:c r="AB63" s="25" t="str">
        <x:f>IF(A63="","",IF(U63="Cancelled","Cancelled",IF(U63&lt;&gt;"Completed","Open",IF(Y63="","Pending Reassessment",IF(Z63&gt;=I63,"Closed — Competent","Further Action Required")))))</x:f>
      </x:c>
      <x:c r="AC63" s="25" t="str">
        <x:f>IF(OR(A63="",T63=""),"",IF(OR(U63="Completed",U63="Cancelled"),0,MAX(TODAY()-T63,0)))</x:f>
      </x:c>
      <x:c r="AD63" s="24"/>
    </x:row>
    <x:row r="64">
      <x:c r="A64" s="24"/>
      <x:c r="B64" s="24"/>
      <x:c r="C64" s="25" t="str">
        <x:f>IF(B64="","",IFERROR(VLOOKUP(B64,'04 Assessment Log'!$A$6:$AE$155,4,FALSE),"Assessment not found"))</x:f>
      </x:c>
      <x:c r="D64" s="25" t="str">
        <x:f>IF(C64="","",IFERROR(VLOOKUP(C64,'01 Staff Master'!$A$6:$M$105,2,FALSE),""))</x:f>
      </x:c>
      <x:c r="E64" s="25" t="str">
        <x:f>IF(B64="","",IFERROR(VLOOKUP(B64,'04 Assessment Log'!$A$6:$AE$155,6,FALSE),""))</x:f>
      </x:c>
      <x:c r="F64" s="25" t="str">
        <x:f>IF(B64="","",IFERROR(VLOOKUP(B64,'04 Assessment Log'!$A$6:$AE$155,7,FALSE),""))</x:f>
      </x:c>
      <x:c r="G64" s="25" t="str">
        <x:f>IF(B64="","",IFERROR(VLOOKUP(B64,'04 Assessment Log'!$A$6:$AE$155,10,FALSE),""))</x:f>
      </x:c>
      <x:c r="H64" s="25" t="str">
        <x:f>IF(G64="","",IFERROR(VLOOKUP(G64,'02 Skill Catalogue'!$A$6:$K$95,4,FALSE),""))</x:f>
      </x:c>
      <x:c r="I64" s="25" t="str">
        <x:f>IF(B64="","",IFERROR(VLOOKUP(B64,'04 Assessment Log'!$A$6:$AE$155,14,FALSE),""))</x:f>
      </x:c>
      <x:c r="J64" s="25" t="str">
        <x:f>IF(B64="","",IFERROR(VLOOKUP(B64,'04 Assessment Log'!$A$6:$AE$155,15,FALSE),""))</x:f>
      </x:c>
      <x:c r="K64" s="25" t="str">
        <x:f>IF(B64="","",IFERROR(VLOOKUP(B64,'04 Assessment Log'!$A$6:$AE$155,16,FALSE),""))</x:f>
      </x:c>
      <x:c r="L64" s="25" t="str">
        <x:f>IF(B64="","",IFERROR(VLOOKUP(B64,'04 Assessment Log'!$A$6:$AE$155,18,FALSE),""))</x:f>
      </x:c>
      <x:c r="M64" s="24"/>
      <x:c r="N64" s="27"/>
      <x:c r="O64" s="27"/>
      <x:c r="P64" s="24"/>
      <x:c r="Q64" s="24"/>
      <x:c r="R64" s="24"/>
      <x:c r="S64" s="26"/>
      <x:c r="T64" s="26"/>
      <x:c r="U64" s="24"/>
      <x:c r="V64" s="26"/>
      <x:c r="W64" s="27"/>
      <x:c r="X64" s="26"/>
      <x:c r="Y64" s="24"/>
      <x:c r="Z64" s="25" t="str">
        <x:f>IF(Y64="","",IFERROR(VLOOKUP(Y64,'04 Assessment Log'!$A$6:$AE$155,15,FALSE),"Assessment not found"))</x:f>
      </x:c>
      <x:c r="AA64" s="25" t="str">
        <x:f>IF(OR(J64="",Z64=""),"",Z64-J64)</x:f>
      </x:c>
      <x:c r="AB64" s="25" t="str">
        <x:f>IF(A64="","",IF(U64="Cancelled","Cancelled",IF(U64&lt;&gt;"Completed","Open",IF(Y64="","Pending Reassessment",IF(Z64&gt;=I64,"Closed — Competent","Further Action Required")))))</x:f>
      </x:c>
      <x:c r="AC64" s="25" t="str">
        <x:f>IF(OR(A64="",T64=""),"",IF(OR(U64="Completed",U64="Cancelled"),0,MAX(TODAY()-T64,0)))</x:f>
      </x:c>
      <x:c r="AD64" s="24"/>
    </x:row>
    <x:row r="65">
      <x:c r="A65" s="24"/>
      <x:c r="B65" s="24"/>
      <x:c r="C65" s="25" t="str">
        <x:f>IF(B65="","",IFERROR(VLOOKUP(B65,'04 Assessment Log'!$A$6:$AE$155,4,FALSE),"Assessment not found"))</x:f>
      </x:c>
      <x:c r="D65" s="25" t="str">
        <x:f>IF(C65="","",IFERROR(VLOOKUP(C65,'01 Staff Master'!$A$6:$M$105,2,FALSE),""))</x:f>
      </x:c>
      <x:c r="E65" s="25" t="str">
        <x:f>IF(B65="","",IFERROR(VLOOKUP(B65,'04 Assessment Log'!$A$6:$AE$155,6,FALSE),""))</x:f>
      </x:c>
      <x:c r="F65" s="25" t="str">
        <x:f>IF(B65="","",IFERROR(VLOOKUP(B65,'04 Assessment Log'!$A$6:$AE$155,7,FALSE),""))</x:f>
      </x:c>
      <x:c r="G65" s="25" t="str">
        <x:f>IF(B65="","",IFERROR(VLOOKUP(B65,'04 Assessment Log'!$A$6:$AE$155,10,FALSE),""))</x:f>
      </x:c>
      <x:c r="H65" s="25" t="str">
        <x:f>IF(G65="","",IFERROR(VLOOKUP(G65,'02 Skill Catalogue'!$A$6:$K$95,4,FALSE),""))</x:f>
      </x:c>
      <x:c r="I65" s="25" t="str">
        <x:f>IF(B65="","",IFERROR(VLOOKUP(B65,'04 Assessment Log'!$A$6:$AE$155,14,FALSE),""))</x:f>
      </x:c>
      <x:c r="J65" s="25" t="str">
        <x:f>IF(B65="","",IFERROR(VLOOKUP(B65,'04 Assessment Log'!$A$6:$AE$155,15,FALSE),""))</x:f>
      </x:c>
      <x:c r="K65" s="25" t="str">
        <x:f>IF(B65="","",IFERROR(VLOOKUP(B65,'04 Assessment Log'!$A$6:$AE$155,16,FALSE),""))</x:f>
      </x:c>
      <x:c r="L65" s="25" t="str">
        <x:f>IF(B65="","",IFERROR(VLOOKUP(B65,'04 Assessment Log'!$A$6:$AE$155,18,FALSE),""))</x:f>
      </x:c>
      <x:c r="M65" s="24"/>
      <x:c r="N65" s="27"/>
      <x:c r="O65" s="27"/>
      <x:c r="P65" s="24"/>
      <x:c r="Q65" s="24"/>
      <x:c r="R65" s="24"/>
      <x:c r="S65" s="26"/>
      <x:c r="T65" s="26"/>
      <x:c r="U65" s="24"/>
      <x:c r="V65" s="26"/>
      <x:c r="W65" s="27"/>
      <x:c r="X65" s="26"/>
      <x:c r="Y65" s="24"/>
      <x:c r="Z65" s="25" t="str">
        <x:f>IF(Y65="","",IFERROR(VLOOKUP(Y65,'04 Assessment Log'!$A$6:$AE$155,15,FALSE),"Assessment not found"))</x:f>
      </x:c>
      <x:c r="AA65" s="25" t="str">
        <x:f>IF(OR(J65="",Z65=""),"",Z65-J65)</x:f>
      </x:c>
      <x:c r="AB65" s="25" t="str">
        <x:f>IF(A65="","",IF(U65="Cancelled","Cancelled",IF(U65&lt;&gt;"Completed","Open",IF(Y65="","Pending Reassessment",IF(Z65&gt;=I65,"Closed — Competent","Further Action Required")))))</x:f>
      </x:c>
      <x:c r="AC65" s="25" t="str">
        <x:f>IF(OR(A65="",T65=""),"",IF(OR(U65="Completed",U65="Cancelled"),0,MAX(TODAY()-T65,0)))</x:f>
      </x:c>
      <x:c r="AD65" s="24"/>
    </x:row>
    <x:row r="66">
      <x:c r="A66" s="24"/>
      <x:c r="B66" s="24"/>
      <x:c r="C66" s="25" t="str">
        <x:f>IF(B66="","",IFERROR(VLOOKUP(B66,'04 Assessment Log'!$A$6:$AE$155,4,FALSE),"Assessment not found"))</x:f>
      </x:c>
      <x:c r="D66" s="25" t="str">
        <x:f>IF(C66="","",IFERROR(VLOOKUP(C66,'01 Staff Master'!$A$6:$M$105,2,FALSE),""))</x:f>
      </x:c>
      <x:c r="E66" s="25" t="str">
        <x:f>IF(B66="","",IFERROR(VLOOKUP(B66,'04 Assessment Log'!$A$6:$AE$155,6,FALSE),""))</x:f>
      </x:c>
      <x:c r="F66" s="25" t="str">
        <x:f>IF(B66="","",IFERROR(VLOOKUP(B66,'04 Assessment Log'!$A$6:$AE$155,7,FALSE),""))</x:f>
      </x:c>
      <x:c r="G66" s="25" t="str">
        <x:f>IF(B66="","",IFERROR(VLOOKUP(B66,'04 Assessment Log'!$A$6:$AE$155,10,FALSE),""))</x:f>
      </x:c>
      <x:c r="H66" s="25" t="str">
        <x:f>IF(G66="","",IFERROR(VLOOKUP(G66,'02 Skill Catalogue'!$A$6:$K$95,4,FALSE),""))</x:f>
      </x:c>
      <x:c r="I66" s="25" t="str">
        <x:f>IF(B66="","",IFERROR(VLOOKUP(B66,'04 Assessment Log'!$A$6:$AE$155,14,FALSE),""))</x:f>
      </x:c>
      <x:c r="J66" s="25" t="str">
        <x:f>IF(B66="","",IFERROR(VLOOKUP(B66,'04 Assessment Log'!$A$6:$AE$155,15,FALSE),""))</x:f>
      </x:c>
      <x:c r="K66" s="25" t="str">
        <x:f>IF(B66="","",IFERROR(VLOOKUP(B66,'04 Assessment Log'!$A$6:$AE$155,16,FALSE),""))</x:f>
      </x:c>
      <x:c r="L66" s="25" t="str">
        <x:f>IF(B66="","",IFERROR(VLOOKUP(B66,'04 Assessment Log'!$A$6:$AE$155,18,FALSE),""))</x:f>
      </x:c>
      <x:c r="M66" s="24"/>
      <x:c r="N66" s="27"/>
      <x:c r="O66" s="27"/>
      <x:c r="P66" s="24"/>
      <x:c r="Q66" s="24"/>
      <x:c r="R66" s="24"/>
      <x:c r="S66" s="26"/>
      <x:c r="T66" s="26"/>
      <x:c r="U66" s="24"/>
      <x:c r="V66" s="26"/>
      <x:c r="W66" s="27"/>
      <x:c r="X66" s="26"/>
      <x:c r="Y66" s="24"/>
      <x:c r="Z66" s="25" t="str">
        <x:f>IF(Y66="","",IFERROR(VLOOKUP(Y66,'04 Assessment Log'!$A$6:$AE$155,15,FALSE),"Assessment not found"))</x:f>
      </x:c>
      <x:c r="AA66" s="25" t="str">
        <x:f>IF(OR(J66="",Z66=""),"",Z66-J66)</x:f>
      </x:c>
      <x:c r="AB66" s="25" t="str">
        <x:f>IF(A66="","",IF(U66="Cancelled","Cancelled",IF(U66&lt;&gt;"Completed","Open",IF(Y66="","Pending Reassessment",IF(Z66&gt;=I66,"Closed — Competent","Further Action Required")))))</x:f>
      </x:c>
      <x:c r="AC66" s="25" t="str">
        <x:f>IF(OR(A66="",T66=""),"",IF(OR(U66="Completed",U66="Cancelled"),0,MAX(TODAY()-T66,0)))</x:f>
      </x:c>
      <x:c r="AD66" s="24"/>
    </x:row>
    <x:row r="67">
      <x:c r="A67" s="24"/>
      <x:c r="B67" s="24"/>
      <x:c r="C67" s="25" t="str">
        <x:f>IF(B67="","",IFERROR(VLOOKUP(B67,'04 Assessment Log'!$A$6:$AE$155,4,FALSE),"Assessment not found"))</x:f>
      </x:c>
      <x:c r="D67" s="25" t="str">
        <x:f>IF(C67="","",IFERROR(VLOOKUP(C67,'01 Staff Master'!$A$6:$M$105,2,FALSE),""))</x:f>
      </x:c>
      <x:c r="E67" s="25" t="str">
        <x:f>IF(B67="","",IFERROR(VLOOKUP(B67,'04 Assessment Log'!$A$6:$AE$155,6,FALSE),""))</x:f>
      </x:c>
      <x:c r="F67" s="25" t="str">
        <x:f>IF(B67="","",IFERROR(VLOOKUP(B67,'04 Assessment Log'!$A$6:$AE$155,7,FALSE),""))</x:f>
      </x:c>
      <x:c r="G67" s="25" t="str">
        <x:f>IF(B67="","",IFERROR(VLOOKUP(B67,'04 Assessment Log'!$A$6:$AE$155,10,FALSE),""))</x:f>
      </x:c>
      <x:c r="H67" s="25" t="str">
        <x:f>IF(G67="","",IFERROR(VLOOKUP(G67,'02 Skill Catalogue'!$A$6:$K$95,4,FALSE),""))</x:f>
      </x:c>
      <x:c r="I67" s="25" t="str">
        <x:f>IF(B67="","",IFERROR(VLOOKUP(B67,'04 Assessment Log'!$A$6:$AE$155,14,FALSE),""))</x:f>
      </x:c>
      <x:c r="J67" s="25" t="str">
        <x:f>IF(B67="","",IFERROR(VLOOKUP(B67,'04 Assessment Log'!$A$6:$AE$155,15,FALSE),""))</x:f>
      </x:c>
      <x:c r="K67" s="25" t="str">
        <x:f>IF(B67="","",IFERROR(VLOOKUP(B67,'04 Assessment Log'!$A$6:$AE$155,16,FALSE),""))</x:f>
      </x:c>
      <x:c r="L67" s="25" t="str">
        <x:f>IF(B67="","",IFERROR(VLOOKUP(B67,'04 Assessment Log'!$A$6:$AE$155,18,FALSE),""))</x:f>
      </x:c>
      <x:c r="M67" s="24"/>
      <x:c r="N67" s="27"/>
      <x:c r="O67" s="27"/>
      <x:c r="P67" s="24"/>
      <x:c r="Q67" s="24"/>
      <x:c r="R67" s="24"/>
      <x:c r="S67" s="26"/>
      <x:c r="T67" s="26"/>
      <x:c r="U67" s="24"/>
      <x:c r="V67" s="26"/>
      <x:c r="W67" s="27"/>
      <x:c r="X67" s="26"/>
      <x:c r="Y67" s="24"/>
      <x:c r="Z67" s="25" t="str">
        <x:f>IF(Y67="","",IFERROR(VLOOKUP(Y67,'04 Assessment Log'!$A$6:$AE$155,15,FALSE),"Assessment not found"))</x:f>
      </x:c>
      <x:c r="AA67" s="25" t="str">
        <x:f>IF(OR(J67="",Z67=""),"",Z67-J67)</x:f>
      </x:c>
      <x:c r="AB67" s="25" t="str">
        <x:f>IF(A67="","",IF(U67="Cancelled","Cancelled",IF(U67&lt;&gt;"Completed","Open",IF(Y67="","Pending Reassessment",IF(Z67&gt;=I67,"Closed — Competent","Further Action Required")))))</x:f>
      </x:c>
      <x:c r="AC67" s="25" t="str">
        <x:f>IF(OR(A67="",T67=""),"",IF(OR(U67="Completed",U67="Cancelled"),0,MAX(TODAY()-T67,0)))</x:f>
      </x:c>
      <x:c r="AD67" s="24"/>
    </x:row>
    <x:row r="68">
      <x:c r="A68" s="24"/>
      <x:c r="B68" s="24"/>
      <x:c r="C68" s="25" t="str">
        <x:f>IF(B68="","",IFERROR(VLOOKUP(B68,'04 Assessment Log'!$A$6:$AE$155,4,FALSE),"Assessment not found"))</x:f>
      </x:c>
      <x:c r="D68" s="25" t="str">
        <x:f>IF(C68="","",IFERROR(VLOOKUP(C68,'01 Staff Master'!$A$6:$M$105,2,FALSE),""))</x:f>
      </x:c>
      <x:c r="E68" s="25" t="str">
        <x:f>IF(B68="","",IFERROR(VLOOKUP(B68,'04 Assessment Log'!$A$6:$AE$155,6,FALSE),""))</x:f>
      </x:c>
      <x:c r="F68" s="25" t="str">
        <x:f>IF(B68="","",IFERROR(VLOOKUP(B68,'04 Assessment Log'!$A$6:$AE$155,7,FALSE),""))</x:f>
      </x:c>
      <x:c r="G68" s="25" t="str">
        <x:f>IF(B68="","",IFERROR(VLOOKUP(B68,'04 Assessment Log'!$A$6:$AE$155,10,FALSE),""))</x:f>
      </x:c>
      <x:c r="H68" s="25" t="str">
        <x:f>IF(G68="","",IFERROR(VLOOKUP(G68,'02 Skill Catalogue'!$A$6:$K$95,4,FALSE),""))</x:f>
      </x:c>
      <x:c r="I68" s="25" t="str">
        <x:f>IF(B68="","",IFERROR(VLOOKUP(B68,'04 Assessment Log'!$A$6:$AE$155,14,FALSE),""))</x:f>
      </x:c>
      <x:c r="J68" s="25" t="str">
        <x:f>IF(B68="","",IFERROR(VLOOKUP(B68,'04 Assessment Log'!$A$6:$AE$155,15,FALSE),""))</x:f>
      </x:c>
      <x:c r="K68" s="25" t="str">
        <x:f>IF(B68="","",IFERROR(VLOOKUP(B68,'04 Assessment Log'!$A$6:$AE$155,16,FALSE),""))</x:f>
      </x:c>
      <x:c r="L68" s="25" t="str">
        <x:f>IF(B68="","",IFERROR(VLOOKUP(B68,'04 Assessment Log'!$A$6:$AE$155,18,FALSE),""))</x:f>
      </x:c>
      <x:c r="M68" s="24"/>
      <x:c r="N68" s="27"/>
      <x:c r="O68" s="27"/>
      <x:c r="P68" s="24"/>
      <x:c r="Q68" s="24"/>
      <x:c r="R68" s="24"/>
      <x:c r="S68" s="26"/>
      <x:c r="T68" s="26"/>
      <x:c r="U68" s="24"/>
      <x:c r="V68" s="26"/>
      <x:c r="W68" s="27"/>
      <x:c r="X68" s="26"/>
      <x:c r="Y68" s="24"/>
      <x:c r="Z68" s="25" t="str">
        <x:f>IF(Y68="","",IFERROR(VLOOKUP(Y68,'04 Assessment Log'!$A$6:$AE$155,15,FALSE),"Assessment not found"))</x:f>
      </x:c>
      <x:c r="AA68" s="25" t="str">
        <x:f>IF(OR(J68="",Z68=""),"",Z68-J68)</x:f>
      </x:c>
      <x:c r="AB68" s="25" t="str">
        <x:f>IF(A68="","",IF(U68="Cancelled","Cancelled",IF(U68&lt;&gt;"Completed","Open",IF(Y68="","Pending Reassessment",IF(Z68&gt;=I68,"Closed — Competent","Further Action Required")))))</x:f>
      </x:c>
      <x:c r="AC68" s="25" t="str">
        <x:f>IF(OR(A68="",T68=""),"",IF(OR(U68="Completed",U68="Cancelled"),0,MAX(TODAY()-T68,0)))</x:f>
      </x:c>
      <x:c r="AD68" s="24"/>
    </x:row>
    <x:row r="69">
      <x:c r="A69" s="24"/>
      <x:c r="B69" s="24"/>
      <x:c r="C69" s="25" t="str">
        <x:f>IF(B69="","",IFERROR(VLOOKUP(B69,'04 Assessment Log'!$A$6:$AE$155,4,FALSE),"Assessment not found"))</x:f>
      </x:c>
      <x:c r="D69" s="25" t="str">
        <x:f>IF(C69="","",IFERROR(VLOOKUP(C69,'01 Staff Master'!$A$6:$M$105,2,FALSE),""))</x:f>
      </x:c>
      <x:c r="E69" s="25" t="str">
        <x:f>IF(B69="","",IFERROR(VLOOKUP(B69,'04 Assessment Log'!$A$6:$AE$155,6,FALSE),""))</x:f>
      </x:c>
      <x:c r="F69" s="25" t="str">
        <x:f>IF(B69="","",IFERROR(VLOOKUP(B69,'04 Assessment Log'!$A$6:$AE$155,7,FALSE),""))</x:f>
      </x:c>
      <x:c r="G69" s="25" t="str">
        <x:f>IF(B69="","",IFERROR(VLOOKUP(B69,'04 Assessment Log'!$A$6:$AE$155,10,FALSE),""))</x:f>
      </x:c>
      <x:c r="H69" s="25" t="str">
        <x:f>IF(G69="","",IFERROR(VLOOKUP(G69,'02 Skill Catalogue'!$A$6:$K$95,4,FALSE),""))</x:f>
      </x:c>
      <x:c r="I69" s="25" t="str">
        <x:f>IF(B69="","",IFERROR(VLOOKUP(B69,'04 Assessment Log'!$A$6:$AE$155,14,FALSE),""))</x:f>
      </x:c>
      <x:c r="J69" s="25" t="str">
        <x:f>IF(B69="","",IFERROR(VLOOKUP(B69,'04 Assessment Log'!$A$6:$AE$155,15,FALSE),""))</x:f>
      </x:c>
      <x:c r="K69" s="25" t="str">
        <x:f>IF(B69="","",IFERROR(VLOOKUP(B69,'04 Assessment Log'!$A$6:$AE$155,16,FALSE),""))</x:f>
      </x:c>
      <x:c r="L69" s="25" t="str">
        <x:f>IF(B69="","",IFERROR(VLOOKUP(B69,'04 Assessment Log'!$A$6:$AE$155,18,FALSE),""))</x:f>
      </x:c>
      <x:c r="M69" s="24"/>
      <x:c r="N69" s="27"/>
      <x:c r="O69" s="27"/>
      <x:c r="P69" s="24"/>
      <x:c r="Q69" s="24"/>
      <x:c r="R69" s="24"/>
      <x:c r="S69" s="26"/>
      <x:c r="T69" s="26"/>
      <x:c r="U69" s="24"/>
      <x:c r="V69" s="26"/>
      <x:c r="W69" s="27"/>
      <x:c r="X69" s="26"/>
      <x:c r="Y69" s="24"/>
      <x:c r="Z69" s="25" t="str">
        <x:f>IF(Y69="","",IFERROR(VLOOKUP(Y69,'04 Assessment Log'!$A$6:$AE$155,15,FALSE),"Assessment not found"))</x:f>
      </x:c>
      <x:c r="AA69" s="25" t="str">
        <x:f>IF(OR(J69="",Z69=""),"",Z69-J69)</x:f>
      </x:c>
      <x:c r="AB69" s="25" t="str">
        <x:f>IF(A69="","",IF(U69="Cancelled","Cancelled",IF(U69&lt;&gt;"Completed","Open",IF(Y69="","Pending Reassessment",IF(Z69&gt;=I69,"Closed — Competent","Further Action Required")))))</x:f>
      </x:c>
      <x:c r="AC69" s="25" t="str">
        <x:f>IF(OR(A69="",T69=""),"",IF(OR(U69="Completed",U69="Cancelled"),0,MAX(TODAY()-T69,0)))</x:f>
      </x:c>
      <x:c r="AD69" s="24"/>
    </x:row>
    <x:row r="70">
      <x:c r="A70" s="24"/>
      <x:c r="B70" s="24"/>
      <x:c r="C70" s="25" t="str">
        <x:f>IF(B70="","",IFERROR(VLOOKUP(B70,'04 Assessment Log'!$A$6:$AE$155,4,FALSE),"Assessment not found"))</x:f>
      </x:c>
      <x:c r="D70" s="25" t="str">
        <x:f>IF(C70="","",IFERROR(VLOOKUP(C70,'01 Staff Master'!$A$6:$M$105,2,FALSE),""))</x:f>
      </x:c>
      <x:c r="E70" s="25" t="str">
        <x:f>IF(B70="","",IFERROR(VLOOKUP(B70,'04 Assessment Log'!$A$6:$AE$155,6,FALSE),""))</x:f>
      </x:c>
      <x:c r="F70" s="25" t="str">
        <x:f>IF(B70="","",IFERROR(VLOOKUP(B70,'04 Assessment Log'!$A$6:$AE$155,7,FALSE),""))</x:f>
      </x:c>
      <x:c r="G70" s="25" t="str">
        <x:f>IF(B70="","",IFERROR(VLOOKUP(B70,'04 Assessment Log'!$A$6:$AE$155,10,FALSE),""))</x:f>
      </x:c>
      <x:c r="H70" s="25" t="str">
        <x:f>IF(G70="","",IFERROR(VLOOKUP(G70,'02 Skill Catalogue'!$A$6:$K$95,4,FALSE),""))</x:f>
      </x:c>
      <x:c r="I70" s="25" t="str">
        <x:f>IF(B70="","",IFERROR(VLOOKUP(B70,'04 Assessment Log'!$A$6:$AE$155,14,FALSE),""))</x:f>
      </x:c>
      <x:c r="J70" s="25" t="str">
        <x:f>IF(B70="","",IFERROR(VLOOKUP(B70,'04 Assessment Log'!$A$6:$AE$155,15,FALSE),""))</x:f>
      </x:c>
      <x:c r="K70" s="25" t="str">
        <x:f>IF(B70="","",IFERROR(VLOOKUP(B70,'04 Assessment Log'!$A$6:$AE$155,16,FALSE),""))</x:f>
      </x:c>
      <x:c r="L70" s="25" t="str">
        <x:f>IF(B70="","",IFERROR(VLOOKUP(B70,'04 Assessment Log'!$A$6:$AE$155,18,FALSE),""))</x:f>
      </x:c>
      <x:c r="M70" s="24"/>
      <x:c r="N70" s="27"/>
      <x:c r="O70" s="27"/>
      <x:c r="P70" s="24"/>
      <x:c r="Q70" s="24"/>
      <x:c r="R70" s="24"/>
      <x:c r="S70" s="26"/>
      <x:c r="T70" s="26"/>
      <x:c r="U70" s="24"/>
      <x:c r="V70" s="26"/>
      <x:c r="W70" s="27"/>
      <x:c r="X70" s="26"/>
      <x:c r="Y70" s="24"/>
      <x:c r="Z70" s="25" t="str">
        <x:f>IF(Y70="","",IFERROR(VLOOKUP(Y70,'04 Assessment Log'!$A$6:$AE$155,15,FALSE),"Assessment not found"))</x:f>
      </x:c>
      <x:c r="AA70" s="25" t="str">
        <x:f>IF(OR(J70="",Z70=""),"",Z70-J70)</x:f>
      </x:c>
      <x:c r="AB70" s="25" t="str">
        <x:f>IF(A70="","",IF(U70="Cancelled","Cancelled",IF(U70&lt;&gt;"Completed","Open",IF(Y70="","Pending Reassessment",IF(Z70&gt;=I70,"Closed — Competent","Further Action Required")))))</x:f>
      </x:c>
      <x:c r="AC70" s="25" t="str">
        <x:f>IF(OR(A70="",T70=""),"",IF(OR(U70="Completed",U70="Cancelled"),0,MAX(TODAY()-T70,0)))</x:f>
      </x:c>
      <x:c r="AD70" s="24"/>
    </x:row>
    <x:row r="71">
      <x:c r="A71" s="24"/>
      <x:c r="B71" s="24"/>
      <x:c r="C71" s="25" t="str">
        <x:f>IF(B71="","",IFERROR(VLOOKUP(B71,'04 Assessment Log'!$A$6:$AE$155,4,FALSE),"Assessment not found"))</x:f>
      </x:c>
      <x:c r="D71" s="25" t="str">
        <x:f>IF(C71="","",IFERROR(VLOOKUP(C71,'01 Staff Master'!$A$6:$M$105,2,FALSE),""))</x:f>
      </x:c>
      <x:c r="E71" s="25" t="str">
        <x:f>IF(B71="","",IFERROR(VLOOKUP(B71,'04 Assessment Log'!$A$6:$AE$155,6,FALSE),""))</x:f>
      </x:c>
      <x:c r="F71" s="25" t="str">
        <x:f>IF(B71="","",IFERROR(VLOOKUP(B71,'04 Assessment Log'!$A$6:$AE$155,7,FALSE),""))</x:f>
      </x:c>
      <x:c r="G71" s="25" t="str">
        <x:f>IF(B71="","",IFERROR(VLOOKUP(B71,'04 Assessment Log'!$A$6:$AE$155,10,FALSE),""))</x:f>
      </x:c>
      <x:c r="H71" s="25" t="str">
        <x:f>IF(G71="","",IFERROR(VLOOKUP(G71,'02 Skill Catalogue'!$A$6:$K$95,4,FALSE),""))</x:f>
      </x:c>
      <x:c r="I71" s="25" t="str">
        <x:f>IF(B71="","",IFERROR(VLOOKUP(B71,'04 Assessment Log'!$A$6:$AE$155,14,FALSE),""))</x:f>
      </x:c>
      <x:c r="J71" s="25" t="str">
        <x:f>IF(B71="","",IFERROR(VLOOKUP(B71,'04 Assessment Log'!$A$6:$AE$155,15,FALSE),""))</x:f>
      </x:c>
      <x:c r="K71" s="25" t="str">
        <x:f>IF(B71="","",IFERROR(VLOOKUP(B71,'04 Assessment Log'!$A$6:$AE$155,16,FALSE),""))</x:f>
      </x:c>
      <x:c r="L71" s="25" t="str">
        <x:f>IF(B71="","",IFERROR(VLOOKUP(B71,'04 Assessment Log'!$A$6:$AE$155,18,FALSE),""))</x:f>
      </x:c>
      <x:c r="M71" s="24"/>
      <x:c r="N71" s="27"/>
      <x:c r="O71" s="27"/>
      <x:c r="P71" s="24"/>
      <x:c r="Q71" s="24"/>
      <x:c r="R71" s="24"/>
      <x:c r="S71" s="26"/>
      <x:c r="T71" s="26"/>
      <x:c r="U71" s="24"/>
      <x:c r="V71" s="26"/>
      <x:c r="W71" s="27"/>
      <x:c r="X71" s="26"/>
      <x:c r="Y71" s="24"/>
      <x:c r="Z71" s="25" t="str">
        <x:f>IF(Y71="","",IFERROR(VLOOKUP(Y71,'04 Assessment Log'!$A$6:$AE$155,15,FALSE),"Assessment not found"))</x:f>
      </x:c>
      <x:c r="AA71" s="25" t="str">
        <x:f>IF(OR(J71="",Z71=""),"",Z71-J71)</x:f>
      </x:c>
      <x:c r="AB71" s="25" t="str">
        <x:f>IF(A71="","",IF(U71="Cancelled","Cancelled",IF(U71&lt;&gt;"Completed","Open",IF(Y71="","Pending Reassessment",IF(Z71&gt;=I71,"Closed — Competent","Further Action Required")))))</x:f>
      </x:c>
      <x:c r="AC71" s="25" t="str">
        <x:f>IF(OR(A71="",T71=""),"",IF(OR(U71="Completed",U71="Cancelled"),0,MAX(TODAY()-T71,0)))</x:f>
      </x:c>
      <x:c r="AD71" s="24"/>
    </x:row>
    <x:row r="72">
      <x:c r="A72" s="24"/>
      <x:c r="B72" s="24"/>
      <x:c r="C72" s="25" t="str">
        <x:f>IF(B72="","",IFERROR(VLOOKUP(B72,'04 Assessment Log'!$A$6:$AE$155,4,FALSE),"Assessment not found"))</x:f>
      </x:c>
      <x:c r="D72" s="25" t="str">
        <x:f>IF(C72="","",IFERROR(VLOOKUP(C72,'01 Staff Master'!$A$6:$M$105,2,FALSE),""))</x:f>
      </x:c>
      <x:c r="E72" s="25" t="str">
        <x:f>IF(B72="","",IFERROR(VLOOKUP(B72,'04 Assessment Log'!$A$6:$AE$155,6,FALSE),""))</x:f>
      </x:c>
      <x:c r="F72" s="25" t="str">
        <x:f>IF(B72="","",IFERROR(VLOOKUP(B72,'04 Assessment Log'!$A$6:$AE$155,7,FALSE),""))</x:f>
      </x:c>
      <x:c r="G72" s="25" t="str">
        <x:f>IF(B72="","",IFERROR(VLOOKUP(B72,'04 Assessment Log'!$A$6:$AE$155,10,FALSE),""))</x:f>
      </x:c>
      <x:c r="H72" s="25" t="str">
        <x:f>IF(G72="","",IFERROR(VLOOKUP(G72,'02 Skill Catalogue'!$A$6:$K$95,4,FALSE),""))</x:f>
      </x:c>
      <x:c r="I72" s="25" t="str">
        <x:f>IF(B72="","",IFERROR(VLOOKUP(B72,'04 Assessment Log'!$A$6:$AE$155,14,FALSE),""))</x:f>
      </x:c>
      <x:c r="J72" s="25" t="str">
        <x:f>IF(B72="","",IFERROR(VLOOKUP(B72,'04 Assessment Log'!$A$6:$AE$155,15,FALSE),""))</x:f>
      </x:c>
      <x:c r="K72" s="25" t="str">
        <x:f>IF(B72="","",IFERROR(VLOOKUP(B72,'04 Assessment Log'!$A$6:$AE$155,16,FALSE),""))</x:f>
      </x:c>
      <x:c r="L72" s="25" t="str">
        <x:f>IF(B72="","",IFERROR(VLOOKUP(B72,'04 Assessment Log'!$A$6:$AE$155,18,FALSE),""))</x:f>
      </x:c>
      <x:c r="M72" s="24"/>
      <x:c r="N72" s="27"/>
      <x:c r="O72" s="27"/>
      <x:c r="P72" s="24"/>
      <x:c r="Q72" s="24"/>
      <x:c r="R72" s="24"/>
      <x:c r="S72" s="26"/>
      <x:c r="T72" s="26"/>
      <x:c r="U72" s="24"/>
      <x:c r="V72" s="26"/>
      <x:c r="W72" s="27"/>
      <x:c r="X72" s="26"/>
      <x:c r="Y72" s="24"/>
      <x:c r="Z72" s="25" t="str">
        <x:f>IF(Y72="","",IFERROR(VLOOKUP(Y72,'04 Assessment Log'!$A$6:$AE$155,15,FALSE),"Assessment not found"))</x:f>
      </x:c>
      <x:c r="AA72" s="25" t="str">
        <x:f>IF(OR(J72="",Z72=""),"",Z72-J72)</x:f>
      </x:c>
      <x:c r="AB72" s="25" t="str">
        <x:f>IF(A72="","",IF(U72="Cancelled","Cancelled",IF(U72&lt;&gt;"Completed","Open",IF(Y72="","Pending Reassessment",IF(Z72&gt;=I72,"Closed — Competent","Further Action Required")))))</x:f>
      </x:c>
      <x:c r="AC72" s="25" t="str">
        <x:f>IF(OR(A72="",T72=""),"",IF(OR(U72="Completed",U72="Cancelled"),0,MAX(TODAY()-T72,0)))</x:f>
      </x:c>
      <x:c r="AD72" s="24"/>
    </x:row>
    <x:row r="73">
      <x:c r="A73" s="24"/>
      <x:c r="B73" s="24"/>
      <x:c r="C73" s="25" t="str">
        <x:f>IF(B73="","",IFERROR(VLOOKUP(B73,'04 Assessment Log'!$A$6:$AE$155,4,FALSE),"Assessment not found"))</x:f>
      </x:c>
      <x:c r="D73" s="25" t="str">
        <x:f>IF(C73="","",IFERROR(VLOOKUP(C73,'01 Staff Master'!$A$6:$M$105,2,FALSE),""))</x:f>
      </x:c>
      <x:c r="E73" s="25" t="str">
        <x:f>IF(B73="","",IFERROR(VLOOKUP(B73,'04 Assessment Log'!$A$6:$AE$155,6,FALSE),""))</x:f>
      </x:c>
      <x:c r="F73" s="25" t="str">
        <x:f>IF(B73="","",IFERROR(VLOOKUP(B73,'04 Assessment Log'!$A$6:$AE$155,7,FALSE),""))</x:f>
      </x:c>
      <x:c r="G73" s="25" t="str">
        <x:f>IF(B73="","",IFERROR(VLOOKUP(B73,'04 Assessment Log'!$A$6:$AE$155,10,FALSE),""))</x:f>
      </x:c>
      <x:c r="H73" s="25" t="str">
        <x:f>IF(G73="","",IFERROR(VLOOKUP(G73,'02 Skill Catalogue'!$A$6:$K$95,4,FALSE),""))</x:f>
      </x:c>
      <x:c r="I73" s="25" t="str">
        <x:f>IF(B73="","",IFERROR(VLOOKUP(B73,'04 Assessment Log'!$A$6:$AE$155,14,FALSE),""))</x:f>
      </x:c>
      <x:c r="J73" s="25" t="str">
        <x:f>IF(B73="","",IFERROR(VLOOKUP(B73,'04 Assessment Log'!$A$6:$AE$155,15,FALSE),""))</x:f>
      </x:c>
      <x:c r="K73" s="25" t="str">
        <x:f>IF(B73="","",IFERROR(VLOOKUP(B73,'04 Assessment Log'!$A$6:$AE$155,16,FALSE),""))</x:f>
      </x:c>
      <x:c r="L73" s="25" t="str">
        <x:f>IF(B73="","",IFERROR(VLOOKUP(B73,'04 Assessment Log'!$A$6:$AE$155,18,FALSE),""))</x:f>
      </x:c>
      <x:c r="M73" s="24"/>
      <x:c r="N73" s="27"/>
      <x:c r="O73" s="27"/>
      <x:c r="P73" s="24"/>
      <x:c r="Q73" s="24"/>
      <x:c r="R73" s="24"/>
      <x:c r="S73" s="26"/>
      <x:c r="T73" s="26"/>
      <x:c r="U73" s="24"/>
      <x:c r="V73" s="26"/>
      <x:c r="W73" s="27"/>
      <x:c r="X73" s="26"/>
      <x:c r="Y73" s="24"/>
      <x:c r="Z73" s="25" t="str">
        <x:f>IF(Y73="","",IFERROR(VLOOKUP(Y73,'04 Assessment Log'!$A$6:$AE$155,15,FALSE),"Assessment not found"))</x:f>
      </x:c>
      <x:c r="AA73" s="25" t="str">
        <x:f>IF(OR(J73="",Z73=""),"",Z73-J73)</x:f>
      </x:c>
      <x:c r="AB73" s="25" t="str">
        <x:f>IF(A73="","",IF(U73="Cancelled","Cancelled",IF(U73&lt;&gt;"Completed","Open",IF(Y73="","Pending Reassessment",IF(Z73&gt;=I73,"Closed — Competent","Further Action Required")))))</x:f>
      </x:c>
      <x:c r="AC73" s="25" t="str">
        <x:f>IF(OR(A73="",T73=""),"",IF(OR(U73="Completed",U73="Cancelled"),0,MAX(TODAY()-T73,0)))</x:f>
      </x:c>
      <x:c r="AD73" s="24"/>
    </x:row>
    <x:row r="74">
      <x:c r="A74" s="24"/>
      <x:c r="B74" s="24"/>
      <x:c r="C74" s="25" t="str">
        <x:f>IF(B74="","",IFERROR(VLOOKUP(B74,'04 Assessment Log'!$A$6:$AE$155,4,FALSE),"Assessment not found"))</x:f>
      </x:c>
      <x:c r="D74" s="25" t="str">
        <x:f>IF(C74="","",IFERROR(VLOOKUP(C74,'01 Staff Master'!$A$6:$M$105,2,FALSE),""))</x:f>
      </x:c>
      <x:c r="E74" s="25" t="str">
        <x:f>IF(B74="","",IFERROR(VLOOKUP(B74,'04 Assessment Log'!$A$6:$AE$155,6,FALSE),""))</x:f>
      </x:c>
      <x:c r="F74" s="25" t="str">
        <x:f>IF(B74="","",IFERROR(VLOOKUP(B74,'04 Assessment Log'!$A$6:$AE$155,7,FALSE),""))</x:f>
      </x:c>
      <x:c r="G74" s="25" t="str">
        <x:f>IF(B74="","",IFERROR(VLOOKUP(B74,'04 Assessment Log'!$A$6:$AE$155,10,FALSE),""))</x:f>
      </x:c>
      <x:c r="H74" s="25" t="str">
        <x:f>IF(G74="","",IFERROR(VLOOKUP(G74,'02 Skill Catalogue'!$A$6:$K$95,4,FALSE),""))</x:f>
      </x:c>
      <x:c r="I74" s="25" t="str">
        <x:f>IF(B74="","",IFERROR(VLOOKUP(B74,'04 Assessment Log'!$A$6:$AE$155,14,FALSE),""))</x:f>
      </x:c>
      <x:c r="J74" s="25" t="str">
        <x:f>IF(B74="","",IFERROR(VLOOKUP(B74,'04 Assessment Log'!$A$6:$AE$155,15,FALSE),""))</x:f>
      </x:c>
      <x:c r="K74" s="25" t="str">
        <x:f>IF(B74="","",IFERROR(VLOOKUP(B74,'04 Assessment Log'!$A$6:$AE$155,16,FALSE),""))</x:f>
      </x:c>
      <x:c r="L74" s="25" t="str">
        <x:f>IF(B74="","",IFERROR(VLOOKUP(B74,'04 Assessment Log'!$A$6:$AE$155,18,FALSE),""))</x:f>
      </x:c>
      <x:c r="M74" s="24"/>
      <x:c r="N74" s="27"/>
      <x:c r="O74" s="27"/>
      <x:c r="P74" s="24"/>
      <x:c r="Q74" s="24"/>
      <x:c r="R74" s="24"/>
      <x:c r="S74" s="26"/>
      <x:c r="T74" s="26"/>
      <x:c r="U74" s="24"/>
      <x:c r="V74" s="26"/>
      <x:c r="W74" s="27"/>
      <x:c r="X74" s="26"/>
      <x:c r="Y74" s="24"/>
      <x:c r="Z74" s="25" t="str">
        <x:f>IF(Y74="","",IFERROR(VLOOKUP(Y74,'04 Assessment Log'!$A$6:$AE$155,15,FALSE),"Assessment not found"))</x:f>
      </x:c>
      <x:c r="AA74" s="25" t="str">
        <x:f>IF(OR(J74="",Z74=""),"",Z74-J74)</x:f>
      </x:c>
      <x:c r="AB74" s="25" t="str">
        <x:f>IF(A74="","",IF(U74="Cancelled","Cancelled",IF(U74&lt;&gt;"Completed","Open",IF(Y74="","Pending Reassessment",IF(Z74&gt;=I74,"Closed — Competent","Further Action Required")))))</x:f>
      </x:c>
      <x:c r="AC74" s="25" t="str">
        <x:f>IF(OR(A74="",T74=""),"",IF(OR(U74="Completed",U74="Cancelled"),0,MAX(TODAY()-T74,0)))</x:f>
      </x:c>
      <x:c r="AD74" s="24"/>
    </x:row>
    <x:row r="75">
      <x:c r="A75" s="24"/>
      <x:c r="B75" s="24"/>
      <x:c r="C75" s="25" t="str">
        <x:f>IF(B75="","",IFERROR(VLOOKUP(B75,'04 Assessment Log'!$A$6:$AE$155,4,FALSE),"Assessment not found"))</x:f>
      </x:c>
      <x:c r="D75" s="25" t="str">
        <x:f>IF(C75="","",IFERROR(VLOOKUP(C75,'01 Staff Master'!$A$6:$M$105,2,FALSE),""))</x:f>
      </x:c>
      <x:c r="E75" s="25" t="str">
        <x:f>IF(B75="","",IFERROR(VLOOKUP(B75,'04 Assessment Log'!$A$6:$AE$155,6,FALSE),""))</x:f>
      </x:c>
      <x:c r="F75" s="25" t="str">
        <x:f>IF(B75="","",IFERROR(VLOOKUP(B75,'04 Assessment Log'!$A$6:$AE$155,7,FALSE),""))</x:f>
      </x:c>
      <x:c r="G75" s="25" t="str">
        <x:f>IF(B75="","",IFERROR(VLOOKUP(B75,'04 Assessment Log'!$A$6:$AE$155,10,FALSE),""))</x:f>
      </x:c>
      <x:c r="H75" s="25" t="str">
        <x:f>IF(G75="","",IFERROR(VLOOKUP(G75,'02 Skill Catalogue'!$A$6:$K$95,4,FALSE),""))</x:f>
      </x:c>
      <x:c r="I75" s="25" t="str">
        <x:f>IF(B75="","",IFERROR(VLOOKUP(B75,'04 Assessment Log'!$A$6:$AE$155,14,FALSE),""))</x:f>
      </x:c>
      <x:c r="J75" s="25" t="str">
        <x:f>IF(B75="","",IFERROR(VLOOKUP(B75,'04 Assessment Log'!$A$6:$AE$155,15,FALSE),""))</x:f>
      </x:c>
      <x:c r="K75" s="25" t="str">
        <x:f>IF(B75="","",IFERROR(VLOOKUP(B75,'04 Assessment Log'!$A$6:$AE$155,16,FALSE),""))</x:f>
      </x:c>
      <x:c r="L75" s="25" t="str">
        <x:f>IF(B75="","",IFERROR(VLOOKUP(B75,'04 Assessment Log'!$A$6:$AE$155,18,FALSE),""))</x:f>
      </x:c>
      <x:c r="M75" s="24"/>
      <x:c r="N75" s="27"/>
      <x:c r="O75" s="27"/>
      <x:c r="P75" s="24"/>
      <x:c r="Q75" s="24"/>
      <x:c r="R75" s="24"/>
      <x:c r="S75" s="26"/>
      <x:c r="T75" s="26"/>
      <x:c r="U75" s="24"/>
      <x:c r="V75" s="26"/>
      <x:c r="W75" s="27"/>
      <x:c r="X75" s="26"/>
      <x:c r="Y75" s="24"/>
      <x:c r="Z75" s="25" t="str">
        <x:f>IF(Y75="","",IFERROR(VLOOKUP(Y75,'04 Assessment Log'!$A$6:$AE$155,15,FALSE),"Assessment not found"))</x:f>
      </x:c>
      <x:c r="AA75" s="25" t="str">
        <x:f>IF(OR(J75="",Z75=""),"",Z75-J75)</x:f>
      </x:c>
      <x:c r="AB75" s="25" t="str">
        <x:f>IF(A75="","",IF(U75="Cancelled","Cancelled",IF(U75&lt;&gt;"Completed","Open",IF(Y75="","Pending Reassessment",IF(Z75&gt;=I75,"Closed — Competent","Further Action Required")))))</x:f>
      </x:c>
      <x:c r="AC75" s="25" t="str">
        <x:f>IF(OR(A75="",T75=""),"",IF(OR(U75="Completed",U75="Cancelled"),0,MAX(TODAY()-T75,0)))</x:f>
      </x:c>
      <x:c r="AD75" s="24"/>
    </x:row>
    <x:row r="76">
      <x:c r="A76" s="24"/>
      <x:c r="B76" s="24"/>
      <x:c r="C76" s="25" t="str">
        <x:f>IF(B76="","",IFERROR(VLOOKUP(B76,'04 Assessment Log'!$A$6:$AE$155,4,FALSE),"Assessment not found"))</x:f>
      </x:c>
      <x:c r="D76" s="25" t="str">
        <x:f>IF(C76="","",IFERROR(VLOOKUP(C76,'01 Staff Master'!$A$6:$M$105,2,FALSE),""))</x:f>
      </x:c>
      <x:c r="E76" s="25" t="str">
        <x:f>IF(B76="","",IFERROR(VLOOKUP(B76,'04 Assessment Log'!$A$6:$AE$155,6,FALSE),""))</x:f>
      </x:c>
      <x:c r="F76" s="25" t="str">
        <x:f>IF(B76="","",IFERROR(VLOOKUP(B76,'04 Assessment Log'!$A$6:$AE$155,7,FALSE),""))</x:f>
      </x:c>
      <x:c r="G76" s="25" t="str">
        <x:f>IF(B76="","",IFERROR(VLOOKUP(B76,'04 Assessment Log'!$A$6:$AE$155,10,FALSE),""))</x:f>
      </x:c>
      <x:c r="H76" s="25" t="str">
        <x:f>IF(G76="","",IFERROR(VLOOKUP(G76,'02 Skill Catalogue'!$A$6:$K$95,4,FALSE),""))</x:f>
      </x:c>
      <x:c r="I76" s="25" t="str">
        <x:f>IF(B76="","",IFERROR(VLOOKUP(B76,'04 Assessment Log'!$A$6:$AE$155,14,FALSE),""))</x:f>
      </x:c>
      <x:c r="J76" s="25" t="str">
        <x:f>IF(B76="","",IFERROR(VLOOKUP(B76,'04 Assessment Log'!$A$6:$AE$155,15,FALSE),""))</x:f>
      </x:c>
      <x:c r="K76" s="25" t="str">
        <x:f>IF(B76="","",IFERROR(VLOOKUP(B76,'04 Assessment Log'!$A$6:$AE$155,16,FALSE),""))</x:f>
      </x:c>
      <x:c r="L76" s="25" t="str">
        <x:f>IF(B76="","",IFERROR(VLOOKUP(B76,'04 Assessment Log'!$A$6:$AE$155,18,FALSE),""))</x:f>
      </x:c>
      <x:c r="M76" s="24"/>
      <x:c r="N76" s="27"/>
      <x:c r="O76" s="27"/>
      <x:c r="P76" s="24"/>
      <x:c r="Q76" s="24"/>
      <x:c r="R76" s="24"/>
      <x:c r="S76" s="26"/>
      <x:c r="T76" s="26"/>
      <x:c r="U76" s="24"/>
      <x:c r="V76" s="26"/>
      <x:c r="W76" s="27"/>
      <x:c r="X76" s="26"/>
      <x:c r="Y76" s="24"/>
      <x:c r="Z76" s="25" t="str">
        <x:f>IF(Y76="","",IFERROR(VLOOKUP(Y76,'04 Assessment Log'!$A$6:$AE$155,15,FALSE),"Assessment not found"))</x:f>
      </x:c>
      <x:c r="AA76" s="25" t="str">
        <x:f>IF(OR(J76="",Z76=""),"",Z76-J76)</x:f>
      </x:c>
      <x:c r="AB76" s="25" t="str">
        <x:f>IF(A76="","",IF(U76="Cancelled","Cancelled",IF(U76&lt;&gt;"Completed","Open",IF(Y76="","Pending Reassessment",IF(Z76&gt;=I76,"Closed — Competent","Further Action Required")))))</x:f>
      </x:c>
      <x:c r="AC76" s="25" t="str">
        <x:f>IF(OR(A76="",T76=""),"",IF(OR(U76="Completed",U76="Cancelled"),0,MAX(TODAY()-T76,0)))</x:f>
      </x:c>
      <x:c r="AD76" s="24"/>
    </x:row>
    <x:row r="77">
      <x:c r="A77" s="24"/>
      <x:c r="B77" s="24"/>
      <x:c r="C77" s="25" t="str">
        <x:f>IF(B77="","",IFERROR(VLOOKUP(B77,'04 Assessment Log'!$A$6:$AE$155,4,FALSE),"Assessment not found"))</x:f>
      </x:c>
      <x:c r="D77" s="25" t="str">
        <x:f>IF(C77="","",IFERROR(VLOOKUP(C77,'01 Staff Master'!$A$6:$M$105,2,FALSE),""))</x:f>
      </x:c>
      <x:c r="E77" s="25" t="str">
        <x:f>IF(B77="","",IFERROR(VLOOKUP(B77,'04 Assessment Log'!$A$6:$AE$155,6,FALSE),""))</x:f>
      </x:c>
      <x:c r="F77" s="25" t="str">
        <x:f>IF(B77="","",IFERROR(VLOOKUP(B77,'04 Assessment Log'!$A$6:$AE$155,7,FALSE),""))</x:f>
      </x:c>
      <x:c r="G77" s="25" t="str">
        <x:f>IF(B77="","",IFERROR(VLOOKUP(B77,'04 Assessment Log'!$A$6:$AE$155,10,FALSE),""))</x:f>
      </x:c>
      <x:c r="H77" s="25" t="str">
        <x:f>IF(G77="","",IFERROR(VLOOKUP(G77,'02 Skill Catalogue'!$A$6:$K$95,4,FALSE),""))</x:f>
      </x:c>
      <x:c r="I77" s="25" t="str">
        <x:f>IF(B77="","",IFERROR(VLOOKUP(B77,'04 Assessment Log'!$A$6:$AE$155,14,FALSE),""))</x:f>
      </x:c>
      <x:c r="J77" s="25" t="str">
        <x:f>IF(B77="","",IFERROR(VLOOKUP(B77,'04 Assessment Log'!$A$6:$AE$155,15,FALSE),""))</x:f>
      </x:c>
      <x:c r="K77" s="25" t="str">
        <x:f>IF(B77="","",IFERROR(VLOOKUP(B77,'04 Assessment Log'!$A$6:$AE$155,16,FALSE),""))</x:f>
      </x:c>
      <x:c r="L77" s="25" t="str">
        <x:f>IF(B77="","",IFERROR(VLOOKUP(B77,'04 Assessment Log'!$A$6:$AE$155,18,FALSE),""))</x:f>
      </x:c>
      <x:c r="M77" s="24"/>
      <x:c r="N77" s="27"/>
      <x:c r="O77" s="27"/>
      <x:c r="P77" s="24"/>
      <x:c r="Q77" s="24"/>
      <x:c r="R77" s="24"/>
      <x:c r="S77" s="26"/>
      <x:c r="T77" s="26"/>
      <x:c r="U77" s="24"/>
      <x:c r="V77" s="26"/>
      <x:c r="W77" s="27"/>
      <x:c r="X77" s="26"/>
      <x:c r="Y77" s="24"/>
      <x:c r="Z77" s="25" t="str">
        <x:f>IF(Y77="","",IFERROR(VLOOKUP(Y77,'04 Assessment Log'!$A$6:$AE$155,15,FALSE),"Assessment not found"))</x:f>
      </x:c>
      <x:c r="AA77" s="25" t="str">
        <x:f>IF(OR(J77="",Z77=""),"",Z77-J77)</x:f>
      </x:c>
      <x:c r="AB77" s="25" t="str">
        <x:f>IF(A77="","",IF(U77="Cancelled","Cancelled",IF(U77&lt;&gt;"Completed","Open",IF(Y77="","Pending Reassessment",IF(Z77&gt;=I77,"Closed — Competent","Further Action Required")))))</x:f>
      </x:c>
      <x:c r="AC77" s="25" t="str">
        <x:f>IF(OR(A77="",T77=""),"",IF(OR(U77="Completed",U77="Cancelled"),0,MAX(TODAY()-T77,0)))</x:f>
      </x:c>
      <x:c r="AD77" s="24"/>
    </x:row>
    <x:row r="78">
      <x:c r="A78" s="24"/>
      <x:c r="B78" s="24"/>
      <x:c r="C78" s="25" t="str">
        <x:f>IF(B78="","",IFERROR(VLOOKUP(B78,'04 Assessment Log'!$A$6:$AE$155,4,FALSE),"Assessment not found"))</x:f>
      </x:c>
      <x:c r="D78" s="25" t="str">
        <x:f>IF(C78="","",IFERROR(VLOOKUP(C78,'01 Staff Master'!$A$6:$M$105,2,FALSE),""))</x:f>
      </x:c>
      <x:c r="E78" s="25" t="str">
        <x:f>IF(B78="","",IFERROR(VLOOKUP(B78,'04 Assessment Log'!$A$6:$AE$155,6,FALSE),""))</x:f>
      </x:c>
      <x:c r="F78" s="25" t="str">
        <x:f>IF(B78="","",IFERROR(VLOOKUP(B78,'04 Assessment Log'!$A$6:$AE$155,7,FALSE),""))</x:f>
      </x:c>
      <x:c r="G78" s="25" t="str">
        <x:f>IF(B78="","",IFERROR(VLOOKUP(B78,'04 Assessment Log'!$A$6:$AE$155,10,FALSE),""))</x:f>
      </x:c>
      <x:c r="H78" s="25" t="str">
        <x:f>IF(G78="","",IFERROR(VLOOKUP(G78,'02 Skill Catalogue'!$A$6:$K$95,4,FALSE),""))</x:f>
      </x:c>
      <x:c r="I78" s="25" t="str">
        <x:f>IF(B78="","",IFERROR(VLOOKUP(B78,'04 Assessment Log'!$A$6:$AE$155,14,FALSE),""))</x:f>
      </x:c>
      <x:c r="J78" s="25" t="str">
        <x:f>IF(B78="","",IFERROR(VLOOKUP(B78,'04 Assessment Log'!$A$6:$AE$155,15,FALSE),""))</x:f>
      </x:c>
      <x:c r="K78" s="25" t="str">
        <x:f>IF(B78="","",IFERROR(VLOOKUP(B78,'04 Assessment Log'!$A$6:$AE$155,16,FALSE),""))</x:f>
      </x:c>
      <x:c r="L78" s="25" t="str">
        <x:f>IF(B78="","",IFERROR(VLOOKUP(B78,'04 Assessment Log'!$A$6:$AE$155,18,FALSE),""))</x:f>
      </x:c>
      <x:c r="M78" s="24"/>
      <x:c r="N78" s="27"/>
      <x:c r="O78" s="27"/>
      <x:c r="P78" s="24"/>
      <x:c r="Q78" s="24"/>
      <x:c r="R78" s="24"/>
      <x:c r="S78" s="26"/>
      <x:c r="T78" s="26"/>
      <x:c r="U78" s="24"/>
      <x:c r="V78" s="26"/>
      <x:c r="W78" s="27"/>
      <x:c r="X78" s="26"/>
      <x:c r="Y78" s="24"/>
      <x:c r="Z78" s="25" t="str">
        <x:f>IF(Y78="","",IFERROR(VLOOKUP(Y78,'04 Assessment Log'!$A$6:$AE$155,15,FALSE),"Assessment not found"))</x:f>
      </x:c>
      <x:c r="AA78" s="25" t="str">
        <x:f>IF(OR(J78="",Z78=""),"",Z78-J78)</x:f>
      </x:c>
      <x:c r="AB78" s="25" t="str">
        <x:f>IF(A78="","",IF(U78="Cancelled","Cancelled",IF(U78&lt;&gt;"Completed","Open",IF(Y78="","Pending Reassessment",IF(Z78&gt;=I78,"Closed — Competent","Further Action Required")))))</x:f>
      </x:c>
      <x:c r="AC78" s="25" t="str">
        <x:f>IF(OR(A78="",T78=""),"",IF(OR(U78="Completed",U78="Cancelled"),0,MAX(TODAY()-T78,0)))</x:f>
      </x:c>
      <x:c r="AD78" s="24"/>
    </x:row>
    <x:row r="79">
      <x:c r="A79" s="24"/>
      <x:c r="B79" s="24"/>
      <x:c r="C79" s="25" t="str">
        <x:f>IF(B79="","",IFERROR(VLOOKUP(B79,'04 Assessment Log'!$A$6:$AE$155,4,FALSE),"Assessment not found"))</x:f>
      </x:c>
      <x:c r="D79" s="25" t="str">
        <x:f>IF(C79="","",IFERROR(VLOOKUP(C79,'01 Staff Master'!$A$6:$M$105,2,FALSE),""))</x:f>
      </x:c>
      <x:c r="E79" s="25" t="str">
        <x:f>IF(B79="","",IFERROR(VLOOKUP(B79,'04 Assessment Log'!$A$6:$AE$155,6,FALSE),""))</x:f>
      </x:c>
      <x:c r="F79" s="25" t="str">
        <x:f>IF(B79="","",IFERROR(VLOOKUP(B79,'04 Assessment Log'!$A$6:$AE$155,7,FALSE),""))</x:f>
      </x:c>
      <x:c r="G79" s="25" t="str">
        <x:f>IF(B79="","",IFERROR(VLOOKUP(B79,'04 Assessment Log'!$A$6:$AE$155,10,FALSE),""))</x:f>
      </x:c>
      <x:c r="H79" s="25" t="str">
        <x:f>IF(G79="","",IFERROR(VLOOKUP(G79,'02 Skill Catalogue'!$A$6:$K$95,4,FALSE),""))</x:f>
      </x:c>
      <x:c r="I79" s="25" t="str">
        <x:f>IF(B79="","",IFERROR(VLOOKUP(B79,'04 Assessment Log'!$A$6:$AE$155,14,FALSE),""))</x:f>
      </x:c>
      <x:c r="J79" s="25" t="str">
        <x:f>IF(B79="","",IFERROR(VLOOKUP(B79,'04 Assessment Log'!$A$6:$AE$155,15,FALSE),""))</x:f>
      </x:c>
      <x:c r="K79" s="25" t="str">
        <x:f>IF(B79="","",IFERROR(VLOOKUP(B79,'04 Assessment Log'!$A$6:$AE$155,16,FALSE),""))</x:f>
      </x:c>
      <x:c r="L79" s="25" t="str">
        <x:f>IF(B79="","",IFERROR(VLOOKUP(B79,'04 Assessment Log'!$A$6:$AE$155,18,FALSE),""))</x:f>
      </x:c>
      <x:c r="M79" s="24"/>
      <x:c r="N79" s="27"/>
      <x:c r="O79" s="27"/>
      <x:c r="P79" s="24"/>
      <x:c r="Q79" s="24"/>
      <x:c r="R79" s="24"/>
      <x:c r="S79" s="26"/>
      <x:c r="T79" s="26"/>
      <x:c r="U79" s="24"/>
      <x:c r="V79" s="26"/>
      <x:c r="W79" s="27"/>
      <x:c r="X79" s="26"/>
      <x:c r="Y79" s="24"/>
      <x:c r="Z79" s="25" t="str">
        <x:f>IF(Y79="","",IFERROR(VLOOKUP(Y79,'04 Assessment Log'!$A$6:$AE$155,15,FALSE),"Assessment not found"))</x:f>
      </x:c>
      <x:c r="AA79" s="25" t="str">
        <x:f>IF(OR(J79="",Z79=""),"",Z79-J79)</x:f>
      </x:c>
      <x:c r="AB79" s="25" t="str">
        <x:f>IF(A79="","",IF(U79="Cancelled","Cancelled",IF(U79&lt;&gt;"Completed","Open",IF(Y79="","Pending Reassessment",IF(Z79&gt;=I79,"Closed — Competent","Further Action Required")))))</x:f>
      </x:c>
      <x:c r="AC79" s="25" t="str">
        <x:f>IF(OR(A79="",T79=""),"",IF(OR(U79="Completed",U79="Cancelled"),0,MAX(TODAY()-T79,0)))</x:f>
      </x:c>
      <x:c r="AD79" s="24"/>
    </x:row>
    <x:row r="80">
      <x:c r="A80" s="24"/>
      <x:c r="B80" s="24"/>
      <x:c r="C80" s="25" t="str">
        <x:f>IF(B80="","",IFERROR(VLOOKUP(B80,'04 Assessment Log'!$A$6:$AE$155,4,FALSE),"Assessment not found"))</x:f>
      </x:c>
      <x:c r="D80" s="25" t="str">
        <x:f>IF(C80="","",IFERROR(VLOOKUP(C80,'01 Staff Master'!$A$6:$M$105,2,FALSE),""))</x:f>
      </x:c>
      <x:c r="E80" s="25" t="str">
        <x:f>IF(B80="","",IFERROR(VLOOKUP(B80,'04 Assessment Log'!$A$6:$AE$155,6,FALSE),""))</x:f>
      </x:c>
      <x:c r="F80" s="25" t="str">
        <x:f>IF(B80="","",IFERROR(VLOOKUP(B80,'04 Assessment Log'!$A$6:$AE$155,7,FALSE),""))</x:f>
      </x:c>
      <x:c r="G80" s="25" t="str">
        <x:f>IF(B80="","",IFERROR(VLOOKUP(B80,'04 Assessment Log'!$A$6:$AE$155,10,FALSE),""))</x:f>
      </x:c>
      <x:c r="H80" s="25" t="str">
        <x:f>IF(G80="","",IFERROR(VLOOKUP(G80,'02 Skill Catalogue'!$A$6:$K$95,4,FALSE),""))</x:f>
      </x:c>
      <x:c r="I80" s="25" t="str">
        <x:f>IF(B80="","",IFERROR(VLOOKUP(B80,'04 Assessment Log'!$A$6:$AE$155,14,FALSE),""))</x:f>
      </x:c>
      <x:c r="J80" s="25" t="str">
        <x:f>IF(B80="","",IFERROR(VLOOKUP(B80,'04 Assessment Log'!$A$6:$AE$155,15,FALSE),""))</x:f>
      </x:c>
      <x:c r="K80" s="25" t="str">
        <x:f>IF(B80="","",IFERROR(VLOOKUP(B80,'04 Assessment Log'!$A$6:$AE$155,16,FALSE),""))</x:f>
      </x:c>
      <x:c r="L80" s="25" t="str">
        <x:f>IF(B80="","",IFERROR(VLOOKUP(B80,'04 Assessment Log'!$A$6:$AE$155,18,FALSE),""))</x:f>
      </x:c>
      <x:c r="M80" s="24"/>
      <x:c r="N80" s="27"/>
      <x:c r="O80" s="27"/>
      <x:c r="P80" s="24"/>
      <x:c r="Q80" s="24"/>
      <x:c r="R80" s="24"/>
      <x:c r="S80" s="26"/>
      <x:c r="T80" s="26"/>
      <x:c r="U80" s="24"/>
      <x:c r="V80" s="26"/>
      <x:c r="W80" s="27"/>
      <x:c r="X80" s="26"/>
      <x:c r="Y80" s="24"/>
      <x:c r="Z80" s="25" t="str">
        <x:f>IF(Y80="","",IFERROR(VLOOKUP(Y80,'04 Assessment Log'!$A$6:$AE$155,15,FALSE),"Assessment not found"))</x:f>
      </x:c>
      <x:c r="AA80" s="25" t="str">
        <x:f>IF(OR(J80="",Z80=""),"",Z80-J80)</x:f>
      </x:c>
      <x:c r="AB80" s="25" t="str">
        <x:f>IF(A80="","",IF(U80="Cancelled","Cancelled",IF(U80&lt;&gt;"Completed","Open",IF(Y80="","Pending Reassessment",IF(Z80&gt;=I80,"Closed — Competent","Further Action Required")))))</x:f>
      </x:c>
      <x:c r="AC80" s="25" t="str">
        <x:f>IF(OR(A80="",T80=""),"",IF(OR(U80="Completed",U80="Cancelled"),0,MAX(TODAY()-T80,0)))</x:f>
      </x:c>
      <x:c r="AD80" s="24"/>
    </x:row>
    <x:row r="81">
      <x:c r="A81" s="24"/>
      <x:c r="B81" s="24"/>
      <x:c r="C81" s="25" t="str">
        <x:f>IF(B81="","",IFERROR(VLOOKUP(B81,'04 Assessment Log'!$A$6:$AE$155,4,FALSE),"Assessment not found"))</x:f>
      </x:c>
      <x:c r="D81" s="25" t="str">
        <x:f>IF(C81="","",IFERROR(VLOOKUP(C81,'01 Staff Master'!$A$6:$M$105,2,FALSE),""))</x:f>
      </x:c>
      <x:c r="E81" s="25" t="str">
        <x:f>IF(B81="","",IFERROR(VLOOKUP(B81,'04 Assessment Log'!$A$6:$AE$155,6,FALSE),""))</x:f>
      </x:c>
      <x:c r="F81" s="25" t="str">
        <x:f>IF(B81="","",IFERROR(VLOOKUP(B81,'04 Assessment Log'!$A$6:$AE$155,7,FALSE),""))</x:f>
      </x:c>
      <x:c r="G81" s="25" t="str">
        <x:f>IF(B81="","",IFERROR(VLOOKUP(B81,'04 Assessment Log'!$A$6:$AE$155,10,FALSE),""))</x:f>
      </x:c>
      <x:c r="H81" s="25" t="str">
        <x:f>IF(G81="","",IFERROR(VLOOKUP(G81,'02 Skill Catalogue'!$A$6:$K$95,4,FALSE),""))</x:f>
      </x:c>
      <x:c r="I81" s="25" t="str">
        <x:f>IF(B81="","",IFERROR(VLOOKUP(B81,'04 Assessment Log'!$A$6:$AE$155,14,FALSE),""))</x:f>
      </x:c>
      <x:c r="J81" s="25" t="str">
        <x:f>IF(B81="","",IFERROR(VLOOKUP(B81,'04 Assessment Log'!$A$6:$AE$155,15,FALSE),""))</x:f>
      </x:c>
      <x:c r="K81" s="25" t="str">
        <x:f>IF(B81="","",IFERROR(VLOOKUP(B81,'04 Assessment Log'!$A$6:$AE$155,16,FALSE),""))</x:f>
      </x:c>
      <x:c r="L81" s="25" t="str">
        <x:f>IF(B81="","",IFERROR(VLOOKUP(B81,'04 Assessment Log'!$A$6:$AE$155,18,FALSE),""))</x:f>
      </x:c>
      <x:c r="M81" s="24"/>
      <x:c r="N81" s="27"/>
      <x:c r="O81" s="27"/>
      <x:c r="P81" s="24"/>
      <x:c r="Q81" s="24"/>
      <x:c r="R81" s="24"/>
      <x:c r="S81" s="26"/>
      <x:c r="T81" s="26"/>
      <x:c r="U81" s="24"/>
      <x:c r="V81" s="26"/>
      <x:c r="W81" s="27"/>
      <x:c r="X81" s="26"/>
      <x:c r="Y81" s="24"/>
      <x:c r="Z81" s="25" t="str">
        <x:f>IF(Y81="","",IFERROR(VLOOKUP(Y81,'04 Assessment Log'!$A$6:$AE$155,15,FALSE),"Assessment not found"))</x:f>
      </x:c>
      <x:c r="AA81" s="25" t="str">
        <x:f>IF(OR(J81="",Z81=""),"",Z81-J81)</x:f>
      </x:c>
      <x:c r="AB81" s="25" t="str">
        <x:f>IF(A81="","",IF(U81="Cancelled","Cancelled",IF(U81&lt;&gt;"Completed","Open",IF(Y81="","Pending Reassessment",IF(Z81&gt;=I81,"Closed — Competent","Further Action Required")))))</x:f>
      </x:c>
      <x:c r="AC81" s="25" t="str">
        <x:f>IF(OR(A81="",T81=""),"",IF(OR(U81="Completed",U81="Cancelled"),0,MAX(TODAY()-T81,0)))</x:f>
      </x:c>
      <x:c r="AD81" s="24"/>
    </x:row>
    <x:row r="82">
      <x:c r="A82" s="24"/>
      <x:c r="B82" s="24"/>
      <x:c r="C82" s="25" t="str">
        <x:f>IF(B82="","",IFERROR(VLOOKUP(B82,'04 Assessment Log'!$A$6:$AE$155,4,FALSE),"Assessment not found"))</x:f>
      </x:c>
      <x:c r="D82" s="25" t="str">
        <x:f>IF(C82="","",IFERROR(VLOOKUP(C82,'01 Staff Master'!$A$6:$M$105,2,FALSE),""))</x:f>
      </x:c>
      <x:c r="E82" s="25" t="str">
        <x:f>IF(B82="","",IFERROR(VLOOKUP(B82,'04 Assessment Log'!$A$6:$AE$155,6,FALSE),""))</x:f>
      </x:c>
      <x:c r="F82" s="25" t="str">
        <x:f>IF(B82="","",IFERROR(VLOOKUP(B82,'04 Assessment Log'!$A$6:$AE$155,7,FALSE),""))</x:f>
      </x:c>
      <x:c r="G82" s="25" t="str">
        <x:f>IF(B82="","",IFERROR(VLOOKUP(B82,'04 Assessment Log'!$A$6:$AE$155,10,FALSE),""))</x:f>
      </x:c>
      <x:c r="H82" s="25" t="str">
        <x:f>IF(G82="","",IFERROR(VLOOKUP(G82,'02 Skill Catalogue'!$A$6:$K$95,4,FALSE),""))</x:f>
      </x:c>
      <x:c r="I82" s="25" t="str">
        <x:f>IF(B82="","",IFERROR(VLOOKUP(B82,'04 Assessment Log'!$A$6:$AE$155,14,FALSE),""))</x:f>
      </x:c>
      <x:c r="J82" s="25" t="str">
        <x:f>IF(B82="","",IFERROR(VLOOKUP(B82,'04 Assessment Log'!$A$6:$AE$155,15,FALSE),""))</x:f>
      </x:c>
      <x:c r="K82" s="25" t="str">
        <x:f>IF(B82="","",IFERROR(VLOOKUP(B82,'04 Assessment Log'!$A$6:$AE$155,16,FALSE),""))</x:f>
      </x:c>
      <x:c r="L82" s="25" t="str">
        <x:f>IF(B82="","",IFERROR(VLOOKUP(B82,'04 Assessment Log'!$A$6:$AE$155,18,FALSE),""))</x:f>
      </x:c>
      <x:c r="M82" s="24"/>
      <x:c r="N82" s="27"/>
      <x:c r="O82" s="27"/>
      <x:c r="P82" s="24"/>
      <x:c r="Q82" s="24"/>
      <x:c r="R82" s="24"/>
      <x:c r="S82" s="26"/>
      <x:c r="T82" s="26"/>
      <x:c r="U82" s="24"/>
      <x:c r="V82" s="26"/>
      <x:c r="W82" s="27"/>
      <x:c r="X82" s="26"/>
      <x:c r="Y82" s="24"/>
      <x:c r="Z82" s="25" t="str">
        <x:f>IF(Y82="","",IFERROR(VLOOKUP(Y82,'04 Assessment Log'!$A$6:$AE$155,15,FALSE),"Assessment not found"))</x:f>
      </x:c>
      <x:c r="AA82" s="25" t="str">
        <x:f>IF(OR(J82="",Z82=""),"",Z82-J82)</x:f>
      </x:c>
      <x:c r="AB82" s="25" t="str">
        <x:f>IF(A82="","",IF(U82="Cancelled","Cancelled",IF(U82&lt;&gt;"Completed","Open",IF(Y82="","Pending Reassessment",IF(Z82&gt;=I82,"Closed — Competent","Further Action Required")))))</x:f>
      </x:c>
      <x:c r="AC82" s="25" t="str">
        <x:f>IF(OR(A82="",T82=""),"",IF(OR(U82="Completed",U82="Cancelled"),0,MAX(TODAY()-T82,0)))</x:f>
      </x:c>
      <x:c r="AD82" s="24"/>
    </x:row>
    <x:row r="83">
      <x:c r="A83" s="24"/>
      <x:c r="B83" s="24"/>
      <x:c r="C83" s="25" t="str">
        <x:f>IF(B83="","",IFERROR(VLOOKUP(B83,'04 Assessment Log'!$A$6:$AE$155,4,FALSE),"Assessment not found"))</x:f>
      </x:c>
      <x:c r="D83" s="25" t="str">
        <x:f>IF(C83="","",IFERROR(VLOOKUP(C83,'01 Staff Master'!$A$6:$M$105,2,FALSE),""))</x:f>
      </x:c>
      <x:c r="E83" s="25" t="str">
        <x:f>IF(B83="","",IFERROR(VLOOKUP(B83,'04 Assessment Log'!$A$6:$AE$155,6,FALSE),""))</x:f>
      </x:c>
      <x:c r="F83" s="25" t="str">
        <x:f>IF(B83="","",IFERROR(VLOOKUP(B83,'04 Assessment Log'!$A$6:$AE$155,7,FALSE),""))</x:f>
      </x:c>
      <x:c r="G83" s="25" t="str">
        <x:f>IF(B83="","",IFERROR(VLOOKUP(B83,'04 Assessment Log'!$A$6:$AE$155,10,FALSE),""))</x:f>
      </x:c>
      <x:c r="H83" s="25" t="str">
        <x:f>IF(G83="","",IFERROR(VLOOKUP(G83,'02 Skill Catalogue'!$A$6:$K$95,4,FALSE),""))</x:f>
      </x:c>
      <x:c r="I83" s="25" t="str">
        <x:f>IF(B83="","",IFERROR(VLOOKUP(B83,'04 Assessment Log'!$A$6:$AE$155,14,FALSE),""))</x:f>
      </x:c>
      <x:c r="J83" s="25" t="str">
        <x:f>IF(B83="","",IFERROR(VLOOKUP(B83,'04 Assessment Log'!$A$6:$AE$155,15,FALSE),""))</x:f>
      </x:c>
      <x:c r="K83" s="25" t="str">
        <x:f>IF(B83="","",IFERROR(VLOOKUP(B83,'04 Assessment Log'!$A$6:$AE$155,16,FALSE),""))</x:f>
      </x:c>
      <x:c r="L83" s="25" t="str">
        <x:f>IF(B83="","",IFERROR(VLOOKUP(B83,'04 Assessment Log'!$A$6:$AE$155,18,FALSE),""))</x:f>
      </x:c>
      <x:c r="M83" s="24"/>
      <x:c r="N83" s="27"/>
      <x:c r="O83" s="27"/>
      <x:c r="P83" s="24"/>
      <x:c r="Q83" s="24"/>
      <x:c r="R83" s="24"/>
      <x:c r="S83" s="26"/>
      <x:c r="T83" s="26"/>
      <x:c r="U83" s="24"/>
      <x:c r="V83" s="26"/>
      <x:c r="W83" s="27"/>
      <x:c r="X83" s="26"/>
      <x:c r="Y83" s="24"/>
      <x:c r="Z83" s="25" t="str">
        <x:f>IF(Y83="","",IFERROR(VLOOKUP(Y83,'04 Assessment Log'!$A$6:$AE$155,15,FALSE),"Assessment not found"))</x:f>
      </x:c>
      <x:c r="AA83" s="25" t="str">
        <x:f>IF(OR(J83="",Z83=""),"",Z83-J83)</x:f>
      </x:c>
      <x:c r="AB83" s="25" t="str">
        <x:f>IF(A83="","",IF(U83="Cancelled","Cancelled",IF(U83&lt;&gt;"Completed","Open",IF(Y83="","Pending Reassessment",IF(Z83&gt;=I83,"Closed — Competent","Further Action Required")))))</x:f>
      </x:c>
      <x:c r="AC83" s="25" t="str">
        <x:f>IF(OR(A83="",T83=""),"",IF(OR(U83="Completed",U83="Cancelled"),0,MAX(TODAY()-T83,0)))</x:f>
      </x:c>
      <x:c r="AD83" s="24"/>
    </x:row>
    <x:row r="84">
      <x:c r="A84" s="24"/>
      <x:c r="B84" s="24"/>
      <x:c r="C84" s="25" t="str">
        <x:f>IF(B84="","",IFERROR(VLOOKUP(B84,'04 Assessment Log'!$A$6:$AE$155,4,FALSE),"Assessment not found"))</x:f>
      </x:c>
      <x:c r="D84" s="25" t="str">
        <x:f>IF(C84="","",IFERROR(VLOOKUP(C84,'01 Staff Master'!$A$6:$M$105,2,FALSE),""))</x:f>
      </x:c>
      <x:c r="E84" s="25" t="str">
        <x:f>IF(B84="","",IFERROR(VLOOKUP(B84,'04 Assessment Log'!$A$6:$AE$155,6,FALSE),""))</x:f>
      </x:c>
      <x:c r="F84" s="25" t="str">
        <x:f>IF(B84="","",IFERROR(VLOOKUP(B84,'04 Assessment Log'!$A$6:$AE$155,7,FALSE),""))</x:f>
      </x:c>
      <x:c r="G84" s="25" t="str">
        <x:f>IF(B84="","",IFERROR(VLOOKUP(B84,'04 Assessment Log'!$A$6:$AE$155,10,FALSE),""))</x:f>
      </x:c>
      <x:c r="H84" s="25" t="str">
        <x:f>IF(G84="","",IFERROR(VLOOKUP(G84,'02 Skill Catalogue'!$A$6:$K$95,4,FALSE),""))</x:f>
      </x:c>
      <x:c r="I84" s="25" t="str">
        <x:f>IF(B84="","",IFERROR(VLOOKUP(B84,'04 Assessment Log'!$A$6:$AE$155,14,FALSE),""))</x:f>
      </x:c>
      <x:c r="J84" s="25" t="str">
        <x:f>IF(B84="","",IFERROR(VLOOKUP(B84,'04 Assessment Log'!$A$6:$AE$155,15,FALSE),""))</x:f>
      </x:c>
      <x:c r="K84" s="25" t="str">
        <x:f>IF(B84="","",IFERROR(VLOOKUP(B84,'04 Assessment Log'!$A$6:$AE$155,16,FALSE),""))</x:f>
      </x:c>
      <x:c r="L84" s="25" t="str">
        <x:f>IF(B84="","",IFERROR(VLOOKUP(B84,'04 Assessment Log'!$A$6:$AE$155,18,FALSE),""))</x:f>
      </x:c>
      <x:c r="M84" s="24"/>
      <x:c r="N84" s="27"/>
      <x:c r="O84" s="27"/>
      <x:c r="P84" s="24"/>
      <x:c r="Q84" s="24"/>
      <x:c r="R84" s="24"/>
      <x:c r="S84" s="26"/>
      <x:c r="T84" s="26"/>
      <x:c r="U84" s="24"/>
      <x:c r="V84" s="26"/>
      <x:c r="W84" s="27"/>
      <x:c r="X84" s="26"/>
      <x:c r="Y84" s="24"/>
      <x:c r="Z84" s="25" t="str">
        <x:f>IF(Y84="","",IFERROR(VLOOKUP(Y84,'04 Assessment Log'!$A$6:$AE$155,15,FALSE),"Assessment not found"))</x:f>
      </x:c>
      <x:c r="AA84" s="25" t="str">
        <x:f>IF(OR(J84="",Z84=""),"",Z84-J84)</x:f>
      </x:c>
      <x:c r="AB84" s="25" t="str">
        <x:f>IF(A84="","",IF(U84="Cancelled","Cancelled",IF(U84&lt;&gt;"Completed","Open",IF(Y84="","Pending Reassessment",IF(Z84&gt;=I84,"Closed — Competent","Further Action Required")))))</x:f>
      </x:c>
      <x:c r="AC84" s="25" t="str">
        <x:f>IF(OR(A84="",T84=""),"",IF(OR(U84="Completed",U84="Cancelled"),0,MAX(TODAY()-T84,0)))</x:f>
      </x:c>
      <x:c r="AD84" s="24"/>
    </x:row>
    <x:row r="85">
      <x:c r="A85" s="24"/>
      <x:c r="B85" s="24"/>
      <x:c r="C85" s="25" t="str">
        <x:f>IF(B85="","",IFERROR(VLOOKUP(B85,'04 Assessment Log'!$A$6:$AE$155,4,FALSE),"Assessment not found"))</x:f>
      </x:c>
      <x:c r="D85" s="25" t="str">
        <x:f>IF(C85="","",IFERROR(VLOOKUP(C85,'01 Staff Master'!$A$6:$M$105,2,FALSE),""))</x:f>
      </x:c>
      <x:c r="E85" s="25" t="str">
        <x:f>IF(B85="","",IFERROR(VLOOKUP(B85,'04 Assessment Log'!$A$6:$AE$155,6,FALSE),""))</x:f>
      </x:c>
      <x:c r="F85" s="25" t="str">
        <x:f>IF(B85="","",IFERROR(VLOOKUP(B85,'04 Assessment Log'!$A$6:$AE$155,7,FALSE),""))</x:f>
      </x:c>
      <x:c r="G85" s="25" t="str">
        <x:f>IF(B85="","",IFERROR(VLOOKUP(B85,'04 Assessment Log'!$A$6:$AE$155,10,FALSE),""))</x:f>
      </x:c>
      <x:c r="H85" s="25" t="str">
        <x:f>IF(G85="","",IFERROR(VLOOKUP(G85,'02 Skill Catalogue'!$A$6:$K$95,4,FALSE),""))</x:f>
      </x:c>
      <x:c r="I85" s="25" t="str">
        <x:f>IF(B85="","",IFERROR(VLOOKUP(B85,'04 Assessment Log'!$A$6:$AE$155,14,FALSE),""))</x:f>
      </x:c>
      <x:c r="J85" s="25" t="str">
        <x:f>IF(B85="","",IFERROR(VLOOKUP(B85,'04 Assessment Log'!$A$6:$AE$155,15,FALSE),""))</x:f>
      </x:c>
      <x:c r="K85" s="25" t="str">
        <x:f>IF(B85="","",IFERROR(VLOOKUP(B85,'04 Assessment Log'!$A$6:$AE$155,16,FALSE),""))</x:f>
      </x:c>
      <x:c r="L85" s="25" t="str">
        <x:f>IF(B85="","",IFERROR(VLOOKUP(B85,'04 Assessment Log'!$A$6:$AE$155,18,FALSE),""))</x:f>
      </x:c>
      <x:c r="M85" s="24"/>
      <x:c r="N85" s="27"/>
      <x:c r="O85" s="27"/>
      <x:c r="P85" s="24"/>
      <x:c r="Q85" s="24"/>
      <x:c r="R85" s="24"/>
      <x:c r="S85" s="26"/>
      <x:c r="T85" s="26"/>
      <x:c r="U85" s="24"/>
      <x:c r="V85" s="26"/>
      <x:c r="W85" s="27"/>
      <x:c r="X85" s="26"/>
      <x:c r="Y85" s="24"/>
      <x:c r="Z85" s="25" t="str">
        <x:f>IF(Y85="","",IFERROR(VLOOKUP(Y85,'04 Assessment Log'!$A$6:$AE$155,15,FALSE),"Assessment not found"))</x:f>
      </x:c>
      <x:c r="AA85" s="25" t="str">
        <x:f>IF(OR(J85="",Z85=""),"",Z85-J85)</x:f>
      </x:c>
      <x:c r="AB85" s="25" t="str">
        <x:f>IF(A85="","",IF(U85="Cancelled","Cancelled",IF(U85&lt;&gt;"Completed","Open",IF(Y85="","Pending Reassessment",IF(Z85&gt;=I85,"Closed — Competent","Further Action Required")))))</x:f>
      </x:c>
      <x:c r="AC85" s="25" t="str">
        <x:f>IF(OR(A85="",T85=""),"",IF(OR(U85="Completed",U85="Cancelled"),0,MAX(TODAY()-T85,0)))</x:f>
      </x:c>
      <x:c r="AD85" s="24"/>
    </x:row>
    <x:row r="86">
      <x:c r="A86" s="24"/>
      <x:c r="B86" s="24"/>
      <x:c r="C86" s="25" t="str">
        <x:f>IF(B86="","",IFERROR(VLOOKUP(B86,'04 Assessment Log'!$A$6:$AE$155,4,FALSE),"Assessment not found"))</x:f>
      </x:c>
      <x:c r="D86" s="25" t="str">
        <x:f>IF(C86="","",IFERROR(VLOOKUP(C86,'01 Staff Master'!$A$6:$M$105,2,FALSE),""))</x:f>
      </x:c>
      <x:c r="E86" s="25" t="str">
        <x:f>IF(B86="","",IFERROR(VLOOKUP(B86,'04 Assessment Log'!$A$6:$AE$155,6,FALSE),""))</x:f>
      </x:c>
      <x:c r="F86" s="25" t="str">
        <x:f>IF(B86="","",IFERROR(VLOOKUP(B86,'04 Assessment Log'!$A$6:$AE$155,7,FALSE),""))</x:f>
      </x:c>
      <x:c r="G86" s="25" t="str">
        <x:f>IF(B86="","",IFERROR(VLOOKUP(B86,'04 Assessment Log'!$A$6:$AE$155,10,FALSE),""))</x:f>
      </x:c>
      <x:c r="H86" s="25" t="str">
        <x:f>IF(G86="","",IFERROR(VLOOKUP(G86,'02 Skill Catalogue'!$A$6:$K$95,4,FALSE),""))</x:f>
      </x:c>
      <x:c r="I86" s="25" t="str">
        <x:f>IF(B86="","",IFERROR(VLOOKUP(B86,'04 Assessment Log'!$A$6:$AE$155,14,FALSE),""))</x:f>
      </x:c>
      <x:c r="J86" s="25" t="str">
        <x:f>IF(B86="","",IFERROR(VLOOKUP(B86,'04 Assessment Log'!$A$6:$AE$155,15,FALSE),""))</x:f>
      </x:c>
      <x:c r="K86" s="25" t="str">
        <x:f>IF(B86="","",IFERROR(VLOOKUP(B86,'04 Assessment Log'!$A$6:$AE$155,16,FALSE),""))</x:f>
      </x:c>
      <x:c r="L86" s="25" t="str">
        <x:f>IF(B86="","",IFERROR(VLOOKUP(B86,'04 Assessment Log'!$A$6:$AE$155,18,FALSE),""))</x:f>
      </x:c>
      <x:c r="M86" s="24"/>
      <x:c r="N86" s="27"/>
      <x:c r="O86" s="27"/>
      <x:c r="P86" s="24"/>
      <x:c r="Q86" s="24"/>
      <x:c r="R86" s="24"/>
      <x:c r="S86" s="26"/>
      <x:c r="T86" s="26"/>
      <x:c r="U86" s="24"/>
      <x:c r="V86" s="26"/>
      <x:c r="W86" s="27"/>
      <x:c r="X86" s="26"/>
      <x:c r="Y86" s="24"/>
      <x:c r="Z86" s="25" t="str">
        <x:f>IF(Y86="","",IFERROR(VLOOKUP(Y86,'04 Assessment Log'!$A$6:$AE$155,15,FALSE),"Assessment not found"))</x:f>
      </x:c>
      <x:c r="AA86" s="25" t="str">
        <x:f>IF(OR(J86="",Z86=""),"",Z86-J86)</x:f>
      </x:c>
      <x:c r="AB86" s="25" t="str">
        <x:f>IF(A86="","",IF(U86="Cancelled","Cancelled",IF(U86&lt;&gt;"Completed","Open",IF(Y86="","Pending Reassessment",IF(Z86&gt;=I86,"Closed — Competent","Further Action Required")))))</x:f>
      </x:c>
      <x:c r="AC86" s="25" t="str">
        <x:f>IF(OR(A86="",T86=""),"",IF(OR(U86="Completed",U86="Cancelled"),0,MAX(TODAY()-T86,0)))</x:f>
      </x:c>
      <x:c r="AD86" s="24"/>
    </x:row>
    <x:row r="87">
      <x:c r="A87" s="24"/>
      <x:c r="B87" s="24"/>
      <x:c r="C87" s="25" t="str">
        <x:f>IF(B87="","",IFERROR(VLOOKUP(B87,'04 Assessment Log'!$A$6:$AE$155,4,FALSE),"Assessment not found"))</x:f>
      </x:c>
      <x:c r="D87" s="25" t="str">
        <x:f>IF(C87="","",IFERROR(VLOOKUP(C87,'01 Staff Master'!$A$6:$M$105,2,FALSE),""))</x:f>
      </x:c>
      <x:c r="E87" s="25" t="str">
        <x:f>IF(B87="","",IFERROR(VLOOKUP(B87,'04 Assessment Log'!$A$6:$AE$155,6,FALSE),""))</x:f>
      </x:c>
      <x:c r="F87" s="25" t="str">
        <x:f>IF(B87="","",IFERROR(VLOOKUP(B87,'04 Assessment Log'!$A$6:$AE$155,7,FALSE),""))</x:f>
      </x:c>
      <x:c r="G87" s="25" t="str">
        <x:f>IF(B87="","",IFERROR(VLOOKUP(B87,'04 Assessment Log'!$A$6:$AE$155,10,FALSE),""))</x:f>
      </x:c>
      <x:c r="H87" s="25" t="str">
        <x:f>IF(G87="","",IFERROR(VLOOKUP(G87,'02 Skill Catalogue'!$A$6:$K$95,4,FALSE),""))</x:f>
      </x:c>
      <x:c r="I87" s="25" t="str">
        <x:f>IF(B87="","",IFERROR(VLOOKUP(B87,'04 Assessment Log'!$A$6:$AE$155,14,FALSE),""))</x:f>
      </x:c>
      <x:c r="J87" s="25" t="str">
        <x:f>IF(B87="","",IFERROR(VLOOKUP(B87,'04 Assessment Log'!$A$6:$AE$155,15,FALSE),""))</x:f>
      </x:c>
      <x:c r="K87" s="25" t="str">
        <x:f>IF(B87="","",IFERROR(VLOOKUP(B87,'04 Assessment Log'!$A$6:$AE$155,16,FALSE),""))</x:f>
      </x:c>
      <x:c r="L87" s="25" t="str">
        <x:f>IF(B87="","",IFERROR(VLOOKUP(B87,'04 Assessment Log'!$A$6:$AE$155,18,FALSE),""))</x:f>
      </x:c>
      <x:c r="M87" s="24"/>
      <x:c r="N87" s="27"/>
      <x:c r="O87" s="27"/>
      <x:c r="P87" s="24"/>
      <x:c r="Q87" s="24"/>
      <x:c r="R87" s="24"/>
      <x:c r="S87" s="26"/>
      <x:c r="T87" s="26"/>
      <x:c r="U87" s="24"/>
      <x:c r="V87" s="26"/>
      <x:c r="W87" s="27"/>
      <x:c r="X87" s="26"/>
      <x:c r="Y87" s="24"/>
      <x:c r="Z87" s="25" t="str">
        <x:f>IF(Y87="","",IFERROR(VLOOKUP(Y87,'04 Assessment Log'!$A$6:$AE$155,15,FALSE),"Assessment not found"))</x:f>
      </x:c>
      <x:c r="AA87" s="25" t="str">
        <x:f>IF(OR(J87="",Z87=""),"",Z87-J87)</x:f>
      </x:c>
      <x:c r="AB87" s="25" t="str">
        <x:f>IF(A87="","",IF(U87="Cancelled","Cancelled",IF(U87&lt;&gt;"Completed","Open",IF(Y87="","Pending Reassessment",IF(Z87&gt;=I87,"Closed — Competent","Further Action Required")))))</x:f>
      </x:c>
      <x:c r="AC87" s="25" t="str">
        <x:f>IF(OR(A87="",T87=""),"",IF(OR(U87="Completed",U87="Cancelled"),0,MAX(TODAY()-T87,0)))</x:f>
      </x:c>
      <x:c r="AD87" s="24"/>
    </x:row>
    <x:row r="88">
      <x:c r="A88" s="24"/>
      <x:c r="B88" s="24"/>
      <x:c r="C88" s="25" t="str">
        <x:f>IF(B88="","",IFERROR(VLOOKUP(B88,'04 Assessment Log'!$A$6:$AE$155,4,FALSE),"Assessment not found"))</x:f>
      </x:c>
      <x:c r="D88" s="25" t="str">
        <x:f>IF(C88="","",IFERROR(VLOOKUP(C88,'01 Staff Master'!$A$6:$M$105,2,FALSE),""))</x:f>
      </x:c>
      <x:c r="E88" s="25" t="str">
        <x:f>IF(B88="","",IFERROR(VLOOKUP(B88,'04 Assessment Log'!$A$6:$AE$155,6,FALSE),""))</x:f>
      </x:c>
      <x:c r="F88" s="25" t="str">
        <x:f>IF(B88="","",IFERROR(VLOOKUP(B88,'04 Assessment Log'!$A$6:$AE$155,7,FALSE),""))</x:f>
      </x:c>
      <x:c r="G88" s="25" t="str">
        <x:f>IF(B88="","",IFERROR(VLOOKUP(B88,'04 Assessment Log'!$A$6:$AE$155,10,FALSE),""))</x:f>
      </x:c>
      <x:c r="H88" s="25" t="str">
        <x:f>IF(G88="","",IFERROR(VLOOKUP(G88,'02 Skill Catalogue'!$A$6:$K$95,4,FALSE),""))</x:f>
      </x:c>
      <x:c r="I88" s="25" t="str">
        <x:f>IF(B88="","",IFERROR(VLOOKUP(B88,'04 Assessment Log'!$A$6:$AE$155,14,FALSE),""))</x:f>
      </x:c>
      <x:c r="J88" s="25" t="str">
        <x:f>IF(B88="","",IFERROR(VLOOKUP(B88,'04 Assessment Log'!$A$6:$AE$155,15,FALSE),""))</x:f>
      </x:c>
      <x:c r="K88" s="25" t="str">
        <x:f>IF(B88="","",IFERROR(VLOOKUP(B88,'04 Assessment Log'!$A$6:$AE$155,16,FALSE),""))</x:f>
      </x:c>
      <x:c r="L88" s="25" t="str">
        <x:f>IF(B88="","",IFERROR(VLOOKUP(B88,'04 Assessment Log'!$A$6:$AE$155,18,FALSE),""))</x:f>
      </x:c>
      <x:c r="M88" s="24"/>
      <x:c r="N88" s="27"/>
      <x:c r="O88" s="27"/>
      <x:c r="P88" s="24"/>
      <x:c r="Q88" s="24"/>
      <x:c r="R88" s="24"/>
      <x:c r="S88" s="26"/>
      <x:c r="T88" s="26"/>
      <x:c r="U88" s="24"/>
      <x:c r="V88" s="26"/>
      <x:c r="W88" s="27"/>
      <x:c r="X88" s="26"/>
      <x:c r="Y88" s="24"/>
      <x:c r="Z88" s="25" t="str">
        <x:f>IF(Y88="","",IFERROR(VLOOKUP(Y88,'04 Assessment Log'!$A$6:$AE$155,15,FALSE),"Assessment not found"))</x:f>
      </x:c>
      <x:c r="AA88" s="25" t="str">
        <x:f>IF(OR(J88="",Z88=""),"",Z88-J88)</x:f>
      </x:c>
      <x:c r="AB88" s="25" t="str">
        <x:f>IF(A88="","",IF(U88="Cancelled","Cancelled",IF(U88&lt;&gt;"Completed","Open",IF(Y88="","Pending Reassessment",IF(Z88&gt;=I88,"Closed — Competent","Further Action Required")))))</x:f>
      </x:c>
      <x:c r="AC88" s="25" t="str">
        <x:f>IF(OR(A88="",T88=""),"",IF(OR(U88="Completed",U88="Cancelled"),0,MAX(TODAY()-T88,0)))</x:f>
      </x:c>
      <x:c r="AD88" s="24"/>
    </x:row>
    <x:row r="89">
      <x:c r="A89" s="24"/>
      <x:c r="B89" s="24"/>
      <x:c r="C89" s="25" t="str">
        <x:f>IF(B89="","",IFERROR(VLOOKUP(B89,'04 Assessment Log'!$A$6:$AE$155,4,FALSE),"Assessment not found"))</x:f>
      </x:c>
      <x:c r="D89" s="25" t="str">
        <x:f>IF(C89="","",IFERROR(VLOOKUP(C89,'01 Staff Master'!$A$6:$M$105,2,FALSE),""))</x:f>
      </x:c>
      <x:c r="E89" s="25" t="str">
        <x:f>IF(B89="","",IFERROR(VLOOKUP(B89,'04 Assessment Log'!$A$6:$AE$155,6,FALSE),""))</x:f>
      </x:c>
      <x:c r="F89" s="25" t="str">
        <x:f>IF(B89="","",IFERROR(VLOOKUP(B89,'04 Assessment Log'!$A$6:$AE$155,7,FALSE),""))</x:f>
      </x:c>
      <x:c r="G89" s="25" t="str">
        <x:f>IF(B89="","",IFERROR(VLOOKUP(B89,'04 Assessment Log'!$A$6:$AE$155,10,FALSE),""))</x:f>
      </x:c>
      <x:c r="H89" s="25" t="str">
        <x:f>IF(G89="","",IFERROR(VLOOKUP(G89,'02 Skill Catalogue'!$A$6:$K$95,4,FALSE),""))</x:f>
      </x:c>
      <x:c r="I89" s="25" t="str">
        <x:f>IF(B89="","",IFERROR(VLOOKUP(B89,'04 Assessment Log'!$A$6:$AE$155,14,FALSE),""))</x:f>
      </x:c>
      <x:c r="J89" s="25" t="str">
        <x:f>IF(B89="","",IFERROR(VLOOKUP(B89,'04 Assessment Log'!$A$6:$AE$155,15,FALSE),""))</x:f>
      </x:c>
      <x:c r="K89" s="25" t="str">
        <x:f>IF(B89="","",IFERROR(VLOOKUP(B89,'04 Assessment Log'!$A$6:$AE$155,16,FALSE),""))</x:f>
      </x:c>
      <x:c r="L89" s="25" t="str">
        <x:f>IF(B89="","",IFERROR(VLOOKUP(B89,'04 Assessment Log'!$A$6:$AE$155,18,FALSE),""))</x:f>
      </x:c>
      <x:c r="M89" s="24"/>
      <x:c r="N89" s="27"/>
      <x:c r="O89" s="27"/>
      <x:c r="P89" s="24"/>
      <x:c r="Q89" s="24"/>
      <x:c r="R89" s="24"/>
      <x:c r="S89" s="26"/>
      <x:c r="T89" s="26"/>
      <x:c r="U89" s="24"/>
      <x:c r="V89" s="26"/>
      <x:c r="W89" s="27"/>
      <x:c r="X89" s="26"/>
      <x:c r="Y89" s="24"/>
      <x:c r="Z89" s="25" t="str">
        <x:f>IF(Y89="","",IFERROR(VLOOKUP(Y89,'04 Assessment Log'!$A$6:$AE$155,15,FALSE),"Assessment not found"))</x:f>
      </x:c>
      <x:c r="AA89" s="25" t="str">
        <x:f>IF(OR(J89="",Z89=""),"",Z89-J89)</x:f>
      </x:c>
      <x:c r="AB89" s="25" t="str">
        <x:f>IF(A89="","",IF(U89="Cancelled","Cancelled",IF(U89&lt;&gt;"Completed","Open",IF(Y89="","Pending Reassessment",IF(Z89&gt;=I89,"Closed — Competent","Further Action Required")))))</x:f>
      </x:c>
      <x:c r="AC89" s="25" t="str">
        <x:f>IF(OR(A89="",T89=""),"",IF(OR(U89="Completed",U89="Cancelled"),0,MAX(TODAY()-T89,0)))</x:f>
      </x:c>
      <x:c r="AD89" s="24"/>
    </x:row>
    <x:row r="90">
      <x:c r="A90" s="24"/>
      <x:c r="B90" s="24"/>
      <x:c r="C90" s="25" t="str">
        <x:f>IF(B90="","",IFERROR(VLOOKUP(B90,'04 Assessment Log'!$A$6:$AE$155,4,FALSE),"Assessment not found"))</x:f>
      </x:c>
      <x:c r="D90" s="25" t="str">
        <x:f>IF(C90="","",IFERROR(VLOOKUP(C90,'01 Staff Master'!$A$6:$M$105,2,FALSE),""))</x:f>
      </x:c>
      <x:c r="E90" s="25" t="str">
        <x:f>IF(B90="","",IFERROR(VLOOKUP(B90,'04 Assessment Log'!$A$6:$AE$155,6,FALSE),""))</x:f>
      </x:c>
      <x:c r="F90" s="25" t="str">
        <x:f>IF(B90="","",IFERROR(VLOOKUP(B90,'04 Assessment Log'!$A$6:$AE$155,7,FALSE),""))</x:f>
      </x:c>
      <x:c r="G90" s="25" t="str">
        <x:f>IF(B90="","",IFERROR(VLOOKUP(B90,'04 Assessment Log'!$A$6:$AE$155,10,FALSE),""))</x:f>
      </x:c>
      <x:c r="H90" s="25" t="str">
        <x:f>IF(G90="","",IFERROR(VLOOKUP(G90,'02 Skill Catalogue'!$A$6:$K$95,4,FALSE),""))</x:f>
      </x:c>
      <x:c r="I90" s="25" t="str">
        <x:f>IF(B90="","",IFERROR(VLOOKUP(B90,'04 Assessment Log'!$A$6:$AE$155,14,FALSE),""))</x:f>
      </x:c>
      <x:c r="J90" s="25" t="str">
        <x:f>IF(B90="","",IFERROR(VLOOKUP(B90,'04 Assessment Log'!$A$6:$AE$155,15,FALSE),""))</x:f>
      </x:c>
      <x:c r="K90" s="25" t="str">
        <x:f>IF(B90="","",IFERROR(VLOOKUP(B90,'04 Assessment Log'!$A$6:$AE$155,16,FALSE),""))</x:f>
      </x:c>
      <x:c r="L90" s="25" t="str">
        <x:f>IF(B90="","",IFERROR(VLOOKUP(B90,'04 Assessment Log'!$A$6:$AE$155,18,FALSE),""))</x:f>
      </x:c>
      <x:c r="M90" s="24"/>
      <x:c r="N90" s="27"/>
      <x:c r="O90" s="27"/>
      <x:c r="P90" s="24"/>
      <x:c r="Q90" s="24"/>
      <x:c r="R90" s="24"/>
      <x:c r="S90" s="26"/>
      <x:c r="T90" s="26"/>
      <x:c r="U90" s="24"/>
      <x:c r="V90" s="26"/>
      <x:c r="W90" s="27"/>
      <x:c r="X90" s="26"/>
      <x:c r="Y90" s="24"/>
      <x:c r="Z90" s="25" t="str">
        <x:f>IF(Y90="","",IFERROR(VLOOKUP(Y90,'04 Assessment Log'!$A$6:$AE$155,15,FALSE),"Assessment not found"))</x:f>
      </x:c>
      <x:c r="AA90" s="25" t="str">
        <x:f>IF(OR(J90="",Z90=""),"",Z90-J90)</x:f>
      </x:c>
      <x:c r="AB90" s="25" t="str">
        <x:f>IF(A90="","",IF(U90="Cancelled","Cancelled",IF(U90&lt;&gt;"Completed","Open",IF(Y90="","Pending Reassessment",IF(Z90&gt;=I90,"Closed — Competent","Further Action Required")))))</x:f>
      </x:c>
      <x:c r="AC90" s="25" t="str">
        <x:f>IF(OR(A90="",T90=""),"",IF(OR(U90="Completed",U90="Cancelled"),0,MAX(TODAY()-T90,0)))</x:f>
      </x:c>
      <x:c r="AD90" s="24"/>
    </x:row>
    <x:row r="91">
      <x:c r="A91" s="24"/>
      <x:c r="B91" s="24"/>
      <x:c r="C91" s="25" t="str">
        <x:f>IF(B91="","",IFERROR(VLOOKUP(B91,'04 Assessment Log'!$A$6:$AE$155,4,FALSE),"Assessment not found"))</x:f>
      </x:c>
      <x:c r="D91" s="25" t="str">
        <x:f>IF(C91="","",IFERROR(VLOOKUP(C91,'01 Staff Master'!$A$6:$M$105,2,FALSE),""))</x:f>
      </x:c>
      <x:c r="E91" s="25" t="str">
        <x:f>IF(B91="","",IFERROR(VLOOKUP(B91,'04 Assessment Log'!$A$6:$AE$155,6,FALSE),""))</x:f>
      </x:c>
      <x:c r="F91" s="25" t="str">
        <x:f>IF(B91="","",IFERROR(VLOOKUP(B91,'04 Assessment Log'!$A$6:$AE$155,7,FALSE),""))</x:f>
      </x:c>
      <x:c r="G91" s="25" t="str">
        <x:f>IF(B91="","",IFERROR(VLOOKUP(B91,'04 Assessment Log'!$A$6:$AE$155,10,FALSE),""))</x:f>
      </x:c>
      <x:c r="H91" s="25" t="str">
        <x:f>IF(G91="","",IFERROR(VLOOKUP(G91,'02 Skill Catalogue'!$A$6:$K$95,4,FALSE),""))</x:f>
      </x:c>
      <x:c r="I91" s="25" t="str">
        <x:f>IF(B91="","",IFERROR(VLOOKUP(B91,'04 Assessment Log'!$A$6:$AE$155,14,FALSE),""))</x:f>
      </x:c>
      <x:c r="J91" s="25" t="str">
        <x:f>IF(B91="","",IFERROR(VLOOKUP(B91,'04 Assessment Log'!$A$6:$AE$155,15,FALSE),""))</x:f>
      </x:c>
      <x:c r="K91" s="25" t="str">
        <x:f>IF(B91="","",IFERROR(VLOOKUP(B91,'04 Assessment Log'!$A$6:$AE$155,16,FALSE),""))</x:f>
      </x:c>
      <x:c r="L91" s="25" t="str">
        <x:f>IF(B91="","",IFERROR(VLOOKUP(B91,'04 Assessment Log'!$A$6:$AE$155,18,FALSE),""))</x:f>
      </x:c>
      <x:c r="M91" s="24"/>
      <x:c r="N91" s="27"/>
      <x:c r="O91" s="27"/>
      <x:c r="P91" s="24"/>
      <x:c r="Q91" s="24"/>
      <x:c r="R91" s="24"/>
      <x:c r="S91" s="26"/>
      <x:c r="T91" s="26"/>
      <x:c r="U91" s="24"/>
      <x:c r="V91" s="26"/>
      <x:c r="W91" s="27"/>
      <x:c r="X91" s="26"/>
      <x:c r="Y91" s="24"/>
      <x:c r="Z91" s="25" t="str">
        <x:f>IF(Y91="","",IFERROR(VLOOKUP(Y91,'04 Assessment Log'!$A$6:$AE$155,15,FALSE),"Assessment not found"))</x:f>
      </x:c>
      <x:c r="AA91" s="25" t="str">
        <x:f>IF(OR(J91="",Z91=""),"",Z91-J91)</x:f>
      </x:c>
      <x:c r="AB91" s="25" t="str">
        <x:f>IF(A91="","",IF(U91="Cancelled","Cancelled",IF(U91&lt;&gt;"Completed","Open",IF(Y91="","Pending Reassessment",IF(Z91&gt;=I91,"Closed — Competent","Further Action Required")))))</x:f>
      </x:c>
      <x:c r="AC91" s="25" t="str">
        <x:f>IF(OR(A91="",T91=""),"",IF(OR(U91="Completed",U91="Cancelled"),0,MAX(TODAY()-T91,0)))</x:f>
      </x:c>
      <x:c r="AD91" s="24"/>
    </x:row>
    <x:row r="92">
      <x:c r="A92" s="24"/>
      <x:c r="B92" s="24"/>
      <x:c r="C92" s="25" t="str">
        <x:f>IF(B92="","",IFERROR(VLOOKUP(B92,'04 Assessment Log'!$A$6:$AE$155,4,FALSE),"Assessment not found"))</x:f>
      </x:c>
      <x:c r="D92" s="25" t="str">
        <x:f>IF(C92="","",IFERROR(VLOOKUP(C92,'01 Staff Master'!$A$6:$M$105,2,FALSE),""))</x:f>
      </x:c>
      <x:c r="E92" s="25" t="str">
        <x:f>IF(B92="","",IFERROR(VLOOKUP(B92,'04 Assessment Log'!$A$6:$AE$155,6,FALSE),""))</x:f>
      </x:c>
      <x:c r="F92" s="25" t="str">
        <x:f>IF(B92="","",IFERROR(VLOOKUP(B92,'04 Assessment Log'!$A$6:$AE$155,7,FALSE),""))</x:f>
      </x:c>
      <x:c r="G92" s="25" t="str">
        <x:f>IF(B92="","",IFERROR(VLOOKUP(B92,'04 Assessment Log'!$A$6:$AE$155,10,FALSE),""))</x:f>
      </x:c>
      <x:c r="H92" s="25" t="str">
        <x:f>IF(G92="","",IFERROR(VLOOKUP(G92,'02 Skill Catalogue'!$A$6:$K$95,4,FALSE),""))</x:f>
      </x:c>
      <x:c r="I92" s="25" t="str">
        <x:f>IF(B92="","",IFERROR(VLOOKUP(B92,'04 Assessment Log'!$A$6:$AE$155,14,FALSE),""))</x:f>
      </x:c>
      <x:c r="J92" s="25" t="str">
        <x:f>IF(B92="","",IFERROR(VLOOKUP(B92,'04 Assessment Log'!$A$6:$AE$155,15,FALSE),""))</x:f>
      </x:c>
      <x:c r="K92" s="25" t="str">
        <x:f>IF(B92="","",IFERROR(VLOOKUP(B92,'04 Assessment Log'!$A$6:$AE$155,16,FALSE),""))</x:f>
      </x:c>
      <x:c r="L92" s="25" t="str">
        <x:f>IF(B92="","",IFERROR(VLOOKUP(B92,'04 Assessment Log'!$A$6:$AE$155,18,FALSE),""))</x:f>
      </x:c>
      <x:c r="M92" s="24"/>
      <x:c r="N92" s="27"/>
      <x:c r="O92" s="27"/>
      <x:c r="P92" s="24"/>
      <x:c r="Q92" s="24"/>
      <x:c r="R92" s="24"/>
      <x:c r="S92" s="26"/>
      <x:c r="T92" s="26"/>
      <x:c r="U92" s="24"/>
      <x:c r="V92" s="26"/>
      <x:c r="W92" s="27"/>
      <x:c r="X92" s="26"/>
      <x:c r="Y92" s="24"/>
      <x:c r="Z92" s="25" t="str">
        <x:f>IF(Y92="","",IFERROR(VLOOKUP(Y92,'04 Assessment Log'!$A$6:$AE$155,15,FALSE),"Assessment not found"))</x:f>
      </x:c>
      <x:c r="AA92" s="25" t="str">
        <x:f>IF(OR(J92="",Z92=""),"",Z92-J92)</x:f>
      </x:c>
      <x:c r="AB92" s="25" t="str">
        <x:f>IF(A92="","",IF(U92="Cancelled","Cancelled",IF(U92&lt;&gt;"Completed","Open",IF(Y92="","Pending Reassessment",IF(Z92&gt;=I92,"Closed — Competent","Further Action Required")))))</x:f>
      </x:c>
      <x:c r="AC92" s="25" t="str">
        <x:f>IF(OR(A92="",T92=""),"",IF(OR(U92="Completed",U92="Cancelled"),0,MAX(TODAY()-T92,0)))</x:f>
      </x:c>
      <x:c r="AD92" s="24"/>
    </x:row>
    <x:row r="93">
      <x:c r="A93" s="24"/>
      <x:c r="B93" s="24"/>
      <x:c r="C93" s="25" t="str">
        <x:f>IF(B93="","",IFERROR(VLOOKUP(B93,'04 Assessment Log'!$A$6:$AE$155,4,FALSE),"Assessment not found"))</x:f>
      </x:c>
      <x:c r="D93" s="25" t="str">
        <x:f>IF(C93="","",IFERROR(VLOOKUP(C93,'01 Staff Master'!$A$6:$M$105,2,FALSE),""))</x:f>
      </x:c>
      <x:c r="E93" s="25" t="str">
        <x:f>IF(B93="","",IFERROR(VLOOKUP(B93,'04 Assessment Log'!$A$6:$AE$155,6,FALSE),""))</x:f>
      </x:c>
      <x:c r="F93" s="25" t="str">
        <x:f>IF(B93="","",IFERROR(VLOOKUP(B93,'04 Assessment Log'!$A$6:$AE$155,7,FALSE),""))</x:f>
      </x:c>
      <x:c r="G93" s="25" t="str">
        <x:f>IF(B93="","",IFERROR(VLOOKUP(B93,'04 Assessment Log'!$A$6:$AE$155,10,FALSE),""))</x:f>
      </x:c>
      <x:c r="H93" s="25" t="str">
        <x:f>IF(G93="","",IFERROR(VLOOKUP(G93,'02 Skill Catalogue'!$A$6:$K$95,4,FALSE),""))</x:f>
      </x:c>
      <x:c r="I93" s="25" t="str">
        <x:f>IF(B93="","",IFERROR(VLOOKUP(B93,'04 Assessment Log'!$A$6:$AE$155,14,FALSE),""))</x:f>
      </x:c>
      <x:c r="J93" s="25" t="str">
        <x:f>IF(B93="","",IFERROR(VLOOKUP(B93,'04 Assessment Log'!$A$6:$AE$155,15,FALSE),""))</x:f>
      </x:c>
      <x:c r="K93" s="25" t="str">
        <x:f>IF(B93="","",IFERROR(VLOOKUP(B93,'04 Assessment Log'!$A$6:$AE$155,16,FALSE),""))</x:f>
      </x:c>
      <x:c r="L93" s="25" t="str">
        <x:f>IF(B93="","",IFERROR(VLOOKUP(B93,'04 Assessment Log'!$A$6:$AE$155,18,FALSE),""))</x:f>
      </x:c>
      <x:c r="M93" s="24"/>
      <x:c r="N93" s="27"/>
      <x:c r="O93" s="27"/>
      <x:c r="P93" s="24"/>
      <x:c r="Q93" s="24"/>
      <x:c r="R93" s="24"/>
      <x:c r="S93" s="26"/>
      <x:c r="T93" s="26"/>
      <x:c r="U93" s="24"/>
      <x:c r="V93" s="26"/>
      <x:c r="W93" s="27"/>
      <x:c r="X93" s="26"/>
      <x:c r="Y93" s="24"/>
      <x:c r="Z93" s="25" t="str">
        <x:f>IF(Y93="","",IFERROR(VLOOKUP(Y93,'04 Assessment Log'!$A$6:$AE$155,15,FALSE),"Assessment not found"))</x:f>
      </x:c>
      <x:c r="AA93" s="25" t="str">
        <x:f>IF(OR(J93="",Z93=""),"",Z93-J93)</x:f>
      </x:c>
      <x:c r="AB93" s="25" t="str">
        <x:f>IF(A93="","",IF(U93="Cancelled","Cancelled",IF(U93&lt;&gt;"Completed","Open",IF(Y93="","Pending Reassessment",IF(Z93&gt;=I93,"Closed — Competent","Further Action Required")))))</x:f>
      </x:c>
      <x:c r="AC93" s="25" t="str">
        <x:f>IF(OR(A93="",T93=""),"",IF(OR(U93="Completed",U93="Cancelled"),0,MAX(TODAY()-T93,0)))</x:f>
      </x:c>
      <x:c r="AD93" s="24"/>
    </x:row>
    <x:row r="94">
      <x:c r="A94" s="24"/>
      <x:c r="B94" s="24"/>
      <x:c r="C94" s="25" t="str">
        <x:f>IF(B94="","",IFERROR(VLOOKUP(B94,'04 Assessment Log'!$A$6:$AE$155,4,FALSE),"Assessment not found"))</x:f>
      </x:c>
      <x:c r="D94" s="25" t="str">
        <x:f>IF(C94="","",IFERROR(VLOOKUP(C94,'01 Staff Master'!$A$6:$M$105,2,FALSE),""))</x:f>
      </x:c>
      <x:c r="E94" s="25" t="str">
        <x:f>IF(B94="","",IFERROR(VLOOKUP(B94,'04 Assessment Log'!$A$6:$AE$155,6,FALSE),""))</x:f>
      </x:c>
      <x:c r="F94" s="25" t="str">
        <x:f>IF(B94="","",IFERROR(VLOOKUP(B94,'04 Assessment Log'!$A$6:$AE$155,7,FALSE),""))</x:f>
      </x:c>
      <x:c r="G94" s="25" t="str">
        <x:f>IF(B94="","",IFERROR(VLOOKUP(B94,'04 Assessment Log'!$A$6:$AE$155,10,FALSE),""))</x:f>
      </x:c>
      <x:c r="H94" s="25" t="str">
        <x:f>IF(G94="","",IFERROR(VLOOKUP(G94,'02 Skill Catalogue'!$A$6:$K$95,4,FALSE),""))</x:f>
      </x:c>
      <x:c r="I94" s="25" t="str">
        <x:f>IF(B94="","",IFERROR(VLOOKUP(B94,'04 Assessment Log'!$A$6:$AE$155,14,FALSE),""))</x:f>
      </x:c>
      <x:c r="J94" s="25" t="str">
        <x:f>IF(B94="","",IFERROR(VLOOKUP(B94,'04 Assessment Log'!$A$6:$AE$155,15,FALSE),""))</x:f>
      </x:c>
      <x:c r="K94" s="25" t="str">
        <x:f>IF(B94="","",IFERROR(VLOOKUP(B94,'04 Assessment Log'!$A$6:$AE$155,16,FALSE),""))</x:f>
      </x:c>
      <x:c r="L94" s="25" t="str">
        <x:f>IF(B94="","",IFERROR(VLOOKUP(B94,'04 Assessment Log'!$A$6:$AE$155,18,FALSE),""))</x:f>
      </x:c>
      <x:c r="M94" s="24"/>
      <x:c r="N94" s="27"/>
      <x:c r="O94" s="27"/>
      <x:c r="P94" s="24"/>
      <x:c r="Q94" s="24"/>
      <x:c r="R94" s="24"/>
      <x:c r="S94" s="26"/>
      <x:c r="T94" s="26"/>
      <x:c r="U94" s="24"/>
      <x:c r="V94" s="26"/>
      <x:c r="W94" s="27"/>
      <x:c r="X94" s="26"/>
      <x:c r="Y94" s="24"/>
      <x:c r="Z94" s="25" t="str">
        <x:f>IF(Y94="","",IFERROR(VLOOKUP(Y94,'04 Assessment Log'!$A$6:$AE$155,15,FALSE),"Assessment not found"))</x:f>
      </x:c>
      <x:c r="AA94" s="25" t="str">
        <x:f>IF(OR(J94="",Z94=""),"",Z94-J94)</x:f>
      </x:c>
      <x:c r="AB94" s="25" t="str">
        <x:f>IF(A94="","",IF(U94="Cancelled","Cancelled",IF(U94&lt;&gt;"Completed","Open",IF(Y94="","Pending Reassessment",IF(Z94&gt;=I94,"Closed — Competent","Further Action Required")))))</x:f>
      </x:c>
      <x:c r="AC94" s="25" t="str">
        <x:f>IF(OR(A94="",T94=""),"",IF(OR(U94="Completed",U94="Cancelled"),0,MAX(TODAY()-T94,0)))</x:f>
      </x:c>
      <x:c r="AD94" s="24"/>
    </x:row>
    <x:row r="95">
      <x:c r="A95" s="24"/>
      <x:c r="B95" s="24"/>
      <x:c r="C95" s="25" t="str">
        <x:f>IF(B95="","",IFERROR(VLOOKUP(B95,'04 Assessment Log'!$A$6:$AE$155,4,FALSE),"Assessment not found"))</x:f>
      </x:c>
      <x:c r="D95" s="25" t="str">
        <x:f>IF(C95="","",IFERROR(VLOOKUP(C95,'01 Staff Master'!$A$6:$M$105,2,FALSE),""))</x:f>
      </x:c>
      <x:c r="E95" s="25" t="str">
        <x:f>IF(B95="","",IFERROR(VLOOKUP(B95,'04 Assessment Log'!$A$6:$AE$155,6,FALSE),""))</x:f>
      </x:c>
      <x:c r="F95" s="25" t="str">
        <x:f>IF(B95="","",IFERROR(VLOOKUP(B95,'04 Assessment Log'!$A$6:$AE$155,7,FALSE),""))</x:f>
      </x:c>
      <x:c r="G95" s="25" t="str">
        <x:f>IF(B95="","",IFERROR(VLOOKUP(B95,'04 Assessment Log'!$A$6:$AE$155,10,FALSE),""))</x:f>
      </x:c>
      <x:c r="H95" s="25" t="str">
        <x:f>IF(G95="","",IFERROR(VLOOKUP(G95,'02 Skill Catalogue'!$A$6:$K$95,4,FALSE),""))</x:f>
      </x:c>
      <x:c r="I95" s="25" t="str">
        <x:f>IF(B95="","",IFERROR(VLOOKUP(B95,'04 Assessment Log'!$A$6:$AE$155,14,FALSE),""))</x:f>
      </x:c>
      <x:c r="J95" s="25" t="str">
        <x:f>IF(B95="","",IFERROR(VLOOKUP(B95,'04 Assessment Log'!$A$6:$AE$155,15,FALSE),""))</x:f>
      </x:c>
      <x:c r="K95" s="25" t="str">
        <x:f>IF(B95="","",IFERROR(VLOOKUP(B95,'04 Assessment Log'!$A$6:$AE$155,16,FALSE),""))</x:f>
      </x:c>
      <x:c r="L95" s="25" t="str">
        <x:f>IF(B95="","",IFERROR(VLOOKUP(B95,'04 Assessment Log'!$A$6:$AE$155,18,FALSE),""))</x:f>
      </x:c>
      <x:c r="M95" s="24"/>
      <x:c r="N95" s="27"/>
      <x:c r="O95" s="27"/>
      <x:c r="P95" s="24"/>
      <x:c r="Q95" s="24"/>
      <x:c r="R95" s="24"/>
      <x:c r="S95" s="26"/>
      <x:c r="T95" s="26"/>
      <x:c r="U95" s="24"/>
      <x:c r="V95" s="26"/>
      <x:c r="W95" s="27"/>
      <x:c r="X95" s="26"/>
      <x:c r="Y95" s="24"/>
      <x:c r="Z95" s="25" t="str">
        <x:f>IF(Y95="","",IFERROR(VLOOKUP(Y95,'04 Assessment Log'!$A$6:$AE$155,15,FALSE),"Assessment not found"))</x:f>
      </x:c>
      <x:c r="AA95" s="25" t="str">
        <x:f>IF(OR(J95="",Z95=""),"",Z95-J95)</x:f>
      </x:c>
      <x:c r="AB95" s="25" t="str">
        <x:f>IF(A95="","",IF(U95="Cancelled","Cancelled",IF(U95&lt;&gt;"Completed","Open",IF(Y95="","Pending Reassessment",IF(Z95&gt;=I95,"Closed — Competent","Further Action Required")))))</x:f>
      </x:c>
      <x:c r="AC95" s="25" t="str">
        <x:f>IF(OR(A95="",T95=""),"",IF(OR(U95="Completed",U95="Cancelled"),0,MAX(TODAY()-T95,0)))</x:f>
      </x:c>
      <x:c r="AD95" s="24"/>
    </x:row>
    <x:row r="96">
      <x:c r="A96" s="24"/>
      <x:c r="B96" s="24"/>
      <x:c r="C96" s="25" t="str">
        <x:f>IF(B96="","",IFERROR(VLOOKUP(B96,'04 Assessment Log'!$A$6:$AE$155,4,FALSE),"Assessment not found"))</x:f>
      </x:c>
      <x:c r="D96" s="25" t="str">
        <x:f>IF(C96="","",IFERROR(VLOOKUP(C96,'01 Staff Master'!$A$6:$M$105,2,FALSE),""))</x:f>
      </x:c>
      <x:c r="E96" s="25" t="str">
        <x:f>IF(B96="","",IFERROR(VLOOKUP(B96,'04 Assessment Log'!$A$6:$AE$155,6,FALSE),""))</x:f>
      </x:c>
      <x:c r="F96" s="25" t="str">
        <x:f>IF(B96="","",IFERROR(VLOOKUP(B96,'04 Assessment Log'!$A$6:$AE$155,7,FALSE),""))</x:f>
      </x:c>
      <x:c r="G96" s="25" t="str">
        <x:f>IF(B96="","",IFERROR(VLOOKUP(B96,'04 Assessment Log'!$A$6:$AE$155,10,FALSE),""))</x:f>
      </x:c>
      <x:c r="H96" s="25" t="str">
        <x:f>IF(G96="","",IFERROR(VLOOKUP(G96,'02 Skill Catalogue'!$A$6:$K$95,4,FALSE),""))</x:f>
      </x:c>
      <x:c r="I96" s="25" t="str">
        <x:f>IF(B96="","",IFERROR(VLOOKUP(B96,'04 Assessment Log'!$A$6:$AE$155,14,FALSE),""))</x:f>
      </x:c>
      <x:c r="J96" s="25" t="str">
        <x:f>IF(B96="","",IFERROR(VLOOKUP(B96,'04 Assessment Log'!$A$6:$AE$155,15,FALSE),""))</x:f>
      </x:c>
      <x:c r="K96" s="25" t="str">
        <x:f>IF(B96="","",IFERROR(VLOOKUP(B96,'04 Assessment Log'!$A$6:$AE$155,16,FALSE),""))</x:f>
      </x:c>
      <x:c r="L96" s="25" t="str">
        <x:f>IF(B96="","",IFERROR(VLOOKUP(B96,'04 Assessment Log'!$A$6:$AE$155,18,FALSE),""))</x:f>
      </x:c>
      <x:c r="M96" s="24"/>
      <x:c r="N96" s="27"/>
      <x:c r="O96" s="27"/>
      <x:c r="P96" s="24"/>
      <x:c r="Q96" s="24"/>
      <x:c r="R96" s="24"/>
      <x:c r="S96" s="26"/>
      <x:c r="T96" s="26"/>
      <x:c r="U96" s="24"/>
      <x:c r="V96" s="26"/>
      <x:c r="W96" s="27"/>
      <x:c r="X96" s="26"/>
      <x:c r="Y96" s="24"/>
      <x:c r="Z96" s="25" t="str">
        <x:f>IF(Y96="","",IFERROR(VLOOKUP(Y96,'04 Assessment Log'!$A$6:$AE$155,15,FALSE),"Assessment not found"))</x:f>
      </x:c>
      <x:c r="AA96" s="25" t="str">
        <x:f>IF(OR(J96="",Z96=""),"",Z96-J96)</x:f>
      </x:c>
      <x:c r="AB96" s="25" t="str">
        <x:f>IF(A96="","",IF(U96="Cancelled","Cancelled",IF(U96&lt;&gt;"Completed","Open",IF(Y96="","Pending Reassessment",IF(Z96&gt;=I96,"Closed — Competent","Further Action Required")))))</x:f>
      </x:c>
      <x:c r="AC96" s="25" t="str">
        <x:f>IF(OR(A96="",T96=""),"",IF(OR(U96="Completed",U96="Cancelled"),0,MAX(TODAY()-T96,0)))</x:f>
      </x:c>
      <x:c r="AD96" s="24"/>
    </x:row>
    <x:row r="97">
      <x:c r="A97" s="24"/>
      <x:c r="B97" s="24"/>
      <x:c r="C97" s="25" t="str">
        <x:f>IF(B97="","",IFERROR(VLOOKUP(B97,'04 Assessment Log'!$A$6:$AE$155,4,FALSE),"Assessment not found"))</x:f>
      </x:c>
      <x:c r="D97" s="25" t="str">
        <x:f>IF(C97="","",IFERROR(VLOOKUP(C97,'01 Staff Master'!$A$6:$M$105,2,FALSE),""))</x:f>
      </x:c>
      <x:c r="E97" s="25" t="str">
        <x:f>IF(B97="","",IFERROR(VLOOKUP(B97,'04 Assessment Log'!$A$6:$AE$155,6,FALSE),""))</x:f>
      </x:c>
      <x:c r="F97" s="25" t="str">
        <x:f>IF(B97="","",IFERROR(VLOOKUP(B97,'04 Assessment Log'!$A$6:$AE$155,7,FALSE),""))</x:f>
      </x:c>
      <x:c r="G97" s="25" t="str">
        <x:f>IF(B97="","",IFERROR(VLOOKUP(B97,'04 Assessment Log'!$A$6:$AE$155,10,FALSE),""))</x:f>
      </x:c>
      <x:c r="H97" s="25" t="str">
        <x:f>IF(G97="","",IFERROR(VLOOKUP(G97,'02 Skill Catalogue'!$A$6:$K$95,4,FALSE),""))</x:f>
      </x:c>
      <x:c r="I97" s="25" t="str">
        <x:f>IF(B97="","",IFERROR(VLOOKUP(B97,'04 Assessment Log'!$A$6:$AE$155,14,FALSE),""))</x:f>
      </x:c>
      <x:c r="J97" s="25" t="str">
        <x:f>IF(B97="","",IFERROR(VLOOKUP(B97,'04 Assessment Log'!$A$6:$AE$155,15,FALSE),""))</x:f>
      </x:c>
      <x:c r="K97" s="25" t="str">
        <x:f>IF(B97="","",IFERROR(VLOOKUP(B97,'04 Assessment Log'!$A$6:$AE$155,16,FALSE),""))</x:f>
      </x:c>
      <x:c r="L97" s="25" t="str">
        <x:f>IF(B97="","",IFERROR(VLOOKUP(B97,'04 Assessment Log'!$A$6:$AE$155,18,FALSE),""))</x:f>
      </x:c>
      <x:c r="M97" s="24"/>
      <x:c r="N97" s="27"/>
      <x:c r="O97" s="27"/>
      <x:c r="P97" s="24"/>
      <x:c r="Q97" s="24"/>
      <x:c r="R97" s="24"/>
      <x:c r="S97" s="26"/>
      <x:c r="T97" s="26"/>
      <x:c r="U97" s="24"/>
      <x:c r="V97" s="26"/>
      <x:c r="W97" s="27"/>
      <x:c r="X97" s="26"/>
      <x:c r="Y97" s="24"/>
      <x:c r="Z97" s="25" t="str">
        <x:f>IF(Y97="","",IFERROR(VLOOKUP(Y97,'04 Assessment Log'!$A$6:$AE$155,15,FALSE),"Assessment not found"))</x:f>
      </x:c>
      <x:c r="AA97" s="25" t="str">
        <x:f>IF(OR(J97="",Z97=""),"",Z97-J97)</x:f>
      </x:c>
      <x:c r="AB97" s="25" t="str">
        <x:f>IF(A97="","",IF(U97="Cancelled","Cancelled",IF(U97&lt;&gt;"Completed","Open",IF(Y97="","Pending Reassessment",IF(Z97&gt;=I97,"Closed — Competent","Further Action Required")))))</x:f>
      </x:c>
      <x:c r="AC97" s="25" t="str">
        <x:f>IF(OR(A97="",T97=""),"",IF(OR(U97="Completed",U97="Cancelled"),0,MAX(TODAY()-T97,0)))</x:f>
      </x:c>
      <x:c r="AD97" s="24"/>
    </x:row>
    <x:row r="98">
      <x:c r="A98" s="24"/>
      <x:c r="B98" s="24"/>
      <x:c r="C98" s="25" t="str">
        <x:f>IF(B98="","",IFERROR(VLOOKUP(B98,'04 Assessment Log'!$A$6:$AE$155,4,FALSE),"Assessment not found"))</x:f>
      </x:c>
      <x:c r="D98" s="25" t="str">
        <x:f>IF(C98="","",IFERROR(VLOOKUP(C98,'01 Staff Master'!$A$6:$M$105,2,FALSE),""))</x:f>
      </x:c>
      <x:c r="E98" s="25" t="str">
        <x:f>IF(B98="","",IFERROR(VLOOKUP(B98,'04 Assessment Log'!$A$6:$AE$155,6,FALSE),""))</x:f>
      </x:c>
      <x:c r="F98" s="25" t="str">
        <x:f>IF(B98="","",IFERROR(VLOOKUP(B98,'04 Assessment Log'!$A$6:$AE$155,7,FALSE),""))</x:f>
      </x:c>
      <x:c r="G98" s="25" t="str">
        <x:f>IF(B98="","",IFERROR(VLOOKUP(B98,'04 Assessment Log'!$A$6:$AE$155,10,FALSE),""))</x:f>
      </x:c>
      <x:c r="H98" s="25" t="str">
        <x:f>IF(G98="","",IFERROR(VLOOKUP(G98,'02 Skill Catalogue'!$A$6:$K$95,4,FALSE),""))</x:f>
      </x:c>
      <x:c r="I98" s="25" t="str">
        <x:f>IF(B98="","",IFERROR(VLOOKUP(B98,'04 Assessment Log'!$A$6:$AE$155,14,FALSE),""))</x:f>
      </x:c>
      <x:c r="J98" s="25" t="str">
        <x:f>IF(B98="","",IFERROR(VLOOKUP(B98,'04 Assessment Log'!$A$6:$AE$155,15,FALSE),""))</x:f>
      </x:c>
      <x:c r="K98" s="25" t="str">
        <x:f>IF(B98="","",IFERROR(VLOOKUP(B98,'04 Assessment Log'!$A$6:$AE$155,16,FALSE),""))</x:f>
      </x:c>
      <x:c r="L98" s="25" t="str">
        <x:f>IF(B98="","",IFERROR(VLOOKUP(B98,'04 Assessment Log'!$A$6:$AE$155,18,FALSE),""))</x:f>
      </x:c>
      <x:c r="M98" s="24"/>
      <x:c r="N98" s="27"/>
      <x:c r="O98" s="27"/>
      <x:c r="P98" s="24"/>
      <x:c r="Q98" s="24"/>
      <x:c r="R98" s="24"/>
      <x:c r="S98" s="26"/>
      <x:c r="T98" s="26"/>
      <x:c r="U98" s="24"/>
      <x:c r="V98" s="26"/>
      <x:c r="W98" s="27"/>
      <x:c r="X98" s="26"/>
      <x:c r="Y98" s="24"/>
      <x:c r="Z98" s="25" t="str">
        <x:f>IF(Y98="","",IFERROR(VLOOKUP(Y98,'04 Assessment Log'!$A$6:$AE$155,15,FALSE),"Assessment not found"))</x:f>
      </x:c>
      <x:c r="AA98" s="25" t="str">
        <x:f>IF(OR(J98="",Z98=""),"",Z98-J98)</x:f>
      </x:c>
      <x:c r="AB98" s="25" t="str">
        <x:f>IF(A98="","",IF(U98="Cancelled","Cancelled",IF(U98&lt;&gt;"Completed","Open",IF(Y98="","Pending Reassessment",IF(Z98&gt;=I98,"Closed — Competent","Further Action Required")))))</x:f>
      </x:c>
      <x:c r="AC98" s="25" t="str">
        <x:f>IF(OR(A98="",T98=""),"",IF(OR(U98="Completed",U98="Cancelled"),0,MAX(TODAY()-T98,0)))</x:f>
      </x:c>
      <x:c r="AD98" s="24"/>
    </x:row>
    <x:row r="99">
      <x:c r="A99" s="24"/>
      <x:c r="B99" s="24"/>
      <x:c r="C99" s="25" t="str">
        <x:f>IF(B99="","",IFERROR(VLOOKUP(B99,'04 Assessment Log'!$A$6:$AE$155,4,FALSE),"Assessment not found"))</x:f>
      </x:c>
      <x:c r="D99" s="25" t="str">
        <x:f>IF(C99="","",IFERROR(VLOOKUP(C99,'01 Staff Master'!$A$6:$M$105,2,FALSE),""))</x:f>
      </x:c>
      <x:c r="E99" s="25" t="str">
        <x:f>IF(B99="","",IFERROR(VLOOKUP(B99,'04 Assessment Log'!$A$6:$AE$155,6,FALSE),""))</x:f>
      </x:c>
      <x:c r="F99" s="25" t="str">
        <x:f>IF(B99="","",IFERROR(VLOOKUP(B99,'04 Assessment Log'!$A$6:$AE$155,7,FALSE),""))</x:f>
      </x:c>
      <x:c r="G99" s="25" t="str">
        <x:f>IF(B99="","",IFERROR(VLOOKUP(B99,'04 Assessment Log'!$A$6:$AE$155,10,FALSE),""))</x:f>
      </x:c>
      <x:c r="H99" s="25" t="str">
        <x:f>IF(G99="","",IFERROR(VLOOKUP(G99,'02 Skill Catalogue'!$A$6:$K$95,4,FALSE),""))</x:f>
      </x:c>
      <x:c r="I99" s="25" t="str">
        <x:f>IF(B99="","",IFERROR(VLOOKUP(B99,'04 Assessment Log'!$A$6:$AE$155,14,FALSE),""))</x:f>
      </x:c>
      <x:c r="J99" s="25" t="str">
        <x:f>IF(B99="","",IFERROR(VLOOKUP(B99,'04 Assessment Log'!$A$6:$AE$155,15,FALSE),""))</x:f>
      </x:c>
      <x:c r="K99" s="25" t="str">
        <x:f>IF(B99="","",IFERROR(VLOOKUP(B99,'04 Assessment Log'!$A$6:$AE$155,16,FALSE),""))</x:f>
      </x:c>
      <x:c r="L99" s="25" t="str">
        <x:f>IF(B99="","",IFERROR(VLOOKUP(B99,'04 Assessment Log'!$A$6:$AE$155,18,FALSE),""))</x:f>
      </x:c>
      <x:c r="M99" s="24"/>
      <x:c r="N99" s="27"/>
      <x:c r="O99" s="27"/>
      <x:c r="P99" s="24"/>
      <x:c r="Q99" s="24"/>
      <x:c r="R99" s="24"/>
      <x:c r="S99" s="26"/>
      <x:c r="T99" s="26"/>
      <x:c r="U99" s="24"/>
      <x:c r="V99" s="26"/>
      <x:c r="W99" s="27"/>
      <x:c r="X99" s="26"/>
      <x:c r="Y99" s="24"/>
      <x:c r="Z99" s="25" t="str">
        <x:f>IF(Y99="","",IFERROR(VLOOKUP(Y99,'04 Assessment Log'!$A$6:$AE$155,15,FALSE),"Assessment not found"))</x:f>
      </x:c>
      <x:c r="AA99" s="25" t="str">
        <x:f>IF(OR(J99="",Z99=""),"",Z99-J99)</x:f>
      </x:c>
      <x:c r="AB99" s="25" t="str">
        <x:f>IF(A99="","",IF(U99="Cancelled","Cancelled",IF(U99&lt;&gt;"Completed","Open",IF(Y99="","Pending Reassessment",IF(Z99&gt;=I99,"Closed — Competent","Further Action Required")))))</x:f>
      </x:c>
      <x:c r="AC99" s="25" t="str">
        <x:f>IF(OR(A99="",T99=""),"",IF(OR(U99="Completed",U99="Cancelled"),0,MAX(TODAY()-T99,0)))</x:f>
      </x:c>
      <x:c r="AD99" s="24"/>
    </x:row>
    <x:row r="100">
      <x:c r="A100" s="24"/>
      <x:c r="B100" s="24"/>
      <x:c r="C100" s="25" t="str">
        <x:f>IF(B100="","",IFERROR(VLOOKUP(B100,'04 Assessment Log'!$A$6:$AE$155,4,FALSE),"Assessment not found"))</x:f>
      </x:c>
      <x:c r="D100" s="25" t="str">
        <x:f>IF(C100="","",IFERROR(VLOOKUP(C100,'01 Staff Master'!$A$6:$M$105,2,FALSE),""))</x:f>
      </x:c>
      <x:c r="E100" s="25" t="str">
        <x:f>IF(B100="","",IFERROR(VLOOKUP(B100,'04 Assessment Log'!$A$6:$AE$155,6,FALSE),""))</x:f>
      </x:c>
      <x:c r="F100" s="25" t="str">
        <x:f>IF(B100="","",IFERROR(VLOOKUP(B100,'04 Assessment Log'!$A$6:$AE$155,7,FALSE),""))</x:f>
      </x:c>
      <x:c r="G100" s="25" t="str">
        <x:f>IF(B100="","",IFERROR(VLOOKUP(B100,'04 Assessment Log'!$A$6:$AE$155,10,FALSE),""))</x:f>
      </x:c>
      <x:c r="H100" s="25" t="str">
        <x:f>IF(G100="","",IFERROR(VLOOKUP(G100,'02 Skill Catalogue'!$A$6:$K$95,4,FALSE),""))</x:f>
      </x:c>
      <x:c r="I100" s="25" t="str">
        <x:f>IF(B100="","",IFERROR(VLOOKUP(B100,'04 Assessment Log'!$A$6:$AE$155,14,FALSE),""))</x:f>
      </x:c>
      <x:c r="J100" s="25" t="str">
        <x:f>IF(B100="","",IFERROR(VLOOKUP(B100,'04 Assessment Log'!$A$6:$AE$155,15,FALSE),""))</x:f>
      </x:c>
      <x:c r="K100" s="25" t="str">
        <x:f>IF(B100="","",IFERROR(VLOOKUP(B100,'04 Assessment Log'!$A$6:$AE$155,16,FALSE),""))</x:f>
      </x:c>
      <x:c r="L100" s="25" t="str">
        <x:f>IF(B100="","",IFERROR(VLOOKUP(B100,'04 Assessment Log'!$A$6:$AE$155,18,FALSE),""))</x:f>
      </x:c>
      <x:c r="M100" s="24"/>
      <x:c r="N100" s="27"/>
      <x:c r="O100" s="27"/>
      <x:c r="P100" s="24"/>
      <x:c r="Q100" s="24"/>
      <x:c r="R100" s="24"/>
      <x:c r="S100" s="26"/>
      <x:c r="T100" s="26"/>
      <x:c r="U100" s="24"/>
      <x:c r="V100" s="26"/>
      <x:c r="W100" s="27"/>
      <x:c r="X100" s="26"/>
      <x:c r="Y100" s="24"/>
      <x:c r="Z100" s="25" t="str">
        <x:f>IF(Y100="","",IFERROR(VLOOKUP(Y100,'04 Assessment Log'!$A$6:$AE$155,15,FALSE),"Assessment not found"))</x:f>
      </x:c>
      <x:c r="AA100" s="25" t="str">
        <x:f>IF(OR(J100="",Z100=""),"",Z100-J100)</x:f>
      </x:c>
      <x:c r="AB100" s="25" t="str">
        <x:f>IF(A100="","",IF(U100="Cancelled","Cancelled",IF(U100&lt;&gt;"Completed","Open",IF(Y100="","Pending Reassessment",IF(Z100&gt;=I100,"Closed — Competent","Further Action Required")))))</x:f>
      </x:c>
      <x:c r="AC100" s="25" t="str">
        <x:f>IF(OR(A100="",T100=""),"",IF(OR(U100="Completed",U100="Cancelled"),0,MAX(TODAY()-T100,0)))</x:f>
      </x:c>
      <x:c r="AD100" s="24"/>
    </x:row>
    <x:row r="101">
      <x:c r="A101" s="24"/>
      <x:c r="B101" s="24"/>
      <x:c r="C101" s="25" t="str">
        <x:f>IF(B101="","",IFERROR(VLOOKUP(B101,'04 Assessment Log'!$A$6:$AE$155,4,FALSE),"Assessment not found"))</x:f>
      </x:c>
      <x:c r="D101" s="25" t="str">
        <x:f>IF(C101="","",IFERROR(VLOOKUP(C101,'01 Staff Master'!$A$6:$M$105,2,FALSE),""))</x:f>
      </x:c>
      <x:c r="E101" s="25" t="str">
        <x:f>IF(B101="","",IFERROR(VLOOKUP(B101,'04 Assessment Log'!$A$6:$AE$155,6,FALSE),""))</x:f>
      </x:c>
      <x:c r="F101" s="25" t="str">
        <x:f>IF(B101="","",IFERROR(VLOOKUP(B101,'04 Assessment Log'!$A$6:$AE$155,7,FALSE),""))</x:f>
      </x:c>
      <x:c r="G101" s="25" t="str">
        <x:f>IF(B101="","",IFERROR(VLOOKUP(B101,'04 Assessment Log'!$A$6:$AE$155,10,FALSE),""))</x:f>
      </x:c>
      <x:c r="H101" s="25" t="str">
        <x:f>IF(G101="","",IFERROR(VLOOKUP(G101,'02 Skill Catalogue'!$A$6:$K$95,4,FALSE),""))</x:f>
      </x:c>
      <x:c r="I101" s="25" t="str">
        <x:f>IF(B101="","",IFERROR(VLOOKUP(B101,'04 Assessment Log'!$A$6:$AE$155,14,FALSE),""))</x:f>
      </x:c>
      <x:c r="J101" s="25" t="str">
        <x:f>IF(B101="","",IFERROR(VLOOKUP(B101,'04 Assessment Log'!$A$6:$AE$155,15,FALSE),""))</x:f>
      </x:c>
      <x:c r="K101" s="25" t="str">
        <x:f>IF(B101="","",IFERROR(VLOOKUP(B101,'04 Assessment Log'!$A$6:$AE$155,16,FALSE),""))</x:f>
      </x:c>
      <x:c r="L101" s="25" t="str">
        <x:f>IF(B101="","",IFERROR(VLOOKUP(B101,'04 Assessment Log'!$A$6:$AE$155,18,FALSE),""))</x:f>
      </x:c>
      <x:c r="M101" s="24"/>
      <x:c r="N101" s="27"/>
      <x:c r="O101" s="27"/>
      <x:c r="P101" s="24"/>
      <x:c r="Q101" s="24"/>
      <x:c r="R101" s="24"/>
      <x:c r="S101" s="26"/>
      <x:c r="T101" s="26"/>
      <x:c r="U101" s="24"/>
      <x:c r="V101" s="26"/>
      <x:c r="W101" s="27"/>
      <x:c r="X101" s="26"/>
      <x:c r="Y101" s="24"/>
      <x:c r="Z101" s="25" t="str">
        <x:f>IF(Y101="","",IFERROR(VLOOKUP(Y101,'04 Assessment Log'!$A$6:$AE$155,15,FALSE),"Assessment not found"))</x:f>
      </x:c>
      <x:c r="AA101" s="25" t="str">
        <x:f>IF(OR(J101="",Z101=""),"",Z101-J101)</x:f>
      </x:c>
      <x:c r="AB101" s="25" t="str">
        <x:f>IF(A101="","",IF(U101="Cancelled","Cancelled",IF(U101&lt;&gt;"Completed","Open",IF(Y101="","Pending Reassessment",IF(Z101&gt;=I101,"Closed — Competent","Further Action Required")))))</x:f>
      </x:c>
      <x:c r="AC101" s="25" t="str">
        <x:f>IF(OR(A101="",T101=""),"",IF(OR(U101="Completed",U101="Cancelled"),0,MAX(TODAY()-T101,0)))</x:f>
      </x:c>
      <x:c r="AD101" s="24"/>
    </x:row>
    <x:row r="102">
      <x:c r="A102" s="24"/>
      <x:c r="B102" s="24"/>
      <x:c r="C102" s="25" t="str">
        <x:f>IF(B102="","",IFERROR(VLOOKUP(B102,'04 Assessment Log'!$A$6:$AE$155,4,FALSE),"Assessment not found"))</x:f>
      </x:c>
      <x:c r="D102" s="25" t="str">
        <x:f>IF(C102="","",IFERROR(VLOOKUP(C102,'01 Staff Master'!$A$6:$M$105,2,FALSE),""))</x:f>
      </x:c>
      <x:c r="E102" s="25" t="str">
        <x:f>IF(B102="","",IFERROR(VLOOKUP(B102,'04 Assessment Log'!$A$6:$AE$155,6,FALSE),""))</x:f>
      </x:c>
      <x:c r="F102" s="25" t="str">
        <x:f>IF(B102="","",IFERROR(VLOOKUP(B102,'04 Assessment Log'!$A$6:$AE$155,7,FALSE),""))</x:f>
      </x:c>
      <x:c r="G102" s="25" t="str">
        <x:f>IF(B102="","",IFERROR(VLOOKUP(B102,'04 Assessment Log'!$A$6:$AE$155,10,FALSE),""))</x:f>
      </x:c>
      <x:c r="H102" s="25" t="str">
        <x:f>IF(G102="","",IFERROR(VLOOKUP(G102,'02 Skill Catalogue'!$A$6:$K$95,4,FALSE),""))</x:f>
      </x:c>
      <x:c r="I102" s="25" t="str">
        <x:f>IF(B102="","",IFERROR(VLOOKUP(B102,'04 Assessment Log'!$A$6:$AE$155,14,FALSE),""))</x:f>
      </x:c>
      <x:c r="J102" s="25" t="str">
        <x:f>IF(B102="","",IFERROR(VLOOKUP(B102,'04 Assessment Log'!$A$6:$AE$155,15,FALSE),""))</x:f>
      </x:c>
      <x:c r="K102" s="25" t="str">
        <x:f>IF(B102="","",IFERROR(VLOOKUP(B102,'04 Assessment Log'!$A$6:$AE$155,16,FALSE),""))</x:f>
      </x:c>
      <x:c r="L102" s="25" t="str">
        <x:f>IF(B102="","",IFERROR(VLOOKUP(B102,'04 Assessment Log'!$A$6:$AE$155,18,FALSE),""))</x:f>
      </x:c>
      <x:c r="M102" s="24"/>
      <x:c r="N102" s="27"/>
      <x:c r="O102" s="27"/>
      <x:c r="P102" s="24"/>
      <x:c r="Q102" s="24"/>
      <x:c r="R102" s="24"/>
      <x:c r="S102" s="26"/>
      <x:c r="T102" s="26"/>
      <x:c r="U102" s="24"/>
      <x:c r="V102" s="26"/>
      <x:c r="W102" s="27"/>
      <x:c r="X102" s="26"/>
      <x:c r="Y102" s="24"/>
      <x:c r="Z102" s="25" t="str">
        <x:f>IF(Y102="","",IFERROR(VLOOKUP(Y102,'04 Assessment Log'!$A$6:$AE$155,15,FALSE),"Assessment not found"))</x:f>
      </x:c>
      <x:c r="AA102" s="25" t="str">
        <x:f>IF(OR(J102="",Z102=""),"",Z102-J102)</x:f>
      </x:c>
      <x:c r="AB102" s="25" t="str">
        <x:f>IF(A102="","",IF(U102="Cancelled","Cancelled",IF(U102&lt;&gt;"Completed","Open",IF(Y102="","Pending Reassessment",IF(Z102&gt;=I102,"Closed — Competent","Further Action Required")))))</x:f>
      </x:c>
      <x:c r="AC102" s="25" t="str">
        <x:f>IF(OR(A102="",T102=""),"",IF(OR(U102="Completed",U102="Cancelled"),0,MAX(TODAY()-T102,0)))</x:f>
      </x:c>
      <x:c r="AD102" s="24"/>
    </x:row>
    <x:row r="103">
      <x:c r="A103" s="24"/>
      <x:c r="B103" s="24"/>
      <x:c r="C103" s="25" t="str">
        <x:f>IF(B103="","",IFERROR(VLOOKUP(B103,'04 Assessment Log'!$A$6:$AE$155,4,FALSE),"Assessment not found"))</x:f>
      </x:c>
      <x:c r="D103" s="25" t="str">
        <x:f>IF(C103="","",IFERROR(VLOOKUP(C103,'01 Staff Master'!$A$6:$M$105,2,FALSE),""))</x:f>
      </x:c>
      <x:c r="E103" s="25" t="str">
        <x:f>IF(B103="","",IFERROR(VLOOKUP(B103,'04 Assessment Log'!$A$6:$AE$155,6,FALSE),""))</x:f>
      </x:c>
      <x:c r="F103" s="25" t="str">
        <x:f>IF(B103="","",IFERROR(VLOOKUP(B103,'04 Assessment Log'!$A$6:$AE$155,7,FALSE),""))</x:f>
      </x:c>
      <x:c r="G103" s="25" t="str">
        <x:f>IF(B103="","",IFERROR(VLOOKUP(B103,'04 Assessment Log'!$A$6:$AE$155,10,FALSE),""))</x:f>
      </x:c>
      <x:c r="H103" s="25" t="str">
        <x:f>IF(G103="","",IFERROR(VLOOKUP(G103,'02 Skill Catalogue'!$A$6:$K$95,4,FALSE),""))</x:f>
      </x:c>
      <x:c r="I103" s="25" t="str">
        <x:f>IF(B103="","",IFERROR(VLOOKUP(B103,'04 Assessment Log'!$A$6:$AE$155,14,FALSE),""))</x:f>
      </x:c>
      <x:c r="J103" s="25" t="str">
        <x:f>IF(B103="","",IFERROR(VLOOKUP(B103,'04 Assessment Log'!$A$6:$AE$155,15,FALSE),""))</x:f>
      </x:c>
      <x:c r="K103" s="25" t="str">
        <x:f>IF(B103="","",IFERROR(VLOOKUP(B103,'04 Assessment Log'!$A$6:$AE$155,16,FALSE),""))</x:f>
      </x:c>
      <x:c r="L103" s="25" t="str">
        <x:f>IF(B103="","",IFERROR(VLOOKUP(B103,'04 Assessment Log'!$A$6:$AE$155,18,FALSE),""))</x:f>
      </x:c>
      <x:c r="M103" s="24"/>
      <x:c r="N103" s="27"/>
      <x:c r="O103" s="27"/>
      <x:c r="P103" s="24"/>
      <x:c r="Q103" s="24"/>
      <x:c r="R103" s="24"/>
      <x:c r="S103" s="26"/>
      <x:c r="T103" s="26"/>
      <x:c r="U103" s="24"/>
      <x:c r="V103" s="26"/>
      <x:c r="W103" s="27"/>
      <x:c r="X103" s="26"/>
      <x:c r="Y103" s="24"/>
      <x:c r="Z103" s="25" t="str">
        <x:f>IF(Y103="","",IFERROR(VLOOKUP(Y103,'04 Assessment Log'!$A$6:$AE$155,15,FALSE),"Assessment not found"))</x:f>
      </x:c>
      <x:c r="AA103" s="25" t="str">
        <x:f>IF(OR(J103="",Z103=""),"",Z103-J103)</x:f>
      </x:c>
      <x:c r="AB103" s="25" t="str">
        <x:f>IF(A103="","",IF(U103="Cancelled","Cancelled",IF(U103&lt;&gt;"Completed","Open",IF(Y103="","Pending Reassessment",IF(Z103&gt;=I103,"Closed — Competent","Further Action Required")))))</x:f>
      </x:c>
      <x:c r="AC103" s="25" t="str">
        <x:f>IF(OR(A103="",T103=""),"",IF(OR(U103="Completed",U103="Cancelled"),0,MAX(TODAY()-T103,0)))</x:f>
      </x:c>
      <x:c r="AD103" s="24"/>
    </x:row>
    <x:row r="104">
      <x:c r="A104" s="24"/>
      <x:c r="B104" s="24"/>
      <x:c r="C104" s="25" t="str">
        <x:f>IF(B104="","",IFERROR(VLOOKUP(B104,'04 Assessment Log'!$A$6:$AE$155,4,FALSE),"Assessment not found"))</x:f>
      </x:c>
      <x:c r="D104" s="25" t="str">
        <x:f>IF(C104="","",IFERROR(VLOOKUP(C104,'01 Staff Master'!$A$6:$M$105,2,FALSE),""))</x:f>
      </x:c>
      <x:c r="E104" s="25" t="str">
        <x:f>IF(B104="","",IFERROR(VLOOKUP(B104,'04 Assessment Log'!$A$6:$AE$155,6,FALSE),""))</x:f>
      </x:c>
      <x:c r="F104" s="25" t="str">
        <x:f>IF(B104="","",IFERROR(VLOOKUP(B104,'04 Assessment Log'!$A$6:$AE$155,7,FALSE),""))</x:f>
      </x:c>
      <x:c r="G104" s="25" t="str">
        <x:f>IF(B104="","",IFERROR(VLOOKUP(B104,'04 Assessment Log'!$A$6:$AE$155,10,FALSE),""))</x:f>
      </x:c>
      <x:c r="H104" s="25" t="str">
        <x:f>IF(G104="","",IFERROR(VLOOKUP(G104,'02 Skill Catalogue'!$A$6:$K$95,4,FALSE),""))</x:f>
      </x:c>
      <x:c r="I104" s="25" t="str">
        <x:f>IF(B104="","",IFERROR(VLOOKUP(B104,'04 Assessment Log'!$A$6:$AE$155,14,FALSE),""))</x:f>
      </x:c>
      <x:c r="J104" s="25" t="str">
        <x:f>IF(B104="","",IFERROR(VLOOKUP(B104,'04 Assessment Log'!$A$6:$AE$155,15,FALSE),""))</x:f>
      </x:c>
      <x:c r="K104" s="25" t="str">
        <x:f>IF(B104="","",IFERROR(VLOOKUP(B104,'04 Assessment Log'!$A$6:$AE$155,16,FALSE),""))</x:f>
      </x:c>
      <x:c r="L104" s="25" t="str">
        <x:f>IF(B104="","",IFERROR(VLOOKUP(B104,'04 Assessment Log'!$A$6:$AE$155,18,FALSE),""))</x:f>
      </x:c>
      <x:c r="M104" s="24"/>
      <x:c r="N104" s="27"/>
      <x:c r="O104" s="27"/>
      <x:c r="P104" s="24"/>
      <x:c r="Q104" s="24"/>
      <x:c r="R104" s="24"/>
      <x:c r="S104" s="26"/>
      <x:c r="T104" s="26"/>
      <x:c r="U104" s="24"/>
      <x:c r="V104" s="26"/>
      <x:c r="W104" s="27"/>
      <x:c r="X104" s="26"/>
      <x:c r="Y104" s="24"/>
      <x:c r="Z104" s="25" t="str">
        <x:f>IF(Y104="","",IFERROR(VLOOKUP(Y104,'04 Assessment Log'!$A$6:$AE$155,15,FALSE),"Assessment not found"))</x:f>
      </x:c>
      <x:c r="AA104" s="25" t="str">
        <x:f>IF(OR(J104="",Z104=""),"",Z104-J104)</x:f>
      </x:c>
      <x:c r="AB104" s="25" t="str">
        <x:f>IF(A104="","",IF(U104="Cancelled","Cancelled",IF(U104&lt;&gt;"Completed","Open",IF(Y104="","Pending Reassessment",IF(Z104&gt;=I104,"Closed — Competent","Further Action Required")))))</x:f>
      </x:c>
      <x:c r="AC104" s="25" t="str">
        <x:f>IF(OR(A104="",T104=""),"",IF(OR(U104="Completed",U104="Cancelled"),0,MAX(TODAY()-T104,0)))</x:f>
      </x:c>
      <x:c r="AD104" s="24"/>
    </x:row>
    <x:row r="105">
      <x:c r="A105" s="24"/>
      <x:c r="B105" s="24"/>
      <x:c r="C105" s="25" t="str">
        <x:f>IF(B105="","",IFERROR(VLOOKUP(B105,'04 Assessment Log'!$A$6:$AE$155,4,FALSE),"Assessment not found"))</x:f>
      </x:c>
      <x:c r="D105" s="25" t="str">
        <x:f>IF(C105="","",IFERROR(VLOOKUP(C105,'01 Staff Master'!$A$6:$M$105,2,FALSE),""))</x:f>
      </x:c>
      <x:c r="E105" s="25" t="str">
        <x:f>IF(B105="","",IFERROR(VLOOKUP(B105,'04 Assessment Log'!$A$6:$AE$155,6,FALSE),""))</x:f>
      </x:c>
      <x:c r="F105" s="25" t="str">
        <x:f>IF(B105="","",IFERROR(VLOOKUP(B105,'04 Assessment Log'!$A$6:$AE$155,7,FALSE),""))</x:f>
      </x:c>
      <x:c r="G105" s="25" t="str">
        <x:f>IF(B105="","",IFERROR(VLOOKUP(B105,'04 Assessment Log'!$A$6:$AE$155,10,FALSE),""))</x:f>
      </x:c>
      <x:c r="H105" s="25" t="str">
        <x:f>IF(G105="","",IFERROR(VLOOKUP(G105,'02 Skill Catalogue'!$A$6:$K$95,4,FALSE),""))</x:f>
      </x:c>
      <x:c r="I105" s="25" t="str">
        <x:f>IF(B105="","",IFERROR(VLOOKUP(B105,'04 Assessment Log'!$A$6:$AE$155,14,FALSE),""))</x:f>
      </x:c>
      <x:c r="J105" s="25" t="str">
        <x:f>IF(B105="","",IFERROR(VLOOKUP(B105,'04 Assessment Log'!$A$6:$AE$155,15,FALSE),""))</x:f>
      </x:c>
      <x:c r="K105" s="25" t="str">
        <x:f>IF(B105="","",IFERROR(VLOOKUP(B105,'04 Assessment Log'!$A$6:$AE$155,16,FALSE),""))</x:f>
      </x:c>
      <x:c r="L105" s="25" t="str">
        <x:f>IF(B105="","",IFERROR(VLOOKUP(B105,'04 Assessment Log'!$A$6:$AE$155,18,FALSE),""))</x:f>
      </x:c>
      <x:c r="M105" s="24"/>
      <x:c r="N105" s="27"/>
      <x:c r="O105" s="27"/>
      <x:c r="P105" s="24"/>
      <x:c r="Q105" s="24"/>
      <x:c r="R105" s="24"/>
      <x:c r="S105" s="26"/>
      <x:c r="T105" s="26"/>
      <x:c r="U105" s="24"/>
      <x:c r="V105" s="26"/>
      <x:c r="W105" s="27"/>
      <x:c r="X105" s="26"/>
      <x:c r="Y105" s="24"/>
      <x:c r="Z105" s="25" t="str">
        <x:f>IF(Y105="","",IFERROR(VLOOKUP(Y105,'04 Assessment Log'!$A$6:$AE$155,15,FALSE),"Assessment not found"))</x:f>
      </x:c>
      <x:c r="AA105" s="25" t="str">
        <x:f>IF(OR(J105="",Z105=""),"",Z105-J105)</x:f>
      </x:c>
      <x:c r="AB105" s="25" t="str">
        <x:f>IF(A105="","",IF(U105="Cancelled","Cancelled",IF(U105&lt;&gt;"Completed","Open",IF(Y105="","Pending Reassessment",IF(Z105&gt;=I105,"Closed — Competent","Further Action Required")))))</x:f>
      </x:c>
      <x:c r="AC105" s="25" t="str">
        <x:f>IF(OR(A105="",T105=""),"",IF(OR(U105="Completed",U105="Cancelled"),0,MAX(TODAY()-T105,0)))</x:f>
      </x:c>
      <x:c r="AD105" s="24"/>
    </x:row>
  </x:sheetData>
  <x:mergeCells>
    <x:mergeCell ref="A1:AD1"/>
    <x:mergeCell ref="A2:AD2"/>
  </x:mergeCells>
  <x:conditionalFormatting sqref="AC6:AC105">
    <x:cfRule type="cellIs" dxfId="9" priority="1" operator="greaterThan">
      <x:formula>0</x:formula>
    </x:cfRule>
  </x:conditionalFormatting>
  <x:conditionalFormatting sqref="AB6:AB105">
    <x:cfRule type="containsText" dxfId="10" priority="2" operator="containsText" text="Closed"/>
    <x:cfRule type="containsText" dxfId="11" priority="3" operator="containsText" text="Required"/>
  </x:conditionalFormatting>
  <x:dataValidations count="2">
    <x:dataValidation type="list" sqref="M6:M105">
      <x:formula1>"On-the-Job Training,Coaching,Classroom Training,External Course,Job Rotation,Supervised Practice,SOP/Checklist,Certification,Improvement Project,Recruit/Backfill"</x:formula1>
    </x:dataValidation>
    <x:dataValidation type="list" sqref="U6:U105">
      <x:formula1>"Not Started,Scheduled,In Progress,Pending Reassessment,Completed,On Hold,Cancelled"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9143f9928fe488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38" hidden="0" customWidth="1"/>
    <x:col min="4" max="4" width="34" hidden="0" customWidth="1"/>
    <x:col min="5" max="5" width="18" hidden="0" customWidth="1"/>
    <x:col min="6" max="6" width="28" hidden="0" customWidth="1"/>
    <x:col min="7" max="7" width="35" hidden="0" customWidth="1"/>
    <x:col min="8" max="8" width="21" hidden="0" customWidth="1"/>
    <x:col min="9" max="9" width="30" hidden="0" customWidth="1"/>
    <x:col min="10" max="10" width="22" hidden="0" customWidth="1"/>
    <x:col min="11" max="11" width="21" hidden="0" customWidth="1"/>
    <x:col min="12" max="12" width="14" hidden="0" customWidth="1"/>
    <x:col min="13" max="13" width="14" hidden="0" customWidth="1"/>
    <x:col min="14" max="14" width="18" hidden="0" customWidth="1"/>
    <x:col min="15" max="15" width="16" hidden="0" customWidth="1"/>
    <x:col min="16" max="16" width="17" hidden="0" customWidth="1"/>
    <x:col min="17" max="17" width="16" hidden="0" customWidth="1"/>
    <x:col min="18" max="18" width="12" hidden="0" customWidth="1"/>
    <x:col min="19" max="19" width="12" hidden="0" customWidth="1"/>
    <x:col min="20" max="20" width="16" hidden="0" customWidth="1"/>
    <x:col min="21" max="21" width="16" hidden="0" customWidth="1"/>
    <x:col min="22" max="22" width="18" hidden="0" customWidth="1"/>
    <x:col min="23" max="23" width="34" hidden="0" customWidth="1"/>
    <x:col min="24" max="24" width="42" hidden="0" customWidth="1"/>
    <x:col min="25" max="25" width="38" hidden="0" customWidth="1"/>
  </x:cols>
  <x:sheetData>
    <x:row r="1" ht="30" customHeight="1">
      <x:c r="A1" s="3" t="str">
        <x:v>06 — Training Plan &amp; Register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</x:row>
    <x:row r="2" ht="36" customHeight="1">
      <x:c r="A2" s="7" t="str">
        <x:v>HR consolidates shared needs; HOD remains accountable for technical relevance, participant selection and effectiveness. Attendance is not competency—link post-training assessment in 04 Assessment Log.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</x:row>
    <x:row r="3" ht="30" customHeight="1">
      <x:c r="A3" s="127" t="str">
        <x:v>Platform control: one event here → one participant row in 11 Training Attendance → one participant evaluation in 12 → one 30/60/90-day effectiveness review and post-training reassessment in 13.</x:v>
      </x:c>
      <x:c r="B3" s="127"/>
      <x:c r="C3" s="127"/>
      <x:c r="D3" s="127"/>
      <x:c r="E3" s="127"/>
      <x:c r="F3" s="127"/>
      <x:c r="G3" s="127"/>
      <x:c r="H3" s="127"/>
      <x:c r="I3" s="127"/>
      <x:c r="J3" s="127"/>
      <x:c r="K3" s="127"/>
      <x:c r="L3" s="127"/>
      <x:c r="M3" s="127"/>
      <x:c r="N3" s="127"/>
      <x:c r="O3" s="127"/>
      <x:c r="P3" s="127"/>
      <x:c r="Q3" s="127"/>
      <x:c r="R3" s="127"/>
      <x:c r="S3" s="127"/>
      <x:c r="T3" s="127"/>
      <x:c r="U3" s="127"/>
      <x:c r="V3" s="127"/>
      <x:c r="W3" s="127"/>
      <x:c r="X3" s="127"/>
      <x:c r="Y3" s="127"/>
    </x:row>
    <x:row r="5" ht="34" customHeight="1">
      <x:c r="A5" s="13" t="str">
        <x:v>Training ID</x:v>
      </x:c>
      <x:c r="B5" s="13" t="str">
        <x:v>Module Code</x:v>
      </x:c>
      <x:c r="C5" s="13" t="str">
        <x:v>Training Title</x:v>
      </x:c>
      <x:c r="D5" s="13" t="str">
        <x:v>Skills Covered (IDs)</x:v>
      </x:c>
      <x:c r="E5" s="13" t="str">
        <x:v>Target Department</x:v>
      </x:c>
      <x:c r="F5" s="13" t="str">
        <x:v>Target Tier / Position</x:v>
      </x:c>
      <x:c r="G5" s="13" t="str">
        <x:v>Participant Staff IDs</x:v>
      </x:c>
      <x:c r="H5" s="13" t="str">
        <x:v>Delivery Method</x:v>
      </x:c>
      <x:c r="I5" s="13" t="str">
        <x:v>Trainer / Provider</x:v>
      </x:c>
      <x:c r="J5" s="13" t="str">
        <x:v>HOD Sponsor</x:v>
      </x:c>
      <x:c r="K5" s="13" t="str">
        <x:v>HR Coordinator</x:v>
      </x:c>
      <x:c r="L5" s="13" t="str">
        <x:v>Planned Start</x:v>
      </x:c>
      <x:c r="M5" s="13" t="str">
        <x:v>Planned End</x:v>
      </x:c>
      <x:c r="N5" s="13" t="str">
        <x:v>Status</x:v>
      </x:c>
      <x:c r="O5" s="13" t="str">
        <x:v>Actual Completion Date</x:v>
      </x:c>
      <x:c r="P5" s="13" t="str">
        <x:v>Planned Participants</x:v>
      </x:c>
      <x:c r="Q5" s="13" t="str">
        <x:v>Attendance Count</x:v>
      </x:c>
      <x:c r="R5" s="13" t="str">
        <x:v>Pass Count</x:v>
      </x:c>
      <x:c r="S5" s="13" t="str">
        <x:v>Pass Rate</x:v>
      </x:c>
      <x:c r="T5" s="13" t="str">
        <x:v>Budget (RM)</x:v>
      </x:c>
      <x:c r="U5" s="13" t="str">
        <x:v>Actual Cost (RM)</x:v>
      </x:c>
      <x:c r="V5" s="13" t="str">
        <x:v>Effectiveness Review Date</x:v>
      </x:c>
      <x:c r="W5" s="13" t="str">
        <x:v>Effectiveness Outcome</x:v>
      </x:c>
      <x:c r="X5" s="13" t="str">
        <x:v>Evidence / Record Location</x:v>
      </x:c>
      <x:c r="Y5" s="13" t="str">
        <x:v>Next Run / Notes</x:v>
      </x:c>
    </x:row>
    <x:row r="6">
      <x:c r="A6" s="24"/>
      <x:c r="B6" s="24"/>
      <x:c r="C6" s="27"/>
      <x:c r="D6" s="27"/>
      <x:c r="E6" s="27"/>
      <x:c r="F6" s="27"/>
      <x:c r="G6" s="27"/>
      <x:c r="H6" s="24"/>
      <x:c r="I6" s="24"/>
      <x:c r="J6" s="24"/>
      <x:c r="K6" s="24"/>
      <x:c r="L6" s="26"/>
      <x:c r="M6" s="26"/>
      <x:c r="N6" s="24"/>
      <x:c r="O6" s="26"/>
      <x:c r="P6" s="24"/>
      <x:c r="Q6" s="24"/>
      <x:c r="R6" s="24"/>
      <x:c r="S6" s="29" t="str">
        <x:f>IF(Q6="","",IFERROR(R6/Q6,0))</x:f>
      </x:c>
      <x:c r="T6" s="32"/>
      <x:c r="U6" s="32"/>
      <x:c r="V6" s="26"/>
      <x:c r="W6" s="27"/>
      <x:c r="X6" s="27"/>
      <x:c r="Y6" s="27"/>
    </x:row>
    <x:row r="7">
      <x:c r="A7" s="24"/>
      <x:c r="B7" s="24"/>
      <x:c r="C7" s="27"/>
      <x:c r="D7" s="27"/>
      <x:c r="E7" s="27"/>
      <x:c r="F7" s="27"/>
      <x:c r="G7" s="27"/>
      <x:c r="H7" s="24"/>
      <x:c r="I7" s="24"/>
      <x:c r="J7" s="24"/>
      <x:c r="K7" s="24"/>
      <x:c r="L7" s="26"/>
      <x:c r="M7" s="26"/>
      <x:c r="N7" s="24"/>
      <x:c r="O7" s="26"/>
      <x:c r="P7" s="24"/>
      <x:c r="Q7" s="24"/>
      <x:c r="R7" s="24"/>
      <x:c r="S7" s="29" t="str">
        <x:f>IF(Q7="","",IFERROR(R7/Q7,0))</x:f>
      </x:c>
      <x:c r="T7" s="32"/>
      <x:c r="U7" s="32"/>
      <x:c r="V7" s="26"/>
      <x:c r="W7" s="27"/>
      <x:c r="X7" s="27"/>
      <x:c r="Y7" s="27"/>
    </x:row>
    <x:row r="8">
      <x:c r="A8" s="24"/>
      <x:c r="B8" s="24"/>
      <x:c r="C8" s="27"/>
      <x:c r="D8" s="27"/>
      <x:c r="E8" s="27"/>
      <x:c r="F8" s="27"/>
      <x:c r="G8" s="27"/>
      <x:c r="H8" s="24"/>
      <x:c r="I8" s="24"/>
      <x:c r="J8" s="24"/>
      <x:c r="K8" s="24"/>
      <x:c r="L8" s="26"/>
      <x:c r="M8" s="26"/>
      <x:c r="N8" s="24"/>
      <x:c r="O8" s="26"/>
      <x:c r="P8" s="24"/>
      <x:c r="Q8" s="24"/>
      <x:c r="R8" s="24"/>
      <x:c r="S8" s="29" t="str">
        <x:f>IF(Q8="","",IFERROR(R8/Q8,0))</x:f>
      </x:c>
      <x:c r="T8" s="32"/>
      <x:c r="U8" s="32"/>
      <x:c r="V8" s="26"/>
      <x:c r="W8" s="27"/>
      <x:c r="X8" s="27"/>
      <x:c r="Y8" s="27"/>
    </x:row>
    <x:row r="9">
      <x:c r="A9" s="24"/>
      <x:c r="B9" s="24"/>
      <x:c r="C9" s="27"/>
      <x:c r="D9" s="27"/>
      <x:c r="E9" s="27"/>
      <x:c r="F9" s="27"/>
      <x:c r="G9" s="27"/>
      <x:c r="H9" s="24"/>
      <x:c r="I9" s="24"/>
      <x:c r="J9" s="24"/>
      <x:c r="K9" s="24"/>
      <x:c r="L9" s="26"/>
      <x:c r="M9" s="26"/>
      <x:c r="N9" s="24"/>
      <x:c r="O9" s="26"/>
      <x:c r="P9" s="24"/>
      <x:c r="Q9" s="24"/>
      <x:c r="R9" s="24"/>
      <x:c r="S9" s="29" t="str">
        <x:f>IF(Q9="","",IFERROR(R9/Q9,0))</x:f>
      </x:c>
      <x:c r="T9" s="32"/>
      <x:c r="U9" s="32"/>
      <x:c r="V9" s="26"/>
      <x:c r="W9" s="27"/>
      <x:c r="X9" s="27"/>
      <x:c r="Y9" s="27"/>
    </x:row>
    <x:row r="10">
      <x:c r="A10" s="24"/>
      <x:c r="B10" s="24"/>
      <x:c r="C10" s="27"/>
      <x:c r="D10" s="27"/>
      <x:c r="E10" s="27"/>
      <x:c r="F10" s="27"/>
      <x:c r="G10" s="27"/>
      <x:c r="H10" s="24"/>
      <x:c r="I10" s="24"/>
      <x:c r="J10" s="24"/>
      <x:c r="K10" s="24"/>
      <x:c r="L10" s="26"/>
      <x:c r="M10" s="26"/>
      <x:c r="N10" s="24"/>
      <x:c r="O10" s="26"/>
      <x:c r="P10" s="24"/>
      <x:c r="Q10" s="24"/>
      <x:c r="R10" s="24"/>
      <x:c r="S10" s="29" t="str">
        <x:f>IF(Q10="","",IFERROR(R10/Q10,0))</x:f>
      </x:c>
      <x:c r="T10" s="32"/>
      <x:c r="U10" s="32"/>
      <x:c r="V10" s="26"/>
      <x:c r="W10" s="27"/>
      <x:c r="X10" s="27"/>
      <x:c r="Y10" s="27"/>
    </x:row>
    <x:row r="11">
      <x:c r="A11" s="24"/>
      <x:c r="B11" s="24"/>
      <x:c r="C11" s="27"/>
      <x:c r="D11" s="27"/>
      <x:c r="E11" s="27"/>
      <x:c r="F11" s="27"/>
      <x:c r="G11" s="27"/>
      <x:c r="H11" s="24"/>
      <x:c r="I11" s="24"/>
      <x:c r="J11" s="24"/>
      <x:c r="K11" s="24"/>
      <x:c r="L11" s="26"/>
      <x:c r="M11" s="26"/>
      <x:c r="N11" s="24"/>
      <x:c r="O11" s="26"/>
      <x:c r="P11" s="24"/>
      <x:c r="Q11" s="24"/>
      <x:c r="R11" s="24"/>
      <x:c r="S11" s="29" t="str">
        <x:f>IF(Q11="","",IFERROR(R11/Q11,0))</x:f>
      </x:c>
      <x:c r="T11" s="32"/>
      <x:c r="U11" s="32"/>
      <x:c r="V11" s="26"/>
      <x:c r="W11" s="27"/>
      <x:c r="X11" s="27"/>
      <x:c r="Y11" s="27"/>
    </x:row>
    <x:row r="12">
      <x:c r="A12" s="24"/>
      <x:c r="B12" s="24"/>
      <x:c r="C12" s="27"/>
      <x:c r="D12" s="27"/>
      <x:c r="E12" s="27"/>
      <x:c r="F12" s="27"/>
      <x:c r="G12" s="27"/>
      <x:c r="H12" s="24"/>
      <x:c r="I12" s="24"/>
      <x:c r="J12" s="24"/>
      <x:c r="K12" s="24"/>
      <x:c r="L12" s="26"/>
      <x:c r="M12" s="26"/>
      <x:c r="N12" s="24"/>
      <x:c r="O12" s="26"/>
      <x:c r="P12" s="24"/>
      <x:c r="Q12" s="24"/>
      <x:c r="R12" s="24"/>
      <x:c r="S12" s="29" t="str">
        <x:f>IF(Q12="","",IFERROR(R12/Q12,0))</x:f>
      </x:c>
      <x:c r="T12" s="32"/>
      <x:c r="U12" s="32"/>
      <x:c r="V12" s="26"/>
      <x:c r="W12" s="27"/>
      <x:c r="X12" s="27"/>
      <x:c r="Y12" s="27"/>
    </x:row>
    <x:row r="13">
      <x:c r="A13" s="24"/>
      <x:c r="B13" s="24"/>
      <x:c r="C13" s="27"/>
      <x:c r="D13" s="27"/>
      <x:c r="E13" s="27"/>
      <x:c r="F13" s="27"/>
      <x:c r="G13" s="27"/>
      <x:c r="H13" s="24"/>
      <x:c r="I13" s="24"/>
      <x:c r="J13" s="24"/>
      <x:c r="K13" s="24"/>
      <x:c r="L13" s="26"/>
      <x:c r="M13" s="26"/>
      <x:c r="N13" s="24"/>
      <x:c r="O13" s="26"/>
      <x:c r="P13" s="24"/>
      <x:c r="Q13" s="24"/>
      <x:c r="R13" s="24"/>
      <x:c r="S13" s="29" t="str">
        <x:f>IF(Q13="","",IFERROR(R13/Q13,0))</x:f>
      </x:c>
      <x:c r="T13" s="32"/>
      <x:c r="U13" s="32"/>
      <x:c r="V13" s="26"/>
      <x:c r="W13" s="27"/>
      <x:c r="X13" s="27"/>
      <x:c r="Y13" s="27"/>
    </x:row>
    <x:row r="14">
      <x:c r="A14" s="24"/>
      <x:c r="B14" s="24"/>
      <x:c r="C14" s="27"/>
      <x:c r="D14" s="27"/>
      <x:c r="E14" s="27"/>
      <x:c r="F14" s="27"/>
      <x:c r="G14" s="27"/>
      <x:c r="H14" s="24"/>
      <x:c r="I14" s="24"/>
      <x:c r="J14" s="24"/>
      <x:c r="K14" s="24"/>
      <x:c r="L14" s="26"/>
      <x:c r="M14" s="26"/>
      <x:c r="N14" s="24"/>
      <x:c r="O14" s="26"/>
      <x:c r="P14" s="24"/>
      <x:c r="Q14" s="24"/>
      <x:c r="R14" s="24"/>
      <x:c r="S14" s="29" t="str">
        <x:f>IF(Q14="","",IFERROR(R14/Q14,0))</x:f>
      </x:c>
      <x:c r="T14" s="32"/>
      <x:c r="U14" s="32"/>
      <x:c r="V14" s="26"/>
      <x:c r="W14" s="27"/>
      <x:c r="X14" s="27"/>
      <x:c r="Y14" s="27"/>
    </x:row>
    <x:row r="15">
      <x:c r="A15" s="24"/>
      <x:c r="B15" s="24"/>
      <x:c r="C15" s="27"/>
      <x:c r="D15" s="27"/>
      <x:c r="E15" s="27"/>
      <x:c r="F15" s="27"/>
      <x:c r="G15" s="27"/>
      <x:c r="H15" s="24"/>
      <x:c r="I15" s="24"/>
      <x:c r="J15" s="24"/>
      <x:c r="K15" s="24"/>
      <x:c r="L15" s="26"/>
      <x:c r="M15" s="26"/>
      <x:c r="N15" s="24"/>
      <x:c r="O15" s="26"/>
      <x:c r="P15" s="24"/>
      <x:c r="Q15" s="24"/>
      <x:c r="R15" s="24"/>
      <x:c r="S15" s="29" t="str">
        <x:f>IF(Q15="","",IFERROR(R15/Q15,0))</x:f>
      </x:c>
      <x:c r="T15" s="32"/>
      <x:c r="U15" s="32"/>
      <x:c r="V15" s="26"/>
      <x:c r="W15" s="27"/>
      <x:c r="X15" s="27"/>
      <x:c r="Y15" s="27"/>
    </x:row>
    <x:row r="16">
      <x:c r="A16" s="24"/>
      <x:c r="B16" s="24"/>
      <x:c r="C16" s="27"/>
      <x:c r="D16" s="27"/>
      <x:c r="E16" s="27"/>
      <x:c r="F16" s="27"/>
      <x:c r="G16" s="27"/>
      <x:c r="H16" s="24"/>
      <x:c r="I16" s="24"/>
      <x:c r="J16" s="24"/>
      <x:c r="K16" s="24"/>
      <x:c r="L16" s="26"/>
      <x:c r="M16" s="26"/>
      <x:c r="N16" s="24"/>
      <x:c r="O16" s="26"/>
      <x:c r="P16" s="24"/>
      <x:c r="Q16" s="24"/>
      <x:c r="R16" s="24"/>
      <x:c r="S16" s="29" t="str">
        <x:f>IF(Q16="","",IFERROR(R16/Q16,0))</x:f>
      </x:c>
      <x:c r="T16" s="32"/>
      <x:c r="U16" s="32"/>
      <x:c r="V16" s="26"/>
      <x:c r="W16" s="27"/>
      <x:c r="X16" s="27"/>
      <x:c r="Y16" s="27"/>
    </x:row>
    <x:row r="17">
      <x:c r="A17" s="24"/>
      <x:c r="B17" s="24"/>
      <x:c r="C17" s="27"/>
      <x:c r="D17" s="27"/>
      <x:c r="E17" s="27"/>
      <x:c r="F17" s="27"/>
      <x:c r="G17" s="27"/>
      <x:c r="H17" s="24"/>
      <x:c r="I17" s="24"/>
      <x:c r="J17" s="24"/>
      <x:c r="K17" s="24"/>
      <x:c r="L17" s="26"/>
      <x:c r="M17" s="26"/>
      <x:c r="N17" s="24"/>
      <x:c r="O17" s="26"/>
      <x:c r="P17" s="24"/>
      <x:c r="Q17" s="24"/>
      <x:c r="R17" s="24"/>
      <x:c r="S17" s="29" t="str">
        <x:f>IF(Q17="","",IFERROR(R17/Q17,0))</x:f>
      </x:c>
      <x:c r="T17" s="32"/>
      <x:c r="U17" s="32"/>
      <x:c r="V17" s="26"/>
      <x:c r="W17" s="27"/>
      <x:c r="X17" s="27"/>
      <x:c r="Y17" s="27"/>
    </x:row>
    <x:row r="18">
      <x:c r="A18" s="24"/>
      <x:c r="B18" s="24"/>
      <x:c r="C18" s="27"/>
      <x:c r="D18" s="27"/>
      <x:c r="E18" s="27"/>
      <x:c r="F18" s="27"/>
      <x:c r="G18" s="27"/>
      <x:c r="H18" s="24"/>
      <x:c r="I18" s="24"/>
      <x:c r="J18" s="24"/>
      <x:c r="K18" s="24"/>
      <x:c r="L18" s="26"/>
      <x:c r="M18" s="26"/>
      <x:c r="N18" s="24"/>
      <x:c r="O18" s="26"/>
      <x:c r="P18" s="24"/>
      <x:c r="Q18" s="24"/>
      <x:c r="R18" s="24"/>
      <x:c r="S18" s="29" t="str">
        <x:f>IF(Q18="","",IFERROR(R18/Q18,0))</x:f>
      </x:c>
      <x:c r="T18" s="32"/>
      <x:c r="U18" s="32"/>
      <x:c r="V18" s="26"/>
      <x:c r="W18" s="27"/>
      <x:c r="X18" s="27"/>
      <x:c r="Y18" s="27"/>
    </x:row>
    <x:row r="19">
      <x:c r="A19" s="24"/>
      <x:c r="B19" s="24"/>
      <x:c r="C19" s="27"/>
      <x:c r="D19" s="27"/>
      <x:c r="E19" s="27"/>
      <x:c r="F19" s="27"/>
      <x:c r="G19" s="27"/>
      <x:c r="H19" s="24"/>
      <x:c r="I19" s="24"/>
      <x:c r="J19" s="24"/>
      <x:c r="K19" s="24"/>
      <x:c r="L19" s="26"/>
      <x:c r="M19" s="26"/>
      <x:c r="N19" s="24"/>
      <x:c r="O19" s="26"/>
      <x:c r="P19" s="24"/>
      <x:c r="Q19" s="24"/>
      <x:c r="R19" s="24"/>
      <x:c r="S19" s="29" t="str">
        <x:f>IF(Q19="","",IFERROR(R19/Q19,0))</x:f>
      </x:c>
      <x:c r="T19" s="32"/>
      <x:c r="U19" s="32"/>
      <x:c r="V19" s="26"/>
      <x:c r="W19" s="27"/>
      <x:c r="X19" s="27"/>
      <x:c r="Y19" s="27"/>
    </x:row>
    <x:row r="20">
      <x:c r="A20" s="24"/>
      <x:c r="B20" s="24"/>
      <x:c r="C20" s="27"/>
      <x:c r="D20" s="27"/>
      <x:c r="E20" s="27"/>
      <x:c r="F20" s="27"/>
      <x:c r="G20" s="27"/>
      <x:c r="H20" s="24"/>
      <x:c r="I20" s="24"/>
      <x:c r="J20" s="24"/>
      <x:c r="K20" s="24"/>
      <x:c r="L20" s="26"/>
      <x:c r="M20" s="26"/>
      <x:c r="N20" s="24"/>
      <x:c r="O20" s="26"/>
      <x:c r="P20" s="24"/>
      <x:c r="Q20" s="24"/>
      <x:c r="R20" s="24"/>
      <x:c r="S20" s="29" t="str">
        <x:f>IF(Q20="","",IFERROR(R20/Q20,0))</x:f>
      </x:c>
      <x:c r="T20" s="32"/>
      <x:c r="U20" s="32"/>
      <x:c r="V20" s="26"/>
      <x:c r="W20" s="27"/>
      <x:c r="X20" s="27"/>
      <x:c r="Y20" s="27"/>
    </x:row>
    <x:row r="21">
      <x:c r="A21" s="24"/>
      <x:c r="B21" s="24"/>
      <x:c r="C21" s="27"/>
      <x:c r="D21" s="27"/>
      <x:c r="E21" s="27"/>
      <x:c r="F21" s="27"/>
      <x:c r="G21" s="27"/>
      <x:c r="H21" s="24"/>
      <x:c r="I21" s="24"/>
      <x:c r="J21" s="24"/>
      <x:c r="K21" s="24"/>
      <x:c r="L21" s="26"/>
      <x:c r="M21" s="26"/>
      <x:c r="N21" s="24"/>
      <x:c r="O21" s="26"/>
      <x:c r="P21" s="24"/>
      <x:c r="Q21" s="24"/>
      <x:c r="R21" s="24"/>
      <x:c r="S21" s="29" t="str">
        <x:f>IF(Q21="","",IFERROR(R21/Q21,0))</x:f>
      </x:c>
      <x:c r="T21" s="32"/>
      <x:c r="U21" s="32"/>
      <x:c r="V21" s="26"/>
      <x:c r="W21" s="27"/>
      <x:c r="X21" s="27"/>
      <x:c r="Y21" s="27"/>
    </x:row>
    <x:row r="22">
      <x:c r="A22" s="24"/>
      <x:c r="B22" s="24"/>
      <x:c r="C22" s="27"/>
      <x:c r="D22" s="27"/>
      <x:c r="E22" s="27"/>
      <x:c r="F22" s="27"/>
      <x:c r="G22" s="27"/>
      <x:c r="H22" s="24"/>
      <x:c r="I22" s="24"/>
      <x:c r="J22" s="24"/>
      <x:c r="K22" s="24"/>
      <x:c r="L22" s="26"/>
      <x:c r="M22" s="26"/>
      <x:c r="N22" s="24"/>
      <x:c r="O22" s="26"/>
      <x:c r="P22" s="24"/>
      <x:c r="Q22" s="24"/>
      <x:c r="R22" s="24"/>
      <x:c r="S22" s="29" t="str">
        <x:f>IF(Q22="","",IFERROR(R22/Q22,0))</x:f>
      </x:c>
      <x:c r="T22" s="32"/>
      <x:c r="U22" s="32"/>
      <x:c r="V22" s="26"/>
      <x:c r="W22" s="27"/>
      <x:c r="X22" s="27"/>
      <x:c r="Y22" s="27"/>
    </x:row>
    <x:row r="23">
      <x:c r="A23" s="24"/>
      <x:c r="B23" s="24"/>
      <x:c r="C23" s="27"/>
      <x:c r="D23" s="27"/>
      <x:c r="E23" s="27"/>
      <x:c r="F23" s="27"/>
      <x:c r="G23" s="27"/>
      <x:c r="H23" s="24"/>
      <x:c r="I23" s="24"/>
      <x:c r="J23" s="24"/>
      <x:c r="K23" s="24"/>
      <x:c r="L23" s="26"/>
      <x:c r="M23" s="26"/>
      <x:c r="N23" s="24"/>
      <x:c r="O23" s="26"/>
      <x:c r="P23" s="24"/>
      <x:c r="Q23" s="24"/>
      <x:c r="R23" s="24"/>
      <x:c r="S23" s="29" t="str">
        <x:f>IF(Q23="","",IFERROR(R23/Q23,0))</x:f>
      </x:c>
      <x:c r="T23" s="32"/>
      <x:c r="U23" s="32"/>
      <x:c r="V23" s="26"/>
      <x:c r="W23" s="27"/>
      <x:c r="X23" s="27"/>
      <x:c r="Y23" s="27"/>
    </x:row>
    <x:row r="24">
      <x:c r="A24" s="24"/>
      <x:c r="B24" s="24"/>
      <x:c r="C24" s="27"/>
      <x:c r="D24" s="27"/>
      <x:c r="E24" s="27"/>
      <x:c r="F24" s="27"/>
      <x:c r="G24" s="27"/>
      <x:c r="H24" s="24"/>
      <x:c r="I24" s="24"/>
      <x:c r="J24" s="24"/>
      <x:c r="K24" s="24"/>
      <x:c r="L24" s="26"/>
      <x:c r="M24" s="26"/>
      <x:c r="N24" s="24"/>
      <x:c r="O24" s="26"/>
      <x:c r="P24" s="24"/>
      <x:c r="Q24" s="24"/>
      <x:c r="R24" s="24"/>
      <x:c r="S24" s="29" t="str">
        <x:f>IF(Q24="","",IFERROR(R24/Q24,0))</x:f>
      </x:c>
      <x:c r="T24" s="32"/>
      <x:c r="U24" s="32"/>
      <x:c r="V24" s="26"/>
      <x:c r="W24" s="27"/>
      <x:c r="X24" s="27"/>
      <x:c r="Y24" s="27"/>
    </x:row>
    <x:row r="25">
      <x:c r="A25" s="24"/>
      <x:c r="B25" s="24"/>
      <x:c r="C25" s="27"/>
      <x:c r="D25" s="27"/>
      <x:c r="E25" s="27"/>
      <x:c r="F25" s="27"/>
      <x:c r="G25" s="27"/>
      <x:c r="H25" s="24"/>
      <x:c r="I25" s="24"/>
      <x:c r="J25" s="24"/>
      <x:c r="K25" s="24"/>
      <x:c r="L25" s="26"/>
      <x:c r="M25" s="26"/>
      <x:c r="N25" s="24"/>
      <x:c r="O25" s="26"/>
      <x:c r="P25" s="24"/>
      <x:c r="Q25" s="24"/>
      <x:c r="R25" s="24"/>
      <x:c r="S25" s="29" t="str">
        <x:f>IF(Q25="","",IFERROR(R25/Q25,0))</x:f>
      </x:c>
      <x:c r="T25" s="32"/>
      <x:c r="U25" s="32"/>
      <x:c r="V25" s="26"/>
      <x:c r="W25" s="27"/>
      <x:c r="X25" s="27"/>
      <x:c r="Y25" s="27"/>
    </x:row>
    <x:row r="26">
      <x:c r="A26" s="24"/>
      <x:c r="B26" s="24"/>
      <x:c r="C26" s="27"/>
      <x:c r="D26" s="27"/>
      <x:c r="E26" s="27"/>
      <x:c r="F26" s="27"/>
      <x:c r="G26" s="27"/>
      <x:c r="H26" s="24"/>
      <x:c r="I26" s="24"/>
      <x:c r="J26" s="24"/>
      <x:c r="K26" s="24"/>
      <x:c r="L26" s="26"/>
      <x:c r="M26" s="26"/>
      <x:c r="N26" s="24"/>
      <x:c r="O26" s="26"/>
      <x:c r="P26" s="24"/>
      <x:c r="Q26" s="24"/>
      <x:c r="R26" s="24"/>
      <x:c r="S26" s="29" t="str">
        <x:f>IF(Q26="","",IFERROR(R26/Q26,0))</x:f>
      </x:c>
      <x:c r="T26" s="32"/>
      <x:c r="U26" s="32"/>
      <x:c r="V26" s="26"/>
      <x:c r="W26" s="27"/>
      <x:c r="X26" s="27"/>
      <x:c r="Y26" s="27"/>
    </x:row>
    <x:row r="27">
      <x:c r="A27" s="24"/>
      <x:c r="B27" s="24"/>
      <x:c r="C27" s="27"/>
      <x:c r="D27" s="27"/>
      <x:c r="E27" s="27"/>
      <x:c r="F27" s="27"/>
      <x:c r="G27" s="27"/>
      <x:c r="H27" s="24"/>
      <x:c r="I27" s="24"/>
      <x:c r="J27" s="24"/>
      <x:c r="K27" s="24"/>
      <x:c r="L27" s="26"/>
      <x:c r="M27" s="26"/>
      <x:c r="N27" s="24"/>
      <x:c r="O27" s="26"/>
      <x:c r="P27" s="24"/>
      <x:c r="Q27" s="24"/>
      <x:c r="R27" s="24"/>
      <x:c r="S27" s="29" t="str">
        <x:f>IF(Q27="","",IFERROR(R27/Q27,0))</x:f>
      </x:c>
      <x:c r="T27" s="32"/>
      <x:c r="U27" s="32"/>
      <x:c r="V27" s="26"/>
      <x:c r="W27" s="27"/>
      <x:c r="X27" s="27"/>
      <x:c r="Y27" s="27"/>
    </x:row>
    <x:row r="28">
      <x:c r="A28" s="24"/>
      <x:c r="B28" s="24"/>
      <x:c r="C28" s="27"/>
      <x:c r="D28" s="27"/>
      <x:c r="E28" s="27"/>
      <x:c r="F28" s="27"/>
      <x:c r="G28" s="27"/>
      <x:c r="H28" s="24"/>
      <x:c r="I28" s="24"/>
      <x:c r="J28" s="24"/>
      <x:c r="K28" s="24"/>
      <x:c r="L28" s="26"/>
      <x:c r="M28" s="26"/>
      <x:c r="N28" s="24"/>
      <x:c r="O28" s="26"/>
      <x:c r="P28" s="24"/>
      <x:c r="Q28" s="24"/>
      <x:c r="R28" s="24"/>
      <x:c r="S28" s="29" t="str">
        <x:f>IF(Q28="","",IFERROR(R28/Q28,0))</x:f>
      </x:c>
      <x:c r="T28" s="32"/>
      <x:c r="U28" s="32"/>
      <x:c r="V28" s="26"/>
      <x:c r="W28" s="27"/>
      <x:c r="X28" s="27"/>
      <x:c r="Y28" s="27"/>
    </x:row>
    <x:row r="29">
      <x:c r="A29" s="24"/>
      <x:c r="B29" s="24"/>
      <x:c r="C29" s="27"/>
      <x:c r="D29" s="27"/>
      <x:c r="E29" s="27"/>
      <x:c r="F29" s="27"/>
      <x:c r="G29" s="27"/>
      <x:c r="H29" s="24"/>
      <x:c r="I29" s="24"/>
      <x:c r="J29" s="24"/>
      <x:c r="K29" s="24"/>
      <x:c r="L29" s="26"/>
      <x:c r="M29" s="26"/>
      <x:c r="N29" s="24"/>
      <x:c r="O29" s="26"/>
      <x:c r="P29" s="24"/>
      <x:c r="Q29" s="24"/>
      <x:c r="R29" s="24"/>
      <x:c r="S29" s="29" t="str">
        <x:f>IF(Q29="","",IFERROR(R29/Q29,0))</x:f>
      </x:c>
      <x:c r="T29" s="32"/>
      <x:c r="U29" s="32"/>
      <x:c r="V29" s="26"/>
      <x:c r="W29" s="27"/>
      <x:c r="X29" s="27"/>
      <x:c r="Y29" s="27"/>
    </x:row>
    <x:row r="30">
      <x:c r="A30" s="24"/>
      <x:c r="B30" s="24"/>
      <x:c r="C30" s="27"/>
      <x:c r="D30" s="27"/>
      <x:c r="E30" s="27"/>
      <x:c r="F30" s="27"/>
      <x:c r="G30" s="27"/>
      <x:c r="H30" s="24"/>
      <x:c r="I30" s="24"/>
      <x:c r="J30" s="24"/>
      <x:c r="K30" s="24"/>
      <x:c r="L30" s="26"/>
      <x:c r="M30" s="26"/>
      <x:c r="N30" s="24"/>
      <x:c r="O30" s="26"/>
      <x:c r="P30" s="24"/>
      <x:c r="Q30" s="24"/>
      <x:c r="R30" s="24"/>
      <x:c r="S30" s="29" t="str">
        <x:f>IF(Q30="","",IFERROR(R30/Q30,0))</x:f>
      </x:c>
      <x:c r="T30" s="32"/>
      <x:c r="U30" s="32"/>
      <x:c r="V30" s="26"/>
      <x:c r="W30" s="27"/>
      <x:c r="X30" s="27"/>
      <x:c r="Y30" s="27"/>
    </x:row>
    <x:row r="31">
      <x:c r="A31" s="24"/>
      <x:c r="B31" s="24"/>
      <x:c r="C31" s="27"/>
      <x:c r="D31" s="27"/>
      <x:c r="E31" s="27"/>
      <x:c r="F31" s="27"/>
      <x:c r="G31" s="27"/>
      <x:c r="H31" s="24"/>
      <x:c r="I31" s="24"/>
      <x:c r="J31" s="24"/>
      <x:c r="K31" s="24"/>
      <x:c r="L31" s="26"/>
      <x:c r="M31" s="26"/>
      <x:c r="N31" s="24"/>
      <x:c r="O31" s="26"/>
      <x:c r="P31" s="24"/>
      <x:c r="Q31" s="24"/>
      <x:c r="R31" s="24"/>
      <x:c r="S31" s="29" t="str">
        <x:f>IF(Q31="","",IFERROR(R31/Q31,0))</x:f>
      </x:c>
      <x:c r="T31" s="32"/>
      <x:c r="U31" s="32"/>
      <x:c r="V31" s="26"/>
      <x:c r="W31" s="27"/>
      <x:c r="X31" s="27"/>
      <x:c r="Y31" s="27"/>
    </x:row>
    <x:row r="32">
      <x:c r="A32" s="24"/>
      <x:c r="B32" s="24"/>
      <x:c r="C32" s="27"/>
      <x:c r="D32" s="27"/>
      <x:c r="E32" s="27"/>
      <x:c r="F32" s="27"/>
      <x:c r="G32" s="27"/>
      <x:c r="H32" s="24"/>
      <x:c r="I32" s="24"/>
      <x:c r="J32" s="24"/>
      <x:c r="K32" s="24"/>
      <x:c r="L32" s="26"/>
      <x:c r="M32" s="26"/>
      <x:c r="N32" s="24"/>
      <x:c r="O32" s="26"/>
      <x:c r="P32" s="24"/>
      <x:c r="Q32" s="24"/>
      <x:c r="R32" s="24"/>
      <x:c r="S32" s="29" t="str">
        <x:f>IF(Q32="","",IFERROR(R32/Q32,0))</x:f>
      </x:c>
      <x:c r="T32" s="32"/>
      <x:c r="U32" s="32"/>
      <x:c r="V32" s="26"/>
      <x:c r="W32" s="27"/>
      <x:c r="X32" s="27"/>
      <x:c r="Y32" s="27"/>
    </x:row>
    <x:row r="33">
      <x:c r="A33" s="24"/>
      <x:c r="B33" s="24"/>
      <x:c r="C33" s="27"/>
      <x:c r="D33" s="27"/>
      <x:c r="E33" s="27"/>
      <x:c r="F33" s="27"/>
      <x:c r="G33" s="27"/>
      <x:c r="H33" s="24"/>
      <x:c r="I33" s="24"/>
      <x:c r="J33" s="24"/>
      <x:c r="K33" s="24"/>
      <x:c r="L33" s="26"/>
      <x:c r="M33" s="26"/>
      <x:c r="N33" s="24"/>
      <x:c r="O33" s="26"/>
      <x:c r="P33" s="24"/>
      <x:c r="Q33" s="24"/>
      <x:c r="R33" s="24"/>
      <x:c r="S33" s="29" t="str">
        <x:f>IF(Q33="","",IFERROR(R33/Q33,0))</x:f>
      </x:c>
      <x:c r="T33" s="32"/>
      <x:c r="U33" s="32"/>
      <x:c r="V33" s="26"/>
      <x:c r="W33" s="27"/>
      <x:c r="X33" s="27"/>
      <x:c r="Y33" s="27"/>
    </x:row>
    <x:row r="34">
      <x:c r="A34" s="24"/>
      <x:c r="B34" s="24"/>
      <x:c r="C34" s="27"/>
      <x:c r="D34" s="27"/>
      <x:c r="E34" s="27"/>
      <x:c r="F34" s="27"/>
      <x:c r="G34" s="27"/>
      <x:c r="H34" s="24"/>
      <x:c r="I34" s="24"/>
      <x:c r="J34" s="24"/>
      <x:c r="K34" s="24"/>
      <x:c r="L34" s="26"/>
      <x:c r="M34" s="26"/>
      <x:c r="N34" s="24"/>
      <x:c r="O34" s="26"/>
      <x:c r="P34" s="24"/>
      <x:c r="Q34" s="24"/>
      <x:c r="R34" s="24"/>
      <x:c r="S34" s="29" t="str">
        <x:f>IF(Q34="","",IFERROR(R34/Q34,0))</x:f>
      </x:c>
      <x:c r="T34" s="32"/>
      <x:c r="U34" s="32"/>
      <x:c r="V34" s="26"/>
      <x:c r="W34" s="27"/>
      <x:c r="X34" s="27"/>
      <x:c r="Y34" s="27"/>
    </x:row>
    <x:row r="35">
      <x:c r="A35" s="24"/>
      <x:c r="B35" s="24"/>
      <x:c r="C35" s="27"/>
      <x:c r="D35" s="27"/>
      <x:c r="E35" s="27"/>
      <x:c r="F35" s="27"/>
      <x:c r="G35" s="27"/>
      <x:c r="H35" s="24"/>
      <x:c r="I35" s="24"/>
      <x:c r="J35" s="24"/>
      <x:c r="K35" s="24"/>
      <x:c r="L35" s="26"/>
      <x:c r="M35" s="26"/>
      <x:c r="N35" s="24"/>
      <x:c r="O35" s="26"/>
      <x:c r="P35" s="24"/>
      <x:c r="Q35" s="24"/>
      <x:c r="R35" s="24"/>
      <x:c r="S35" s="29" t="str">
        <x:f>IF(Q35="","",IFERROR(R35/Q35,0))</x:f>
      </x:c>
      <x:c r="T35" s="32"/>
      <x:c r="U35" s="32"/>
      <x:c r="V35" s="26"/>
      <x:c r="W35" s="27"/>
      <x:c r="X35" s="27"/>
      <x:c r="Y35" s="27"/>
    </x:row>
    <x:row r="36">
      <x:c r="A36" s="24"/>
      <x:c r="B36" s="24"/>
      <x:c r="C36" s="27"/>
      <x:c r="D36" s="27"/>
      <x:c r="E36" s="27"/>
      <x:c r="F36" s="27"/>
      <x:c r="G36" s="27"/>
      <x:c r="H36" s="24"/>
      <x:c r="I36" s="24"/>
      <x:c r="J36" s="24"/>
      <x:c r="K36" s="24"/>
      <x:c r="L36" s="26"/>
      <x:c r="M36" s="26"/>
      <x:c r="N36" s="24"/>
      <x:c r="O36" s="26"/>
      <x:c r="P36" s="24"/>
      <x:c r="Q36" s="24"/>
      <x:c r="R36" s="24"/>
      <x:c r="S36" s="29" t="str">
        <x:f>IF(Q36="","",IFERROR(R36/Q36,0))</x:f>
      </x:c>
      <x:c r="T36" s="32"/>
      <x:c r="U36" s="32"/>
      <x:c r="V36" s="26"/>
      <x:c r="W36" s="27"/>
      <x:c r="X36" s="27"/>
      <x:c r="Y36" s="27"/>
    </x:row>
    <x:row r="37">
      <x:c r="A37" s="24"/>
      <x:c r="B37" s="24"/>
      <x:c r="C37" s="27"/>
      <x:c r="D37" s="27"/>
      <x:c r="E37" s="27"/>
      <x:c r="F37" s="27"/>
      <x:c r="G37" s="27"/>
      <x:c r="H37" s="24"/>
      <x:c r="I37" s="24"/>
      <x:c r="J37" s="24"/>
      <x:c r="K37" s="24"/>
      <x:c r="L37" s="26"/>
      <x:c r="M37" s="26"/>
      <x:c r="N37" s="24"/>
      <x:c r="O37" s="26"/>
      <x:c r="P37" s="24"/>
      <x:c r="Q37" s="24"/>
      <x:c r="R37" s="24"/>
      <x:c r="S37" s="29" t="str">
        <x:f>IF(Q37="","",IFERROR(R37/Q37,0))</x:f>
      </x:c>
      <x:c r="T37" s="32"/>
      <x:c r="U37" s="32"/>
      <x:c r="V37" s="26"/>
      <x:c r="W37" s="27"/>
      <x:c r="X37" s="27"/>
      <x:c r="Y37" s="27"/>
    </x:row>
    <x:row r="38">
      <x:c r="A38" s="24"/>
      <x:c r="B38" s="24"/>
      <x:c r="C38" s="27"/>
      <x:c r="D38" s="27"/>
      <x:c r="E38" s="27"/>
      <x:c r="F38" s="27"/>
      <x:c r="G38" s="27"/>
      <x:c r="H38" s="24"/>
      <x:c r="I38" s="24"/>
      <x:c r="J38" s="24"/>
      <x:c r="K38" s="24"/>
      <x:c r="L38" s="26"/>
      <x:c r="M38" s="26"/>
      <x:c r="N38" s="24"/>
      <x:c r="O38" s="26"/>
      <x:c r="P38" s="24"/>
      <x:c r="Q38" s="24"/>
      <x:c r="R38" s="24"/>
      <x:c r="S38" s="29" t="str">
        <x:f>IF(Q38="","",IFERROR(R38/Q38,0))</x:f>
      </x:c>
      <x:c r="T38" s="32"/>
      <x:c r="U38" s="32"/>
      <x:c r="V38" s="26"/>
      <x:c r="W38" s="27"/>
      <x:c r="X38" s="27"/>
      <x:c r="Y38" s="27"/>
    </x:row>
    <x:row r="39">
      <x:c r="A39" s="24"/>
      <x:c r="B39" s="24"/>
      <x:c r="C39" s="27"/>
      <x:c r="D39" s="27"/>
      <x:c r="E39" s="27"/>
      <x:c r="F39" s="27"/>
      <x:c r="G39" s="27"/>
      <x:c r="H39" s="24"/>
      <x:c r="I39" s="24"/>
      <x:c r="J39" s="24"/>
      <x:c r="K39" s="24"/>
      <x:c r="L39" s="26"/>
      <x:c r="M39" s="26"/>
      <x:c r="N39" s="24"/>
      <x:c r="O39" s="26"/>
      <x:c r="P39" s="24"/>
      <x:c r="Q39" s="24"/>
      <x:c r="R39" s="24"/>
      <x:c r="S39" s="29" t="str">
        <x:f>IF(Q39="","",IFERROR(R39/Q39,0))</x:f>
      </x:c>
      <x:c r="T39" s="32"/>
      <x:c r="U39" s="32"/>
      <x:c r="V39" s="26"/>
      <x:c r="W39" s="27"/>
      <x:c r="X39" s="27"/>
      <x:c r="Y39" s="27"/>
    </x:row>
    <x:row r="40">
      <x:c r="A40" s="24"/>
      <x:c r="B40" s="24"/>
      <x:c r="C40" s="27"/>
      <x:c r="D40" s="27"/>
      <x:c r="E40" s="27"/>
      <x:c r="F40" s="27"/>
      <x:c r="G40" s="27"/>
      <x:c r="H40" s="24"/>
      <x:c r="I40" s="24"/>
      <x:c r="J40" s="24"/>
      <x:c r="K40" s="24"/>
      <x:c r="L40" s="26"/>
      <x:c r="M40" s="26"/>
      <x:c r="N40" s="24"/>
      <x:c r="O40" s="26"/>
      <x:c r="P40" s="24"/>
      <x:c r="Q40" s="24"/>
      <x:c r="R40" s="24"/>
      <x:c r="S40" s="29" t="str">
        <x:f>IF(Q40="","",IFERROR(R40/Q40,0))</x:f>
      </x:c>
      <x:c r="T40" s="32"/>
      <x:c r="U40" s="32"/>
      <x:c r="V40" s="26"/>
      <x:c r="W40" s="27"/>
      <x:c r="X40" s="27"/>
      <x:c r="Y40" s="27"/>
    </x:row>
    <x:row r="41">
      <x:c r="A41" s="24"/>
      <x:c r="B41" s="24"/>
      <x:c r="C41" s="27"/>
      <x:c r="D41" s="27"/>
      <x:c r="E41" s="27"/>
      <x:c r="F41" s="27"/>
      <x:c r="G41" s="27"/>
      <x:c r="H41" s="24"/>
      <x:c r="I41" s="24"/>
      <x:c r="J41" s="24"/>
      <x:c r="K41" s="24"/>
      <x:c r="L41" s="26"/>
      <x:c r="M41" s="26"/>
      <x:c r="N41" s="24"/>
      <x:c r="O41" s="26"/>
      <x:c r="P41" s="24"/>
      <x:c r="Q41" s="24"/>
      <x:c r="R41" s="24"/>
      <x:c r="S41" s="29" t="str">
        <x:f>IF(Q41="","",IFERROR(R41/Q41,0))</x:f>
      </x:c>
      <x:c r="T41" s="32"/>
      <x:c r="U41" s="32"/>
      <x:c r="V41" s="26"/>
      <x:c r="W41" s="27"/>
      <x:c r="X41" s="27"/>
      <x:c r="Y41" s="27"/>
    </x:row>
    <x:row r="42">
      <x:c r="A42" s="24"/>
      <x:c r="B42" s="24"/>
      <x:c r="C42" s="27"/>
      <x:c r="D42" s="27"/>
      <x:c r="E42" s="27"/>
      <x:c r="F42" s="27"/>
      <x:c r="G42" s="27"/>
      <x:c r="H42" s="24"/>
      <x:c r="I42" s="24"/>
      <x:c r="J42" s="24"/>
      <x:c r="K42" s="24"/>
      <x:c r="L42" s="26"/>
      <x:c r="M42" s="26"/>
      <x:c r="N42" s="24"/>
      <x:c r="O42" s="26"/>
      <x:c r="P42" s="24"/>
      <x:c r="Q42" s="24"/>
      <x:c r="R42" s="24"/>
      <x:c r="S42" s="29" t="str">
        <x:f>IF(Q42="","",IFERROR(R42/Q42,0))</x:f>
      </x:c>
      <x:c r="T42" s="32"/>
      <x:c r="U42" s="32"/>
      <x:c r="V42" s="26"/>
      <x:c r="W42" s="27"/>
      <x:c r="X42" s="27"/>
      <x:c r="Y42" s="27"/>
    </x:row>
    <x:row r="43">
      <x:c r="A43" s="24"/>
      <x:c r="B43" s="24"/>
      <x:c r="C43" s="27"/>
      <x:c r="D43" s="27"/>
      <x:c r="E43" s="27"/>
      <x:c r="F43" s="27"/>
      <x:c r="G43" s="27"/>
      <x:c r="H43" s="24"/>
      <x:c r="I43" s="24"/>
      <x:c r="J43" s="24"/>
      <x:c r="K43" s="24"/>
      <x:c r="L43" s="26"/>
      <x:c r="M43" s="26"/>
      <x:c r="N43" s="24"/>
      <x:c r="O43" s="26"/>
      <x:c r="P43" s="24"/>
      <x:c r="Q43" s="24"/>
      <x:c r="R43" s="24"/>
      <x:c r="S43" s="29" t="str">
        <x:f>IF(Q43="","",IFERROR(R43/Q43,0))</x:f>
      </x:c>
      <x:c r="T43" s="32"/>
      <x:c r="U43" s="32"/>
      <x:c r="V43" s="26"/>
      <x:c r="W43" s="27"/>
      <x:c r="X43" s="27"/>
      <x:c r="Y43" s="27"/>
    </x:row>
    <x:row r="44">
      <x:c r="A44" s="24"/>
      <x:c r="B44" s="24"/>
      <x:c r="C44" s="27"/>
      <x:c r="D44" s="27"/>
      <x:c r="E44" s="27"/>
      <x:c r="F44" s="27"/>
      <x:c r="G44" s="27"/>
      <x:c r="H44" s="24"/>
      <x:c r="I44" s="24"/>
      <x:c r="J44" s="24"/>
      <x:c r="K44" s="24"/>
      <x:c r="L44" s="26"/>
      <x:c r="M44" s="26"/>
      <x:c r="N44" s="24"/>
      <x:c r="O44" s="26"/>
      <x:c r="P44" s="24"/>
      <x:c r="Q44" s="24"/>
      <x:c r="R44" s="24"/>
      <x:c r="S44" s="29" t="str">
        <x:f>IF(Q44="","",IFERROR(R44/Q44,0))</x:f>
      </x:c>
      <x:c r="T44" s="32"/>
      <x:c r="U44" s="32"/>
      <x:c r="V44" s="26"/>
      <x:c r="W44" s="27"/>
      <x:c r="X44" s="27"/>
      <x:c r="Y44" s="27"/>
    </x:row>
    <x:row r="45">
      <x:c r="A45" s="24"/>
      <x:c r="B45" s="24"/>
      <x:c r="C45" s="27"/>
      <x:c r="D45" s="27"/>
      <x:c r="E45" s="27"/>
      <x:c r="F45" s="27"/>
      <x:c r="G45" s="27"/>
      <x:c r="H45" s="24"/>
      <x:c r="I45" s="24"/>
      <x:c r="J45" s="24"/>
      <x:c r="K45" s="24"/>
      <x:c r="L45" s="26"/>
      <x:c r="M45" s="26"/>
      <x:c r="N45" s="24"/>
      <x:c r="O45" s="26"/>
      <x:c r="P45" s="24"/>
      <x:c r="Q45" s="24"/>
      <x:c r="R45" s="24"/>
      <x:c r="S45" s="29" t="str">
        <x:f>IF(Q45="","",IFERROR(R45/Q45,0))</x:f>
      </x:c>
      <x:c r="T45" s="32"/>
      <x:c r="U45" s="32"/>
      <x:c r="V45" s="26"/>
      <x:c r="W45" s="27"/>
      <x:c r="X45" s="27"/>
      <x:c r="Y45" s="27"/>
    </x:row>
    <x:row r="46">
      <x:c r="A46" s="24"/>
      <x:c r="B46" s="24"/>
      <x:c r="C46" s="27"/>
      <x:c r="D46" s="27"/>
      <x:c r="E46" s="27"/>
      <x:c r="F46" s="27"/>
      <x:c r="G46" s="27"/>
      <x:c r="H46" s="24"/>
      <x:c r="I46" s="24"/>
      <x:c r="J46" s="24"/>
      <x:c r="K46" s="24"/>
      <x:c r="L46" s="26"/>
      <x:c r="M46" s="26"/>
      <x:c r="N46" s="24"/>
      <x:c r="O46" s="26"/>
      <x:c r="P46" s="24"/>
      <x:c r="Q46" s="24"/>
      <x:c r="R46" s="24"/>
      <x:c r="S46" s="29" t="str">
        <x:f>IF(Q46="","",IFERROR(R46/Q46,0))</x:f>
      </x:c>
      <x:c r="T46" s="32"/>
      <x:c r="U46" s="32"/>
      <x:c r="V46" s="26"/>
      <x:c r="W46" s="27"/>
      <x:c r="X46" s="27"/>
      <x:c r="Y46" s="27"/>
    </x:row>
    <x:row r="47">
      <x:c r="A47" s="24"/>
      <x:c r="B47" s="24"/>
      <x:c r="C47" s="27"/>
      <x:c r="D47" s="27"/>
      <x:c r="E47" s="27"/>
      <x:c r="F47" s="27"/>
      <x:c r="G47" s="27"/>
      <x:c r="H47" s="24"/>
      <x:c r="I47" s="24"/>
      <x:c r="J47" s="24"/>
      <x:c r="K47" s="24"/>
      <x:c r="L47" s="26"/>
      <x:c r="M47" s="26"/>
      <x:c r="N47" s="24"/>
      <x:c r="O47" s="26"/>
      <x:c r="P47" s="24"/>
      <x:c r="Q47" s="24"/>
      <x:c r="R47" s="24"/>
      <x:c r="S47" s="29" t="str">
        <x:f>IF(Q47="","",IFERROR(R47/Q47,0))</x:f>
      </x:c>
      <x:c r="T47" s="32"/>
      <x:c r="U47" s="32"/>
      <x:c r="V47" s="26"/>
      <x:c r="W47" s="27"/>
      <x:c r="X47" s="27"/>
      <x:c r="Y47" s="27"/>
    </x:row>
    <x:row r="48">
      <x:c r="A48" s="24"/>
      <x:c r="B48" s="24"/>
      <x:c r="C48" s="27"/>
      <x:c r="D48" s="27"/>
      <x:c r="E48" s="27"/>
      <x:c r="F48" s="27"/>
      <x:c r="G48" s="27"/>
      <x:c r="H48" s="24"/>
      <x:c r="I48" s="24"/>
      <x:c r="J48" s="24"/>
      <x:c r="K48" s="24"/>
      <x:c r="L48" s="26"/>
      <x:c r="M48" s="26"/>
      <x:c r="N48" s="24"/>
      <x:c r="O48" s="26"/>
      <x:c r="P48" s="24"/>
      <x:c r="Q48" s="24"/>
      <x:c r="R48" s="24"/>
      <x:c r="S48" s="29" t="str">
        <x:f>IF(Q48="","",IFERROR(R48/Q48,0))</x:f>
      </x:c>
      <x:c r="T48" s="32"/>
      <x:c r="U48" s="32"/>
      <x:c r="V48" s="26"/>
      <x:c r="W48" s="27"/>
      <x:c r="X48" s="27"/>
      <x:c r="Y48" s="27"/>
    </x:row>
    <x:row r="49">
      <x:c r="A49" s="24"/>
      <x:c r="B49" s="24"/>
      <x:c r="C49" s="27"/>
      <x:c r="D49" s="27"/>
      <x:c r="E49" s="27"/>
      <x:c r="F49" s="27"/>
      <x:c r="G49" s="27"/>
      <x:c r="H49" s="24"/>
      <x:c r="I49" s="24"/>
      <x:c r="J49" s="24"/>
      <x:c r="K49" s="24"/>
      <x:c r="L49" s="26"/>
      <x:c r="M49" s="26"/>
      <x:c r="N49" s="24"/>
      <x:c r="O49" s="26"/>
      <x:c r="P49" s="24"/>
      <x:c r="Q49" s="24"/>
      <x:c r="R49" s="24"/>
      <x:c r="S49" s="29" t="str">
        <x:f>IF(Q49="","",IFERROR(R49/Q49,0))</x:f>
      </x:c>
      <x:c r="T49" s="32"/>
      <x:c r="U49" s="32"/>
      <x:c r="V49" s="26"/>
      <x:c r="W49" s="27"/>
      <x:c r="X49" s="27"/>
      <x:c r="Y49" s="27"/>
    </x:row>
    <x:row r="50">
      <x:c r="A50" s="24"/>
      <x:c r="B50" s="24"/>
      <x:c r="C50" s="27"/>
      <x:c r="D50" s="27"/>
      <x:c r="E50" s="27"/>
      <x:c r="F50" s="27"/>
      <x:c r="G50" s="27"/>
      <x:c r="H50" s="24"/>
      <x:c r="I50" s="24"/>
      <x:c r="J50" s="24"/>
      <x:c r="K50" s="24"/>
      <x:c r="L50" s="26"/>
      <x:c r="M50" s="26"/>
      <x:c r="N50" s="24"/>
      <x:c r="O50" s="26"/>
      <x:c r="P50" s="24"/>
      <x:c r="Q50" s="24"/>
      <x:c r="R50" s="24"/>
      <x:c r="S50" s="29" t="str">
        <x:f>IF(Q50="","",IFERROR(R50/Q50,0))</x:f>
      </x:c>
      <x:c r="T50" s="32"/>
      <x:c r="U50" s="32"/>
      <x:c r="V50" s="26"/>
      <x:c r="W50" s="27"/>
      <x:c r="X50" s="27"/>
      <x:c r="Y50" s="27"/>
    </x:row>
    <x:row r="51">
      <x:c r="A51" s="24"/>
      <x:c r="B51" s="24"/>
      <x:c r="C51" s="27"/>
      <x:c r="D51" s="27"/>
      <x:c r="E51" s="27"/>
      <x:c r="F51" s="27"/>
      <x:c r="G51" s="27"/>
      <x:c r="H51" s="24"/>
      <x:c r="I51" s="24"/>
      <x:c r="J51" s="24"/>
      <x:c r="K51" s="24"/>
      <x:c r="L51" s="26"/>
      <x:c r="M51" s="26"/>
      <x:c r="N51" s="24"/>
      <x:c r="O51" s="26"/>
      <x:c r="P51" s="24"/>
      <x:c r="Q51" s="24"/>
      <x:c r="R51" s="24"/>
      <x:c r="S51" s="29" t="str">
        <x:f>IF(Q51="","",IFERROR(R51/Q51,0))</x:f>
      </x:c>
      <x:c r="T51" s="32"/>
      <x:c r="U51" s="32"/>
      <x:c r="V51" s="26"/>
      <x:c r="W51" s="27"/>
      <x:c r="X51" s="27"/>
      <x:c r="Y51" s="27"/>
    </x:row>
    <x:row r="52">
      <x:c r="A52" s="24"/>
      <x:c r="B52" s="24"/>
      <x:c r="C52" s="27"/>
      <x:c r="D52" s="27"/>
      <x:c r="E52" s="27"/>
      <x:c r="F52" s="27"/>
      <x:c r="G52" s="27"/>
      <x:c r="H52" s="24"/>
      <x:c r="I52" s="24"/>
      <x:c r="J52" s="24"/>
      <x:c r="K52" s="24"/>
      <x:c r="L52" s="26"/>
      <x:c r="M52" s="26"/>
      <x:c r="N52" s="24"/>
      <x:c r="O52" s="26"/>
      <x:c r="P52" s="24"/>
      <x:c r="Q52" s="24"/>
      <x:c r="R52" s="24"/>
      <x:c r="S52" s="29" t="str">
        <x:f>IF(Q52="","",IFERROR(R52/Q52,0))</x:f>
      </x:c>
      <x:c r="T52" s="32"/>
      <x:c r="U52" s="32"/>
      <x:c r="V52" s="26"/>
      <x:c r="W52" s="27"/>
      <x:c r="X52" s="27"/>
      <x:c r="Y52" s="27"/>
    </x:row>
    <x:row r="53">
      <x:c r="A53" s="24"/>
      <x:c r="B53" s="24"/>
      <x:c r="C53" s="27"/>
      <x:c r="D53" s="27"/>
      <x:c r="E53" s="27"/>
      <x:c r="F53" s="27"/>
      <x:c r="G53" s="27"/>
      <x:c r="H53" s="24"/>
      <x:c r="I53" s="24"/>
      <x:c r="J53" s="24"/>
      <x:c r="K53" s="24"/>
      <x:c r="L53" s="26"/>
      <x:c r="M53" s="26"/>
      <x:c r="N53" s="24"/>
      <x:c r="O53" s="26"/>
      <x:c r="P53" s="24"/>
      <x:c r="Q53" s="24"/>
      <x:c r="R53" s="24"/>
      <x:c r="S53" s="29" t="str">
        <x:f>IF(Q53="","",IFERROR(R53/Q53,0))</x:f>
      </x:c>
      <x:c r="T53" s="32"/>
      <x:c r="U53" s="32"/>
      <x:c r="V53" s="26"/>
      <x:c r="W53" s="27"/>
      <x:c r="X53" s="27"/>
      <x:c r="Y53" s="27"/>
    </x:row>
    <x:row r="54">
      <x:c r="A54" s="24"/>
      <x:c r="B54" s="24"/>
      <x:c r="C54" s="27"/>
      <x:c r="D54" s="27"/>
      <x:c r="E54" s="27"/>
      <x:c r="F54" s="27"/>
      <x:c r="G54" s="27"/>
      <x:c r="H54" s="24"/>
      <x:c r="I54" s="24"/>
      <x:c r="J54" s="24"/>
      <x:c r="K54" s="24"/>
      <x:c r="L54" s="26"/>
      <x:c r="M54" s="26"/>
      <x:c r="N54" s="24"/>
      <x:c r="O54" s="26"/>
      <x:c r="P54" s="24"/>
      <x:c r="Q54" s="24"/>
      <x:c r="R54" s="24"/>
      <x:c r="S54" s="29" t="str">
        <x:f>IF(Q54="","",IFERROR(R54/Q54,0))</x:f>
      </x:c>
      <x:c r="T54" s="32"/>
      <x:c r="U54" s="32"/>
      <x:c r="V54" s="26"/>
      <x:c r="W54" s="27"/>
      <x:c r="X54" s="27"/>
      <x:c r="Y54" s="27"/>
    </x:row>
    <x:row r="55">
      <x:c r="A55" s="24"/>
      <x:c r="B55" s="24"/>
      <x:c r="C55" s="27"/>
      <x:c r="D55" s="27"/>
      <x:c r="E55" s="27"/>
      <x:c r="F55" s="27"/>
      <x:c r="G55" s="27"/>
      <x:c r="H55" s="24"/>
      <x:c r="I55" s="24"/>
      <x:c r="J55" s="24"/>
      <x:c r="K55" s="24"/>
      <x:c r="L55" s="26"/>
      <x:c r="M55" s="26"/>
      <x:c r="N55" s="24"/>
      <x:c r="O55" s="26"/>
      <x:c r="P55" s="24"/>
      <x:c r="Q55" s="24"/>
      <x:c r="R55" s="24"/>
      <x:c r="S55" s="29" t="str">
        <x:f>IF(Q55="","",IFERROR(R55/Q55,0))</x:f>
      </x:c>
      <x:c r="T55" s="32"/>
      <x:c r="U55" s="32"/>
      <x:c r="V55" s="26"/>
      <x:c r="W55" s="27"/>
      <x:c r="X55" s="27"/>
      <x:c r="Y55" s="27"/>
    </x:row>
  </x:sheetData>
  <x:mergeCells>
    <x:mergeCell ref="A1:Y1"/>
    <x:mergeCell ref="A2:Y2"/>
    <x:mergeCell ref="A3:Y3"/>
  </x:mergeCells>
  <x:dataValidations count="3">
    <x:dataValidation type="list" sqref="E6:E55">
      <x:formula1>"Shared,Production,Engineering,QAC/R&amp;D,Planning,IT,Procurement,Logistics,Sales,Marketing,Finance,HR/Admin"</x:formula1>
    </x:dataValidation>
    <x:dataValidation type="list" sqref="H6:H55">
      <x:formula1>"Internal OJT,Internal Classroom,External Classroom,E-learning,Vendor Training,Coaching,Project Assignment,Job Rotation"</x:formula1>
    </x:dataValidation>
    <x:dataValidation type="list" sqref="N6:N55">
      <x:formula1>"Proposed,Approved,Scheduled,In Progress,Completed,Cancelled"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f4e140123c432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23" hidden="0" customWidth="1"/>
    <x:col min="4" max="4" width="23" hidden="0" customWidth="1"/>
    <x:col min="5" max="5" width="31" hidden="0" customWidth="1"/>
    <x:col min="6" max="6" width="20" hidden="0" customWidth="1"/>
    <x:col min="7" max="7" width="16" hidden="0" customWidth="1"/>
    <x:col min="8" max="8" width="19" hidden="0" customWidth="1"/>
    <x:col min="9" max="9" width="16" hidden="0" customWidth="1"/>
    <x:col min="10" max="10" width="16" hidden="0" customWidth="1"/>
    <x:col min="11" max="11" width="18" hidden="0" customWidth="1"/>
    <x:col min="12" max="12" width="18" hidden="0" customWidth="1"/>
  </x:cols>
  <x:sheetData>
    <x:row r="1" ht="30" customHeight="1">
      <x:c r="A1" s="3" t="str">
        <x:v>07 — HOD &amp; HR Skill Management Dashboard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6" customHeight="1">
      <x:c r="A2" s="7" t="str">
        <x:v>Monthly governance view. Decisions should focus on missing profiles, assessment coverage, verified competency, critical gaps, overdue actions and single-point capability risk.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>
      <x:c r="A3" t="str">
        <x:v>Last refreshed</x:v>
      </x:c>
      <x:c r="B3" s="52" t="n">
        <x:f>TODAY()</x:f>
        <x:v>46264</x:v>
      </x:c>
      <x:c r="C3"/>
      <x:c r="D3"/>
      <x:c r="E3"/>
      <x:c r="F3"/>
      <x:c r="G3"/>
      <x:c r="H3"/>
      <x:c r="I3"/>
      <x:c r="J3"/>
      <x:c r="K3"/>
      <x:c r="L3"/>
    </x:row>
    <x:row r="4">
      <x:c r="A4" s="12" t="str">
        <x:v>Active Staff</x:v>
      </x:c>
      <x:c r="B4" s="57" t="n">
        <x:f>COUNTIFS('01 Staff Master'!$K$6:$K$105,"Yes")</x:f>
        <x:v>0</x:v>
      </x:c>
      <x:c r="C4" s="58" t="str">
        <x:v>Expected Staff-Skill Assessments</x:v>
      </x:c>
      <x:c r="D4" s="57" t="n">
        <x:f>SUMIFS('01 Staff Master'!$L$6:$L$105,'01 Staff Master'!$K$6:$K$105,"Yes")</x:f>
        <x:v>0</x:v>
      </x:c>
      <x:c r="E4" s="12" t="str">
        <x:v>Latest Assessment Records</x:v>
      </x:c>
      <x:c r="F4" s="57" t="n">
        <x:f>COUNTIFS('04 Assessment Log'!$AA$6:$AA$155,"Yes",'04 Assessment Log'!$O$6:$O$155,"&gt;=0")</x:f>
        <x:v>0</x:v>
      </x:c>
      <x:c r="G4" s="12" t="str">
        <x:v>Assessment Coverage</x:v>
      </x:c>
      <x:c r="H4" s="56" t="n">
        <x:f>IFERROR(F4/D4,0)</x:f>
        <x:v>0</x:v>
      </x:c>
      <x:c r="I4" s="12" t="str">
        <x:v>Verified Competent Records</x:v>
      </x:c>
      <x:c r="J4" s="57" t="n">
        <x:f>COUNTIFS('04 Assessment Log'!$AA$6:$AA$155,"Yes",'04 Assessment Log'!$S$6:$S$155,"Meets / Exceeds",'04 Assessment Log'!$W$6:$W$155,"Verified",'04 Assessment Log'!$AD$6:$AD$155,"Current")</x:f>
        <x:v>0</x:v>
      </x:c>
      <x:c r="K4" s="12" t="str">
        <x:v>Verified Competency Rate</x:v>
      </x:c>
      <x:c r="L4" s="56" t="n">
        <x:f>IFERROR(J4/F4,0)</x:f>
        <x:v>0</x:v>
      </x:c>
    </x:row>
    <x:row r="7">
      <x:c r="A7" s="62" t="str">
        <x:v>Major / Critical Gaps</x:v>
      </x:c>
      <x:c r="B7" s="57" t="n">
        <x:f>COUNTIFS('04 Assessment Log'!$AA$6:$AA$155,"Yes",'04 Assessment Log'!$S$6:$S$155,"Major Gap")+COUNTIFS('04 Assessment Log'!$AA$6:$AA$155,"Yes",'04 Assessment Log'!$S$6:$S$155,"Critical Gap")</x:f>
        <x:v>0</x:v>
      </x:c>
      <x:c r="C7" s="63" t="str">
        <x:v>Open Development Actions</x:v>
      </x:c>
      <x:c r="D7" s="57" t="n">
        <x:f>COUNTIFS('05 Development Actions'!$A$6:$A$105,"&lt;&gt;",'05 Development Actions'!$AB$6:$AB$105,"Open")+COUNTIFS('05 Development Actions'!$A$6:$A$105,"&lt;&gt;",'05 Development Actions'!$AB$6:$AB$105,"Pending Reassessment")+COUNTIFS('05 Development Actions'!$A$6:$A$105,"&lt;&gt;",'05 Development Actions'!$AB$6:$AB$105,"Further Action Required")</x:f>
        <x:v>0</x:v>
      </x:c>
      <x:c r="E7" s="63" t="str">
        <x:v>Overdue Actions</x:v>
      </x:c>
      <x:c r="F7" s="57" t="n">
        <x:f>COUNTIFS('05 Development Actions'!$AC$6:$AC$105,"&gt;0")</x:f>
        <x:v>0</x:v>
      </x:c>
      <x:c r="G7" s="63" t="str">
        <x:v>Assessments Due / Expired ≤30d</x:v>
      </x:c>
      <x:c r="H7" s="57" t="n">
        <x:f>COUNTIFS('04 Assessment Log'!$AA$6:$AA$155,"Yes",'04 Assessment Log'!$Z$6:$Z$155,"&lt;="&amp;TODAY()+30,'04 Assessment Log'!$O$6:$O$155,"&gt;=0")</x:f>
        <x:v>0</x:v>
      </x:c>
      <x:c r="I7" s="63" t="str">
        <x:v>Scheduled / Active Training</x:v>
      </x:c>
      <x:c r="J7" s="57" t="n">
        <x:f>COUNTIFS('06 Training Register'!$N$6:$N$55,"Scheduled")+COUNTIFS('06 Training Register'!$N$6:$N$55,"In Progress")</x:f>
        <x:v>0</x:v>
      </x:c>
      <x:c r="K7" s="63" t="str">
        <x:v>Critical Skills with Coverage Gap</x:v>
      </x:c>
      <x:c r="L7" s="57" t="n">
        <x:f>COUNTIFS('09 Critical Skill Coverage'!$H$6:$H$55,"Coverage Gap")</x:f>
        <x:v>46</x:v>
      </x:c>
    </x:row>
    <x:row r="10" ht="24" customHeight="1">
      <x:c r="A10" s="18" t="str">
        <x:v>DEPARTMENT GOVERNANCE SUMMARY</x:v>
      </x:c>
      <x:c r="B10" s="18"/>
      <x:c r="C10" s="18"/>
      <x:c r="D10" s="18"/>
      <x:c r="E10" s="18"/>
      <x:c r="F10" s="18"/>
      <x:c r="G10" s="18"/>
      <x:c r="H10" s="18"/>
      <x:c r="I10" s="18"/>
      <x:c r="J10" s="18"/>
      <x:c r="K10" s="18"/>
      <x:c r="L10" s="18"/>
    </x:row>
    <x:row r="11" ht="34" customHeight="1">
      <x:c r="A11" s="13" t="str">
        <x:v>Department</x:v>
      </x:c>
      <x:c r="B11" s="13" t="str">
        <x:v>Active Staff</x:v>
      </x:c>
      <x:c r="C11" s="13" t="str">
        <x:v>Expected Assessments</x:v>
      </x:c>
      <x:c r="D11" s="13" t="str">
        <x:v>Latest Records</x:v>
      </x:c>
      <x:c r="E11" s="13" t="str">
        <x:v>Assessment Coverage</x:v>
      </x:c>
      <x:c r="F11" s="13" t="str">
        <x:v>Verified Competent</x:v>
      </x:c>
      <x:c r="G11" s="13" t="str">
        <x:v>Competency Rate</x:v>
      </x:c>
      <x:c r="H11" s="13" t="str">
        <x:v>Major/Critical Gaps</x:v>
      </x:c>
      <x:c r="I11" s="13" t="str">
        <x:v>Open Actions</x:v>
      </x:c>
      <x:c r="J11" s="13" t="str">
        <x:v>Overdue Actions</x:v>
      </x:c>
      <x:c r="K11" s="13" t="str">
        <x:v>Due/Expired ≤30d</x:v>
      </x:c>
      <x:c r="L11" s="13" t="str">
        <x:v>Coverage Risks</x:v>
      </x:c>
    </x:row>
    <x:row r="12">
      <x:c r="A12" s="14" t="str">
        <x:v>Production</x:v>
      </x:c>
      <x:c r="B12" s="66" t="n">
        <x:f>COUNTIFS('01 Staff Master'!$C$6:$C$105,$A12,'01 Staff Master'!$K$6:$K$105,"Yes")</x:f>
        <x:v>0</x:v>
      </x:c>
      <x:c r="C12" s="66" t="n">
        <x:f>SUMIFS('01 Staff Master'!$L$6:$L$105,'01 Staff Master'!$C$6:$C$105,$A12,'01 Staff Master'!$K$6:$K$105,"Yes")</x:f>
        <x:v>0</x:v>
      </x:c>
      <x:c r="D12" s="66" t="n">
        <x:f>COUNTIFS('04 Assessment Log'!$F$6:$F$155,$A12,'04 Assessment Log'!$AA$6:$AA$155,"Yes",'04 Assessment Log'!$O$6:$O$155,"&gt;=0")</x:f>
        <x:v>0</x:v>
      </x:c>
      <x:c r="E12" s="67" t="n">
        <x:f>IFERROR(D12/C12,0)</x:f>
        <x:v>0</x:v>
      </x:c>
      <x:c r="F12" s="66" t="n">
        <x:f>COUNTIFS('04 Assessment Log'!$F$6:$F$155,$A12,'04 Assessment Log'!$AA$6:$AA$155,"Yes",'04 Assessment Log'!$S$6:$S$155,"Meets / Exceeds",'04 Assessment Log'!$W$6:$W$155,"Verified",'04 Assessment Log'!$AD$6:$AD$155,"Current")</x:f>
        <x:v>0</x:v>
      </x:c>
      <x:c r="G12" s="67" t="n">
        <x:f>IFERROR(F12/D12,0)</x:f>
        <x:v>0</x:v>
      </x:c>
      <x:c r="H12" s="66" t="n">
        <x:f>COUNTIFS('04 Assessment Log'!$F$6:$F$155,$A12,'04 Assessment Log'!$AA$6:$AA$155,"Yes",'04 Assessment Log'!$S$6:$S$155,"Major Gap")+COUNTIFS('04 Assessment Log'!$F$6:$F$155,$A12,'04 Assessment Log'!$AA$6:$AA$155,"Yes",'04 Assessment Log'!$S$6:$S$155,"Critical Gap")</x:f>
        <x:v>0</x:v>
      </x:c>
      <x:c r="I12" s="66" t="n">
        <x:f>COUNTIFS('05 Development Actions'!$E$6:$E$105,$A12,'05 Development Actions'!$A$6:$A$105,"&lt;&gt;",'05 Development Actions'!$AB$6:$AB$105,"&lt;&gt;Closed — Competent",'05 Development Actions'!$AB$6:$AB$105,"&lt;&gt;Cancelled")</x:f>
        <x:v>0</x:v>
      </x:c>
      <x:c r="J12" s="66" t="n">
        <x:f>COUNTIFS('05 Development Actions'!$E$6:$E$105,$A12,'05 Development Actions'!$AC$6:$AC$105,"&gt;0")</x:f>
        <x:v>0</x:v>
      </x:c>
      <x:c r="K12" s="66" t="n">
        <x:f>COUNTIFS('04 Assessment Log'!$F$6:$F$155,$A12,'04 Assessment Log'!$AA$6:$AA$155,"Yes",'04 Assessment Log'!$Z$6:$Z$155,"&lt;="&amp;TODAY()+30,'04 Assessment Log'!$O$6:$O$155,"&gt;=0")</x:f>
        <x:v>0</x:v>
      </x:c>
      <x:c r="L12" s="66" t="n">
        <x:f>COUNTIFS('09 Critical Skill Coverage'!$C$6:$C$55,$A12,'09 Critical Skill Coverage'!$H$6:$H$55,"Coverage Gap")</x:f>
        <x:v>12</x:v>
      </x:c>
    </x:row>
    <x:row r="13">
      <x:c r="A13" s="14" t="str">
        <x:v>Engineering</x:v>
      </x:c>
      <x:c r="B13" s="66" t="n">
        <x:f>COUNTIFS('01 Staff Master'!$C$6:$C$105,$A13,'01 Staff Master'!$K$6:$K$105,"Yes")</x:f>
        <x:v>0</x:v>
      </x:c>
      <x:c r="C13" s="66" t="n">
        <x:f>SUMIFS('01 Staff Master'!$L$6:$L$105,'01 Staff Master'!$C$6:$C$105,$A13,'01 Staff Master'!$K$6:$K$105,"Yes")</x:f>
        <x:v>0</x:v>
      </x:c>
      <x:c r="D13" s="66" t="n">
        <x:f>COUNTIFS('04 Assessment Log'!$F$6:$F$155,$A13,'04 Assessment Log'!$AA$6:$AA$155,"Yes",'04 Assessment Log'!$O$6:$O$155,"&gt;=0")</x:f>
        <x:v>0</x:v>
      </x:c>
      <x:c r="E13" s="67" t="n">
        <x:f>IFERROR(D13/C13,0)</x:f>
        <x:v>0</x:v>
      </x:c>
      <x:c r="F13" s="66" t="n">
        <x:f>COUNTIFS('04 Assessment Log'!$F$6:$F$155,$A13,'04 Assessment Log'!$AA$6:$AA$155,"Yes",'04 Assessment Log'!$S$6:$S$155,"Meets / Exceeds",'04 Assessment Log'!$W$6:$W$155,"Verified",'04 Assessment Log'!$AD$6:$AD$155,"Current")</x:f>
        <x:v>0</x:v>
      </x:c>
      <x:c r="G13" s="67" t="n">
        <x:f>IFERROR(F13/D13,0)</x:f>
        <x:v>0</x:v>
      </x:c>
      <x:c r="H13" s="66" t="n">
        <x:f>COUNTIFS('04 Assessment Log'!$F$6:$F$155,$A13,'04 Assessment Log'!$AA$6:$AA$155,"Yes",'04 Assessment Log'!$S$6:$S$155,"Major Gap")+COUNTIFS('04 Assessment Log'!$F$6:$F$155,$A13,'04 Assessment Log'!$AA$6:$AA$155,"Yes",'04 Assessment Log'!$S$6:$S$155,"Critical Gap")</x:f>
        <x:v>0</x:v>
      </x:c>
      <x:c r="I13" s="66" t="n">
        <x:f>COUNTIFS('05 Development Actions'!$E$6:$E$105,$A13,'05 Development Actions'!$A$6:$A$105,"&lt;&gt;",'05 Development Actions'!$AB$6:$AB$105,"&lt;&gt;Closed — Competent",'05 Development Actions'!$AB$6:$AB$105,"&lt;&gt;Cancelled")</x:f>
        <x:v>0</x:v>
      </x:c>
      <x:c r="J13" s="66" t="n">
        <x:f>COUNTIFS('05 Development Actions'!$E$6:$E$105,$A13,'05 Development Actions'!$AC$6:$AC$105,"&gt;0")</x:f>
        <x:v>0</x:v>
      </x:c>
      <x:c r="K13" s="66" t="n">
        <x:f>COUNTIFS('04 Assessment Log'!$F$6:$F$155,$A13,'04 Assessment Log'!$AA$6:$AA$155,"Yes",'04 Assessment Log'!$Z$6:$Z$155,"&lt;="&amp;TODAY()+30,'04 Assessment Log'!$O$6:$O$155,"&gt;=0")</x:f>
        <x:v>0</x:v>
      </x:c>
      <x:c r="L13" s="66" t="n">
        <x:f>COUNTIFS('09 Critical Skill Coverage'!$C$6:$C$55,$A13,'09 Critical Skill Coverage'!$H$6:$H$55,"Coverage Gap")</x:f>
        <x:v>8</x:v>
      </x:c>
    </x:row>
    <x:row r="14">
      <x:c r="A14" s="14" t="str">
        <x:v>QAC/R&amp;D</x:v>
      </x:c>
      <x:c r="B14" s="66" t="n">
        <x:f>COUNTIFS('01 Staff Master'!$C$6:$C$105,$A14,'01 Staff Master'!$K$6:$K$105,"Yes")</x:f>
        <x:v>0</x:v>
      </x:c>
      <x:c r="C14" s="66" t="n">
        <x:f>SUMIFS('01 Staff Master'!$L$6:$L$105,'01 Staff Master'!$C$6:$C$105,$A14,'01 Staff Master'!$K$6:$K$105,"Yes")</x:f>
        <x:v>0</x:v>
      </x:c>
      <x:c r="D14" s="66" t="n">
        <x:f>COUNTIFS('04 Assessment Log'!$F$6:$F$155,$A14,'04 Assessment Log'!$AA$6:$AA$155,"Yes",'04 Assessment Log'!$O$6:$O$155,"&gt;=0")</x:f>
        <x:v>0</x:v>
      </x:c>
      <x:c r="E14" s="67" t="n">
        <x:f>IFERROR(D14/C14,0)</x:f>
        <x:v>0</x:v>
      </x:c>
      <x:c r="F14" s="66" t="n">
        <x:f>COUNTIFS('04 Assessment Log'!$F$6:$F$155,$A14,'04 Assessment Log'!$AA$6:$AA$155,"Yes",'04 Assessment Log'!$S$6:$S$155,"Meets / Exceeds",'04 Assessment Log'!$W$6:$W$155,"Verified",'04 Assessment Log'!$AD$6:$AD$155,"Current")</x:f>
        <x:v>0</x:v>
      </x:c>
      <x:c r="G14" s="67" t="n">
        <x:f>IFERROR(F14/D14,0)</x:f>
        <x:v>0</x:v>
      </x:c>
      <x:c r="H14" s="66" t="n">
        <x:f>COUNTIFS('04 Assessment Log'!$F$6:$F$155,$A14,'04 Assessment Log'!$AA$6:$AA$155,"Yes",'04 Assessment Log'!$S$6:$S$155,"Major Gap")+COUNTIFS('04 Assessment Log'!$F$6:$F$155,$A14,'04 Assessment Log'!$AA$6:$AA$155,"Yes",'04 Assessment Log'!$S$6:$S$155,"Critical Gap")</x:f>
        <x:v>0</x:v>
      </x:c>
      <x:c r="I14" s="66" t="n">
        <x:f>COUNTIFS('05 Development Actions'!$E$6:$E$105,$A14,'05 Development Actions'!$A$6:$A$105,"&lt;&gt;",'05 Development Actions'!$AB$6:$AB$105,"&lt;&gt;Closed — Competent",'05 Development Actions'!$AB$6:$AB$105,"&lt;&gt;Cancelled")</x:f>
        <x:v>0</x:v>
      </x:c>
      <x:c r="J14" s="66" t="n">
        <x:f>COUNTIFS('05 Development Actions'!$E$6:$E$105,$A14,'05 Development Actions'!$AC$6:$AC$105,"&gt;0")</x:f>
        <x:v>0</x:v>
      </x:c>
      <x:c r="K14" s="66" t="n">
        <x:f>COUNTIFS('04 Assessment Log'!$F$6:$F$155,$A14,'04 Assessment Log'!$AA$6:$AA$155,"Yes",'04 Assessment Log'!$Z$6:$Z$155,"&lt;="&amp;TODAY()+30,'04 Assessment Log'!$O$6:$O$155,"&gt;=0")</x:f>
        <x:v>0</x:v>
      </x:c>
      <x:c r="L14" s="66" t="n">
        <x:f>COUNTIFS('09 Critical Skill Coverage'!$C$6:$C$55,$A14,'09 Critical Skill Coverage'!$H$6:$H$55,"Coverage Gap")</x:f>
        <x:v>8</x:v>
      </x:c>
    </x:row>
    <x:row r="15">
      <x:c r="A15" s="14" t="str">
        <x:v>Planning</x:v>
      </x:c>
      <x:c r="B15" s="66" t="n">
        <x:f>COUNTIFS('01 Staff Master'!$C$6:$C$105,$A15,'01 Staff Master'!$K$6:$K$105,"Yes")</x:f>
        <x:v>0</x:v>
      </x:c>
      <x:c r="C15" s="66" t="n">
        <x:f>SUMIFS('01 Staff Master'!$L$6:$L$105,'01 Staff Master'!$C$6:$C$105,$A15,'01 Staff Master'!$K$6:$K$105,"Yes")</x:f>
        <x:v>0</x:v>
      </x:c>
      <x:c r="D15" s="66" t="n">
        <x:f>COUNTIFS('04 Assessment Log'!$F$6:$F$155,$A15,'04 Assessment Log'!$AA$6:$AA$155,"Yes",'04 Assessment Log'!$O$6:$O$155,"&gt;=0")</x:f>
        <x:v>0</x:v>
      </x:c>
      <x:c r="E15" s="67" t="n">
        <x:f>IFERROR(D15/C15,0)</x:f>
        <x:v>0</x:v>
      </x:c>
      <x:c r="F15" s="66" t="n">
        <x:f>COUNTIFS('04 Assessment Log'!$F$6:$F$155,$A15,'04 Assessment Log'!$AA$6:$AA$155,"Yes",'04 Assessment Log'!$S$6:$S$155,"Meets / Exceeds",'04 Assessment Log'!$W$6:$W$155,"Verified",'04 Assessment Log'!$AD$6:$AD$155,"Current")</x:f>
        <x:v>0</x:v>
      </x:c>
      <x:c r="G15" s="67" t="n">
        <x:f>IFERROR(F15/D15,0)</x:f>
        <x:v>0</x:v>
      </x:c>
      <x:c r="H15" s="66" t="n">
        <x:f>COUNTIFS('04 Assessment Log'!$F$6:$F$155,$A15,'04 Assessment Log'!$AA$6:$AA$155,"Yes",'04 Assessment Log'!$S$6:$S$155,"Major Gap")+COUNTIFS('04 Assessment Log'!$F$6:$F$155,$A15,'04 Assessment Log'!$AA$6:$AA$155,"Yes",'04 Assessment Log'!$S$6:$S$155,"Critical Gap")</x:f>
        <x:v>0</x:v>
      </x:c>
      <x:c r="I15" s="66" t="n">
        <x:f>COUNTIFS('05 Development Actions'!$E$6:$E$105,$A15,'05 Development Actions'!$A$6:$A$105,"&lt;&gt;",'05 Development Actions'!$AB$6:$AB$105,"&lt;&gt;Closed — Competent",'05 Development Actions'!$AB$6:$AB$105,"&lt;&gt;Cancelled")</x:f>
        <x:v>0</x:v>
      </x:c>
      <x:c r="J15" s="66" t="n">
        <x:f>COUNTIFS('05 Development Actions'!$E$6:$E$105,$A15,'05 Development Actions'!$AC$6:$AC$105,"&gt;0")</x:f>
        <x:v>0</x:v>
      </x:c>
      <x:c r="K15" s="66" t="n">
        <x:f>COUNTIFS('04 Assessment Log'!$F$6:$F$155,$A15,'04 Assessment Log'!$AA$6:$AA$155,"Yes",'04 Assessment Log'!$Z$6:$Z$155,"&lt;="&amp;TODAY()+30,'04 Assessment Log'!$O$6:$O$155,"&gt;=0")</x:f>
        <x:v>0</x:v>
      </x:c>
      <x:c r="L15" s="66" t="n">
        <x:f>COUNTIFS('09 Critical Skill Coverage'!$C$6:$C$55,$A15,'09 Critical Skill Coverage'!$H$6:$H$55,"Coverage Gap")</x:f>
        <x:v>6</x:v>
      </x:c>
    </x:row>
    <x:row r="16">
      <x:c r="A16" s="14" t="str">
        <x:v>IT</x:v>
      </x:c>
      <x:c r="B16" s="66" t="n">
        <x:f>COUNTIFS('01 Staff Master'!$C$6:$C$105,$A16,'01 Staff Master'!$K$6:$K$105,"Yes")</x:f>
        <x:v>0</x:v>
      </x:c>
      <x:c r="C16" s="66" t="n">
        <x:f>SUMIFS('01 Staff Master'!$L$6:$L$105,'01 Staff Master'!$C$6:$C$105,$A16,'01 Staff Master'!$K$6:$K$105,"Yes")</x:f>
        <x:v>0</x:v>
      </x:c>
      <x:c r="D16" s="66" t="n">
        <x:f>COUNTIFS('04 Assessment Log'!$F$6:$F$155,$A16,'04 Assessment Log'!$AA$6:$AA$155,"Yes",'04 Assessment Log'!$O$6:$O$155,"&gt;=0")</x:f>
        <x:v>0</x:v>
      </x:c>
      <x:c r="E16" s="67" t="n">
        <x:f>IFERROR(D16/C16,0)</x:f>
        <x:v>0</x:v>
      </x:c>
      <x:c r="F16" s="66" t="n">
        <x:f>COUNTIFS('04 Assessment Log'!$F$6:$F$155,$A16,'04 Assessment Log'!$AA$6:$AA$155,"Yes",'04 Assessment Log'!$S$6:$S$155,"Meets / Exceeds",'04 Assessment Log'!$W$6:$W$155,"Verified",'04 Assessment Log'!$AD$6:$AD$155,"Current")</x:f>
        <x:v>0</x:v>
      </x:c>
      <x:c r="G16" s="67" t="n">
        <x:f>IFERROR(F16/D16,0)</x:f>
        <x:v>0</x:v>
      </x:c>
      <x:c r="H16" s="66" t="n">
        <x:f>COUNTIFS('04 Assessment Log'!$F$6:$F$155,$A16,'04 Assessment Log'!$AA$6:$AA$155,"Yes",'04 Assessment Log'!$S$6:$S$155,"Major Gap")+COUNTIFS('04 Assessment Log'!$F$6:$F$155,$A16,'04 Assessment Log'!$AA$6:$AA$155,"Yes",'04 Assessment Log'!$S$6:$S$155,"Critical Gap")</x:f>
        <x:v>0</x:v>
      </x:c>
      <x:c r="I16" s="66" t="n">
        <x:f>COUNTIFS('05 Development Actions'!$E$6:$E$105,$A16,'05 Development Actions'!$A$6:$A$105,"&lt;&gt;",'05 Development Actions'!$AB$6:$AB$105,"&lt;&gt;Closed — Competent",'05 Development Actions'!$AB$6:$AB$105,"&lt;&gt;Cancelled")</x:f>
        <x:v>0</x:v>
      </x:c>
      <x:c r="J16" s="66" t="n">
        <x:f>COUNTIFS('05 Development Actions'!$E$6:$E$105,$A16,'05 Development Actions'!$AC$6:$AC$105,"&gt;0")</x:f>
        <x:v>0</x:v>
      </x:c>
      <x:c r="K16" s="66" t="n">
        <x:f>COUNTIFS('04 Assessment Log'!$F$6:$F$155,$A16,'04 Assessment Log'!$AA$6:$AA$155,"Yes",'04 Assessment Log'!$Z$6:$Z$155,"&lt;="&amp;TODAY()+30,'04 Assessment Log'!$O$6:$O$155,"&gt;=0")</x:f>
        <x:v>0</x:v>
      </x:c>
      <x:c r="L16" s="66" t="n">
        <x:f>COUNTIFS('09 Critical Skill Coverage'!$C$6:$C$55,$A16,'09 Critical Skill Coverage'!$H$6:$H$55,"Coverage Gap")</x:f>
        <x:v>8</x:v>
      </x:c>
    </x:row>
    <x:row r="19" ht="24" customHeight="1">
      <x:c r="A19" s="18" t="str">
        <x:v>MONTHLY HOD + HR DECISION CHECKLIST</x:v>
      </x:c>
      <x:c r="B19" s="18"/>
      <x:c r="C19" s="18"/>
      <x:c r="D19" s="18"/>
      <x:c r="E19" s="18"/>
      <x:c r="F19" s="18"/>
      <x:c r="G19" s="18"/>
      <x:c r="H19" s="18"/>
      <x:c r="I19" s="18"/>
      <x:c r="J19" s="18"/>
      <x:c r="K19" s="18"/>
      <x:c r="L19" s="18"/>
    </x:row>
    <x:row r="20" ht="34" customHeight="1">
      <x:c r="A20" s="13" t="str">
        <x:v>Trigger</x:v>
      </x:c>
      <x:c r="B20" s="13" t="str">
        <x:v>Decision Required</x:v>
      </x:c>
      <x:c r="C20" s="13" t="str">
        <x:v>Accountable Owner</x:v>
      </x:c>
      <x:c r="D20" s="13" t="str">
        <x:v>Deadline Rule</x:v>
      </x:c>
      <x:c r="E20" s="13" t="str">
        <x:v>Evidence to Close</x:v>
      </x:c>
      <x:c r="F20" s="13" t="str">
        <x:v>Status</x:v>
      </x:c>
    </x:row>
    <x:row r="21">
      <x:c r="A21" s="19" t="str">
        <x:v>Missing position profile</x:v>
      </x:c>
      <x:c r="B21" s="19" t="str">
        <x:v>HOD defines required skills, levels and evidence</x:v>
      </x:c>
      <x:c r="C21" s="19" t="str">
        <x:v>HOD</x:v>
      </x:c>
      <x:c r="D21" s="19" t="str">
        <x:v>Within 10 working days</x:v>
      </x:c>
      <x:c r="E21" s="19" t="str">
        <x:v>Active profile totals 100%</x:v>
      </x:c>
      <x:c r="F21" s="27" t="str">
        <x:v>Open</x:v>
      </x:c>
    </x:row>
    <x:row r="22">
      <x:c r="A22" s="19" t="str">
        <x:v>Critical/major skill gap</x:v>
      </x:c>
      <x:c r="B22" s="19" t="str">
        <x:v>Contain work risk and open development action</x:v>
      </x:c>
      <x:c r="C22" s="19" t="str">
        <x:v>HOD</x:v>
      </x:c>
      <x:c r="D22" s="19" t="str">
        <x:v>Within 5 working days</x:v>
      </x:c>
      <x:c r="E22" s="19" t="str">
        <x:v>Named trainer, due date and expected level</x:v>
      </x:c>
      <x:c r="F22" s="27" t="str">
        <x:v>Open</x:v>
      </x:c>
    </x:row>
    <x:row r="23">
      <x:c r="A23" s="19" t="str">
        <x:v>Expired / due-soon assessment</x:v>
      </x:c>
      <x:c r="B23" s="19" t="str">
        <x:v>Book reassessment or restrict authorisation</x:v>
      </x:c>
      <x:c r="C23" s="19" t="str">
        <x:v>HOD + HR</x:v>
      </x:c>
      <x:c r="D23" s="19" t="str">
        <x:v>Before expiry</x:v>
      </x:c>
      <x:c r="E23" s="19" t="str">
        <x:v>New verified assessment</x:v>
      </x:c>
      <x:c r="F23" s="27" t="str">
        <x:v>Open</x:v>
      </x:c>
    </x:row>
    <x:row r="24">
      <x:c r="A24" s="19" t="str">
        <x:v>Overdue development action</x:v>
      </x:c>
      <x:c r="B24" s="19" t="str">
        <x:v>Remove blocker or reset accountable plan</x:v>
      </x:c>
      <x:c r="C24" s="19" t="str">
        <x:v>HOD</x:v>
      </x:c>
      <x:c r="D24" s="19" t="str">
        <x:v>At monthly review</x:v>
      </x:c>
      <x:c r="E24" s="19" t="str">
        <x:v>Completed intervention and reassessment date</x:v>
      </x:c>
      <x:c r="F24" s="27" t="str">
        <x:v>Open</x:v>
      </x:c>
    </x:row>
    <x:row r="25">
      <x:c r="A25" s="19" t="str">
        <x:v>Critical skill coverage gap</x:v>
      </x:c>
      <x:c r="B25" s="19" t="str">
        <x:v>Develop backup, cross-train or recruit</x:v>
      </x:c>
      <x:c r="C25" s="19" t="str">
        <x:v>HOD + HR</x:v>
      </x:c>
      <x:c r="D25" s="19" t="str">
        <x:v>Plan within 30 days</x:v>
      </x:c>
      <x:c r="E25" s="19" t="str">
        <x:v>Minimum competent headcount achieved</x:v>
      </x:c>
      <x:c r="F25" s="27" t="str">
        <x:v>Open</x:v>
      </x:c>
    </x:row>
    <x:row r="26">
      <x:c r="A26" s="19" t="str">
        <x:v>Training completed</x:v>
      </x:c>
      <x:c r="B26" s="19" t="str">
        <x:v>Test transfer to job and business result</x:v>
      </x:c>
      <x:c r="C26" s="19" t="str">
        <x:v>HOD / Assessor</x:v>
      </x:c>
      <x:c r="D26" s="19" t="str">
        <x:v>Within 30 days</x:v>
      </x:c>
      <x:c r="E26" s="19" t="str">
        <x:v>Post-training score and effectiveness evidence</x:v>
      </x:c>
      <x:c r="F26" s="27" t="str">
        <x:v>Open</x:v>
      </x:c>
    </x:row>
    <x:row r="29" ht="24" customHeight="1">
      <x:c r="A29" s="77" t="str">
        <x:v>TRAINING GOVERNANCE &amp; EFFECTIVENESS</x:v>
      </x:c>
      <x:c r="B29" s="77"/>
      <x:c r="C29" s="77"/>
      <x:c r="D29" s="77"/>
      <x:c r="E29" s="77"/>
      <x:c r="F29" s="77"/>
      <x:c r="G29" s="77"/>
      <x:c r="H29" s="77"/>
      <x:c r="I29" s="77"/>
      <x:c r="J29" s="77"/>
      <x:c r="K29" s="77"/>
      <x:c r="L29" s="77"/>
    </x:row>
    <x:row r="30">
      <x:c r="A30" s="129" t="str">
        <x:v>Pending Training Requests</x:v>
      </x:c>
      <x:c r="B30" s="117" t="n">
        <x:f>COUNTIF('10 Training Requests'!$Y$6:$Y$105,"*Pending*")+COUNTIF('10 Training Requests'!$Y$6:$Y$105,"Draft")</x:f>
        <x:v>0</x:v>
      </x:c>
      <x:c r="C30" s="129" t="str">
        <x:v>Approved — Not Linked</x:v>
      </x:c>
      <x:c r="D30" s="117" t="n">
        <x:f>COUNTIFS('10 Training Requests'!$Y$6:$Y$105,"Approved",'10 Training Requests'!$AD$6:$AD$105,"")</x:f>
        <x:v>0</x:v>
      </x:c>
      <x:c r="E30" s="129" t="str">
        <x:v>Attended Records</x:v>
      </x:c>
      <x:c r="F30" s="117" t="n">
        <x:f>COUNTIFS('11 Training Attendance'!$K$6:$K$155,"Attended")</x:f>
        <x:v>0</x:v>
      </x:c>
      <x:c r="G30" s="129" t="str">
        <x:v>Pending Evaluations</x:v>
      </x:c>
      <x:c r="H30" s="117" t="n">
        <x:f>COUNTIFS('11 Training Attendance'!$U$6:$U$155,"Pending")</x:f>
        <x:v>0</x:v>
      </x:c>
      <x:c r="I30" s="129" t="str">
        <x:v>Overdue Effectiveness</x:v>
      </x:c>
      <x:c r="J30" s="117" t="n">
        <x:f>COUNTIFS('11 Training Attendance'!$W$6:$W$155,"Overdue")</x:f>
        <x:v>0</x:v>
      </x:c>
      <x:c r="K30" s="129" t="str">
        <x:v>Closed Effective Reviews</x:v>
      </x:c>
      <x:c r="L30" s="117" t="n">
        <x:f>COUNTIFS('13 Effectiveness Review'!$X$6:$X$155,"Closed — Effective")</x:f>
        <x:v>0</x:v>
      </x:c>
    </x:row>
    <x:row r="33" ht="38" customHeight="1">
      <x:c r="A33" s="83" t="str">
        <x:v>Department</x:v>
      </x:c>
      <x:c r="B33" s="83" t="str">
        <x:v>Requests</x:v>
      </x:c>
      <x:c r="C33" s="83" t="str">
        <x:v>Approved</x:v>
      </x:c>
      <x:c r="D33" s="83" t="str">
        <x:v>Attended</x:v>
      </x:c>
      <x:c r="E33" s="83" t="str">
        <x:v>Evaluation Completion</x:v>
      </x:c>
      <x:c r="F33" s="83" t="str">
        <x:v>Avg Evaluation</x:v>
      </x:c>
      <x:c r="G33" s="83" t="str">
        <x:v>Effectiveness Reviews</x:v>
      </x:c>
      <x:c r="H33" s="83" t="str">
        <x:v>Effective %</x:v>
      </x:c>
      <x:c r="I33" s="83" t="str">
        <x:v>Skill Improvement</x:v>
      </x:c>
      <x:c r="J33" s="83" t="str">
        <x:v>Training Hours</x:v>
      </x:c>
      <x:c r="K33" s="83" t="str">
        <x:v>Certificates</x:v>
      </x:c>
      <x:c r="L33" s="83" t="str">
        <x:v>Open Follow-up</x:v>
      </x:c>
    </x:row>
    <x:row r="34">
      <x:c r="A34" s="14" t="str">
        <x:v>Production</x:v>
      </x:c>
      <x:c r="B34" s="14" t="n">
        <x:f>COUNTIFS('10 Training Requests'!$D$6:$D$105,$A34,'10 Training Requests'!$A$6:$A$105,"&lt;&gt;")</x:f>
        <x:v>0</x:v>
      </x:c>
      <x:c r="C34" s="14" t="n">
        <x:f>COUNTIFS('10 Training Requests'!$D$6:$D$105,$A34,'10 Training Requests'!$Y$6:$Y$105,"Approved")</x:f>
        <x:v>0</x:v>
      </x:c>
      <x:c r="D34" s="14" t="n">
        <x:f>COUNTIFS('11 Training Attendance'!$G$6:$G$155,$A34,'11 Training Attendance'!$K$6:$K$155,"Attended")</x:f>
        <x:v>0</x:v>
      </x:c>
      <x:c r="E34" s="67" t="n">
        <x:f>IFERROR(COUNTIFS('12 Training Evaluation'!$E$6:$E$155,$A34,'12 Training Evaluation'!$W$6:$W$155,"Complete")/D34,0)</x:f>
        <x:v>0</x:v>
      </x:c>
      <x:c r="F34" s="131" t="n">
        <x:f>IFERROR(SUMIFS('12 Training Evaluation'!$O$6:$O$155,'12 Training Evaluation'!$E$6:$E$155,$A34)/COUNTIFS('12 Training Evaluation'!$E$6:$E$155,$A34,'12 Training Evaluation'!$W$6:$W$155,"Complete"),0)</x:f>
        <x:v>0</x:v>
      </x:c>
      <x:c r="G34" s="14" t="n">
        <x:f>COUNTIFS('13 Effectiveness Review'!$E$6:$E$155,$A34,'13 Effectiveness Review'!$A$6:$A$155,"&lt;&gt;")</x:f>
        <x:v>0</x:v>
      </x:c>
      <x:c r="H34" s="67" t="n">
        <x:f>IFERROR(COUNTIFS('13 Effectiveness Review'!$E$6:$E$155,$A34,'13 Effectiveness Review'!$X$6:$X$155,"Closed — Effective")/G34,0)</x:f>
        <x:v>0</x:v>
      </x:c>
      <x:c r="I34" s="131" t="n">
        <x:f>SUMIFS('13 Effectiveness Review'!$O$6:$O$155,'13 Effectiveness Review'!$E$6:$E$155,$A34)</x:f>
        <x:v>0</x:v>
      </x:c>
      <x:c r="J34" s="131" t="n">
        <x:f>SUMIFS('11 Training Attendance'!$L$6:$L$155,'11 Training Attendance'!$G$6:$G$155,$A34,'11 Training Attendance'!$K$6:$K$155,"Attended")</x:f>
        <x:v>0</x:v>
      </x:c>
      <x:c r="K34" s="14" t="n">
        <x:f>COUNTIFS('11 Training Attendance'!$G$6:$G$155,$A34,'11 Training Attendance'!$R$6:$R$155,"&lt;&gt;")</x:f>
        <x:v>0</x:v>
      </x:c>
      <x:c r="L34" s="14" t="n">
        <x:f>COUNTIFS('13 Effectiveness Review'!$E$6:$E$155,$A34,'13 Effectiveness Review'!$A$6:$A$155,"&lt;&gt;",'13 Effectiveness Review'!$X$6:$X$155,"&lt;&gt;Closed — Effective",'13 Effectiveness Review'!$X$6:$X$155,"&lt;&gt;Closed — N/A")</x:f>
        <x:v>0</x:v>
      </x:c>
    </x:row>
    <x:row r="35">
      <x:c r="A35" s="14" t="str">
        <x:v>Engineering</x:v>
      </x:c>
      <x:c r="B35" s="14" t="n">
        <x:f>COUNTIFS('10 Training Requests'!$D$6:$D$105,$A35,'10 Training Requests'!$A$6:$A$105,"&lt;&gt;")</x:f>
        <x:v>0</x:v>
      </x:c>
      <x:c r="C35" s="14" t="n">
        <x:f>COUNTIFS('10 Training Requests'!$D$6:$D$105,$A35,'10 Training Requests'!$Y$6:$Y$105,"Approved")</x:f>
        <x:v>0</x:v>
      </x:c>
      <x:c r="D35" s="14" t="n">
        <x:f>COUNTIFS('11 Training Attendance'!$G$6:$G$155,$A35,'11 Training Attendance'!$K$6:$K$155,"Attended")</x:f>
        <x:v>0</x:v>
      </x:c>
      <x:c r="E35" s="67" t="n">
        <x:f>IFERROR(COUNTIFS('12 Training Evaluation'!$E$6:$E$155,$A35,'12 Training Evaluation'!$W$6:$W$155,"Complete")/D35,0)</x:f>
        <x:v>0</x:v>
      </x:c>
      <x:c r="F35" s="131" t="n">
        <x:f>IFERROR(SUMIFS('12 Training Evaluation'!$O$6:$O$155,'12 Training Evaluation'!$E$6:$E$155,$A35)/COUNTIFS('12 Training Evaluation'!$E$6:$E$155,$A35,'12 Training Evaluation'!$W$6:$W$155,"Complete"),0)</x:f>
        <x:v>0</x:v>
      </x:c>
      <x:c r="G35" s="14" t="n">
        <x:f>COUNTIFS('13 Effectiveness Review'!$E$6:$E$155,$A35,'13 Effectiveness Review'!$A$6:$A$155,"&lt;&gt;")</x:f>
        <x:v>0</x:v>
      </x:c>
      <x:c r="H35" s="67" t="n">
        <x:f>IFERROR(COUNTIFS('13 Effectiveness Review'!$E$6:$E$155,$A35,'13 Effectiveness Review'!$X$6:$X$155,"Closed — Effective")/G35,0)</x:f>
        <x:v>0</x:v>
      </x:c>
      <x:c r="I35" s="131" t="n">
        <x:f>SUMIFS('13 Effectiveness Review'!$O$6:$O$155,'13 Effectiveness Review'!$E$6:$E$155,$A35)</x:f>
        <x:v>0</x:v>
      </x:c>
      <x:c r="J35" s="131" t="n">
        <x:f>SUMIFS('11 Training Attendance'!$L$6:$L$155,'11 Training Attendance'!$G$6:$G$155,$A35,'11 Training Attendance'!$K$6:$K$155,"Attended")</x:f>
        <x:v>0</x:v>
      </x:c>
      <x:c r="K35" s="14" t="n">
        <x:f>COUNTIFS('11 Training Attendance'!$G$6:$G$155,$A35,'11 Training Attendance'!$R$6:$R$155,"&lt;&gt;")</x:f>
        <x:v>0</x:v>
      </x:c>
      <x:c r="L35" s="14" t="n">
        <x:f>COUNTIFS('13 Effectiveness Review'!$E$6:$E$155,$A35,'13 Effectiveness Review'!$A$6:$A$155,"&lt;&gt;",'13 Effectiveness Review'!$X$6:$X$155,"&lt;&gt;Closed — Effective",'13 Effectiveness Review'!$X$6:$X$155,"&lt;&gt;Closed — N/A")</x:f>
        <x:v>0</x:v>
      </x:c>
    </x:row>
    <x:row r="36">
      <x:c r="A36" s="14" t="str">
        <x:v>QAC/R&amp;D</x:v>
      </x:c>
      <x:c r="B36" s="14" t="n">
        <x:f>COUNTIFS('10 Training Requests'!$D$6:$D$105,$A36,'10 Training Requests'!$A$6:$A$105,"&lt;&gt;")</x:f>
        <x:v>0</x:v>
      </x:c>
      <x:c r="C36" s="14" t="n">
        <x:f>COUNTIFS('10 Training Requests'!$D$6:$D$105,$A36,'10 Training Requests'!$Y$6:$Y$105,"Approved")</x:f>
        <x:v>0</x:v>
      </x:c>
      <x:c r="D36" s="14" t="n">
        <x:f>COUNTIFS('11 Training Attendance'!$G$6:$G$155,$A36,'11 Training Attendance'!$K$6:$K$155,"Attended")</x:f>
        <x:v>0</x:v>
      </x:c>
      <x:c r="E36" s="67" t="n">
        <x:f>IFERROR(COUNTIFS('12 Training Evaluation'!$E$6:$E$155,$A36,'12 Training Evaluation'!$W$6:$W$155,"Complete")/D36,0)</x:f>
        <x:v>0</x:v>
      </x:c>
      <x:c r="F36" s="131" t="n">
        <x:f>IFERROR(SUMIFS('12 Training Evaluation'!$O$6:$O$155,'12 Training Evaluation'!$E$6:$E$155,$A36)/COUNTIFS('12 Training Evaluation'!$E$6:$E$155,$A36,'12 Training Evaluation'!$W$6:$W$155,"Complete"),0)</x:f>
        <x:v>0</x:v>
      </x:c>
      <x:c r="G36" s="14" t="n">
        <x:f>COUNTIFS('13 Effectiveness Review'!$E$6:$E$155,$A36,'13 Effectiveness Review'!$A$6:$A$155,"&lt;&gt;")</x:f>
        <x:v>0</x:v>
      </x:c>
      <x:c r="H36" s="67" t="n">
        <x:f>IFERROR(COUNTIFS('13 Effectiveness Review'!$E$6:$E$155,$A36,'13 Effectiveness Review'!$X$6:$X$155,"Closed — Effective")/G36,0)</x:f>
        <x:v>0</x:v>
      </x:c>
      <x:c r="I36" s="131" t="n">
        <x:f>SUMIFS('13 Effectiveness Review'!$O$6:$O$155,'13 Effectiveness Review'!$E$6:$E$155,$A36)</x:f>
        <x:v>0</x:v>
      </x:c>
      <x:c r="J36" s="131" t="n">
        <x:f>SUMIFS('11 Training Attendance'!$L$6:$L$155,'11 Training Attendance'!$G$6:$G$155,$A36,'11 Training Attendance'!$K$6:$K$155,"Attended")</x:f>
        <x:v>0</x:v>
      </x:c>
      <x:c r="K36" s="14" t="n">
        <x:f>COUNTIFS('11 Training Attendance'!$G$6:$G$155,$A36,'11 Training Attendance'!$R$6:$R$155,"&lt;&gt;")</x:f>
        <x:v>0</x:v>
      </x:c>
      <x:c r="L36" s="14" t="n">
        <x:f>COUNTIFS('13 Effectiveness Review'!$E$6:$E$155,$A36,'13 Effectiveness Review'!$A$6:$A$155,"&lt;&gt;",'13 Effectiveness Review'!$X$6:$X$155,"&lt;&gt;Closed — Effective",'13 Effectiveness Review'!$X$6:$X$155,"&lt;&gt;Closed — N/A")</x:f>
        <x:v>0</x:v>
      </x:c>
    </x:row>
    <x:row r="37">
      <x:c r="A37" s="14" t="str">
        <x:v>Planning</x:v>
      </x:c>
      <x:c r="B37" s="14" t="n">
        <x:f>COUNTIFS('10 Training Requests'!$D$6:$D$105,$A37,'10 Training Requests'!$A$6:$A$105,"&lt;&gt;")</x:f>
        <x:v>0</x:v>
      </x:c>
      <x:c r="C37" s="14" t="n">
        <x:f>COUNTIFS('10 Training Requests'!$D$6:$D$105,$A37,'10 Training Requests'!$Y$6:$Y$105,"Approved")</x:f>
        <x:v>0</x:v>
      </x:c>
      <x:c r="D37" s="14" t="n">
        <x:f>COUNTIFS('11 Training Attendance'!$G$6:$G$155,$A37,'11 Training Attendance'!$K$6:$K$155,"Attended")</x:f>
        <x:v>0</x:v>
      </x:c>
      <x:c r="E37" s="67" t="n">
        <x:f>IFERROR(COUNTIFS('12 Training Evaluation'!$E$6:$E$155,$A37,'12 Training Evaluation'!$W$6:$W$155,"Complete")/D37,0)</x:f>
        <x:v>0</x:v>
      </x:c>
      <x:c r="F37" s="131" t="n">
        <x:f>IFERROR(SUMIFS('12 Training Evaluation'!$O$6:$O$155,'12 Training Evaluation'!$E$6:$E$155,$A37)/COUNTIFS('12 Training Evaluation'!$E$6:$E$155,$A37,'12 Training Evaluation'!$W$6:$W$155,"Complete"),0)</x:f>
        <x:v>0</x:v>
      </x:c>
      <x:c r="G37" s="14" t="n">
        <x:f>COUNTIFS('13 Effectiveness Review'!$E$6:$E$155,$A37,'13 Effectiveness Review'!$A$6:$A$155,"&lt;&gt;")</x:f>
        <x:v>0</x:v>
      </x:c>
      <x:c r="H37" s="67" t="n">
        <x:f>IFERROR(COUNTIFS('13 Effectiveness Review'!$E$6:$E$155,$A37,'13 Effectiveness Review'!$X$6:$X$155,"Closed — Effective")/G37,0)</x:f>
        <x:v>0</x:v>
      </x:c>
      <x:c r="I37" s="131" t="n">
        <x:f>SUMIFS('13 Effectiveness Review'!$O$6:$O$155,'13 Effectiveness Review'!$E$6:$E$155,$A37)</x:f>
        <x:v>0</x:v>
      </x:c>
      <x:c r="J37" s="131" t="n">
        <x:f>SUMIFS('11 Training Attendance'!$L$6:$L$155,'11 Training Attendance'!$G$6:$G$155,$A37,'11 Training Attendance'!$K$6:$K$155,"Attended")</x:f>
        <x:v>0</x:v>
      </x:c>
      <x:c r="K37" s="14" t="n">
        <x:f>COUNTIFS('11 Training Attendance'!$G$6:$G$155,$A37,'11 Training Attendance'!$R$6:$R$155,"&lt;&gt;")</x:f>
        <x:v>0</x:v>
      </x:c>
      <x:c r="L37" s="14" t="n">
        <x:f>COUNTIFS('13 Effectiveness Review'!$E$6:$E$155,$A37,'13 Effectiveness Review'!$A$6:$A$155,"&lt;&gt;",'13 Effectiveness Review'!$X$6:$X$155,"&lt;&gt;Closed — Effective",'13 Effectiveness Review'!$X$6:$X$155,"&lt;&gt;Closed — N/A")</x:f>
        <x:v>0</x:v>
      </x:c>
    </x:row>
    <x:row r="38">
      <x:c r="A38" s="14" t="str">
        <x:v>IT</x:v>
      </x:c>
      <x:c r="B38" s="14" t="n">
        <x:f>COUNTIFS('10 Training Requests'!$D$6:$D$105,$A38,'10 Training Requests'!$A$6:$A$105,"&lt;&gt;")</x:f>
        <x:v>0</x:v>
      </x:c>
      <x:c r="C38" s="14" t="n">
        <x:f>COUNTIFS('10 Training Requests'!$D$6:$D$105,$A38,'10 Training Requests'!$Y$6:$Y$105,"Approved")</x:f>
        <x:v>0</x:v>
      </x:c>
      <x:c r="D38" s="14" t="n">
        <x:f>COUNTIFS('11 Training Attendance'!$G$6:$G$155,$A38,'11 Training Attendance'!$K$6:$K$155,"Attended")</x:f>
        <x:v>0</x:v>
      </x:c>
      <x:c r="E38" s="67" t="n">
        <x:f>IFERROR(COUNTIFS('12 Training Evaluation'!$E$6:$E$155,$A38,'12 Training Evaluation'!$W$6:$W$155,"Complete")/D38,0)</x:f>
        <x:v>0</x:v>
      </x:c>
      <x:c r="F38" s="131" t="n">
        <x:f>IFERROR(SUMIFS('12 Training Evaluation'!$O$6:$O$155,'12 Training Evaluation'!$E$6:$E$155,$A38)/COUNTIFS('12 Training Evaluation'!$E$6:$E$155,$A38,'12 Training Evaluation'!$W$6:$W$155,"Complete"),0)</x:f>
        <x:v>0</x:v>
      </x:c>
      <x:c r="G38" s="14" t="n">
        <x:f>COUNTIFS('13 Effectiveness Review'!$E$6:$E$155,$A38,'13 Effectiveness Review'!$A$6:$A$155,"&lt;&gt;")</x:f>
        <x:v>0</x:v>
      </x:c>
      <x:c r="H38" s="67" t="n">
        <x:f>IFERROR(COUNTIFS('13 Effectiveness Review'!$E$6:$E$155,$A38,'13 Effectiveness Review'!$X$6:$X$155,"Closed — Effective")/G38,0)</x:f>
        <x:v>0</x:v>
      </x:c>
      <x:c r="I38" s="131" t="n">
        <x:f>SUMIFS('13 Effectiveness Review'!$O$6:$O$155,'13 Effectiveness Review'!$E$6:$E$155,$A38)</x:f>
        <x:v>0</x:v>
      </x:c>
      <x:c r="J38" s="131" t="n">
        <x:f>SUMIFS('11 Training Attendance'!$L$6:$L$155,'11 Training Attendance'!$G$6:$G$155,$A38,'11 Training Attendance'!$K$6:$K$155,"Attended")</x:f>
        <x:v>0</x:v>
      </x:c>
      <x:c r="K38" s="14" t="n">
        <x:f>COUNTIFS('11 Training Attendance'!$G$6:$G$155,$A38,'11 Training Attendance'!$R$6:$R$155,"&lt;&gt;")</x:f>
        <x:v>0</x:v>
      </x:c>
      <x:c r="L38" s="14" t="n">
        <x:f>COUNTIFS('13 Effectiveness Review'!$E$6:$E$155,$A38,'13 Effectiveness Review'!$A$6:$A$155,"&lt;&gt;",'13 Effectiveness Review'!$X$6:$X$155,"&lt;&gt;Closed — Effective",'13 Effectiveness Review'!$X$6:$X$155,"&lt;&gt;Closed — N/A")</x:f>
        <x:v>0</x:v>
      </x:c>
    </x:row>
    <x:row r="40" ht="32" customHeight="1">
      <x:c r="A40" s="123" t="str">
        <x:v>Training closure rule: participant evaluation + workplace effectiveness evidence + verified post-training assessment. Course completion alone does not close the skill gap.</x:v>
      </x:c>
      <x:c r="B40" s="123"/>
      <x:c r="C40" s="123"/>
      <x:c r="D40" s="123"/>
      <x:c r="E40" s="123"/>
      <x:c r="F40" s="123"/>
      <x:c r="G40" s="123"/>
      <x:c r="H40" s="123"/>
      <x:c r="I40" s="123"/>
      <x:c r="J40" s="123"/>
      <x:c r="K40" s="123"/>
      <x:c r="L40" s="123"/>
    </x:row>
  </x:sheetData>
  <x:mergeCells>
    <x:mergeCell ref="A1:L1"/>
    <x:mergeCell ref="A2:L2"/>
    <x:mergeCell ref="A10:L10"/>
    <x:mergeCell ref="A19:L19"/>
    <x:mergeCell ref="A29:L29"/>
    <x:mergeCell ref="A40:L40"/>
  </x:mergeCells>
  <x:conditionalFormatting sqref="B7:L7">
    <x:cfRule type="cellIs" dxfId="16" priority="1" operator="greaterThan">
      <x:formula>0</x:formula>
    </x:cfRule>
  </x:conditionalFormatting>
  <x:conditionalFormatting sqref="E12:E16">
    <x:cfRule type="colorScale" priority="2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conditionalFormatting sqref="G12:G16">
    <x:cfRule type="colorScale" priority="3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conditionalFormatting sqref="H12:L16">
    <x:cfRule type="cellIs" dxfId="17" priority="4" operator="greaterThan">
      <x:formula>0</x:formula>
    </x:cfRule>
  </x:conditionalFormatting>
  <x:conditionalFormatting sqref="B30:L30">
    <x:cfRule type="cellIs" dxfId="27" priority="5" operator="greaterThan">
      <x:formula>0</x:formula>
    </x:cfRule>
  </x:conditionalFormatting>
  <x:conditionalFormatting sqref="E34:F38">
    <x:cfRule type="colorScale" priority="6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conditionalFormatting sqref="H34:H38">
    <x:cfRule type="colorScale" priority="7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conditionalFormatting sqref="L34:L38">
    <x:cfRule type="cellIs" dxfId="28" priority="8" operator="greaterThan">
      <x:formula>0</x:formula>
    </x:cfRule>
  </x:conditionalFormatting>
  <x:dataValidations count="1">
    <x:dataValidation type="list" sqref="F21:F26">
      <x:formula1>"Open,In Progress,Closed,Not Applicable"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5" hidden="0" customWidth="1"/>
    <x:col min="16" max="16" width="12" hidden="0" customWidth="1"/>
    <x:col min="17" max="17" width="42" hidden="0" customWidth="1"/>
  </x:cols>
  <x:sheetData>
    <x:row r="1" ht="30" customHeight="1">
      <x:c r="A1" s="3" t="str">
        <x:v>08 — HOD Batch Skill Matrix Template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6" customHeight="1">
      <x:c r="A2" s="7" t="str">
        <x:v>Optional working form for one Department + Position + Tier. Enter up to 12 Skill IDs and staff scores. Transfer each verified staff-skill result to 04 Assessment Log, which remains the official history.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 ht="26" customHeight="1">
      <x:c r="A4" s="39" t="str">
        <x:v>Department</x:v>
      </x:c>
      <x:c r="B4" s="41" t="str">
        <x:v>Production</x:v>
      </x:c>
      <x:c r="C4" s="38"/>
      <x:c r="D4" s="40" t="str">
        <x:v>Position</x:v>
      </x:c>
      <x:c r="E4" s="41" t="str">
        <x:v>Coating Operator</x:v>
      </x:c>
      <x:c r="F4" s="38"/>
      <x:c r="G4" s="40" t="str">
        <x:v>Tier</x:v>
      </x:c>
      <x:c r="H4" s="41" t="str">
        <x:v>Operator/Technician</x:v>
      </x:c>
      <x:c r="I4" s="38"/>
      <x:c r="J4" s="40" t="str">
        <x:v>Assessment Date</x:v>
      </x:c>
      <x:c r="K4" s="42" t="n">
        <x:v>46264</x:v>
      </x:c>
      <x:c r="L4" s="38"/>
      <x:c r="M4" s="40" t="str">
        <x:v>Assessor</x:v>
      </x:c>
      <x:c r="N4" s="41" t="str"/>
      <x:c r="O4" s="35"/>
      <x:c r="P4" s="35"/>
      <x:c r="Q4" s="36"/>
    </x:row>
    <x:row r="6" ht="34" customHeight="1">
      <x:c r="A6" s="13" t="str">
        <x:v>Staff ID</x:v>
      </x:c>
      <x:c r="B6" s="13" t="str">
        <x:v>Staff Name</x:v>
      </x:c>
      <x:c r="C6" s="13" t="str">
        <x:v>Skill 1</x:v>
      </x:c>
      <x:c r="D6" s="13" t="str">
        <x:v>Skill 2</x:v>
      </x:c>
      <x:c r="E6" s="13" t="str">
        <x:v>Skill 3</x:v>
      </x:c>
      <x:c r="F6" s="13" t="str">
        <x:v>Skill 4</x:v>
      </x:c>
      <x:c r="G6" s="13" t="str">
        <x:v>Skill 5</x:v>
      </x:c>
      <x:c r="H6" s="13" t="str">
        <x:v>Skill 6</x:v>
      </x:c>
      <x:c r="I6" s="13" t="str">
        <x:v>Skill 7</x:v>
      </x:c>
      <x:c r="J6" s="13" t="str">
        <x:v>Skill 8</x:v>
      </x:c>
      <x:c r="K6" s="13" t="str">
        <x:v>Skill 9</x:v>
      </x:c>
      <x:c r="L6" s="13" t="str">
        <x:v>Skill 10</x:v>
      </x:c>
      <x:c r="M6" s="13" t="str">
        <x:v>Skill 11</x:v>
      </x:c>
      <x:c r="N6" s="13" t="str">
        <x:v>Skill 12</x:v>
      </x:c>
      <x:c r="O6" s="13" t="str">
        <x:v>Achievement %</x:v>
      </x:c>
      <x:c r="P6" s="13" t="str">
        <x:v>Gap Count</x:v>
      </x:c>
      <x:c r="Q6" s="13" t="str">
        <x:v>Assessor Notes</x:v>
      </x:c>
    </x:row>
    <x:row r="7" ht="34" customHeight="1">
      <x:c r="A7" s="44" t="str">
        <x:v>Skill ID</x:v>
      </x:c>
      <x:c r="B7" s="44"/>
      <x:c r="C7" s="47" t="str">
        <x:v>CORE-SAF-001</x:v>
      </x:c>
      <x:c r="D7" s="47" t="str">
        <x:v>CORE-QUAL-001</x:v>
      </x:c>
      <x:c r="E7" s="47" t="str">
        <x:v>CORE-DATA-001</x:v>
      </x:c>
      <x:c r="F7" s="47" t="str">
        <x:v>PROD-COAT-001</x:v>
      </x:c>
      <x:c r="G7" s="47" t="str">
        <x:v>PROD-COAT-002</x:v>
      </x:c>
      <x:c r="H7" s="47" t="str">
        <x:v>PROD-PROC-003</x:v>
      </x:c>
      <x:c r="I7" s="47" t="str">
        <x:v>PROD-GLUE-004</x:v>
      </x:c>
      <x:c r="J7" s="47" t="str">
        <x:v>PROD-DEF-005</x:v>
      </x:c>
      <x:c r="K7" s="47" t="str"/>
      <x:c r="L7" s="47" t="str"/>
      <x:c r="M7" s="47" t="str"/>
      <x:c r="N7" s="47" t="str"/>
    </x:row>
    <x:row r="8">
      <x:c r="A8" s="44" t="str">
        <x:v>Required Level</x:v>
      </x:c>
      <x:c r="B8" s="44"/>
      <x:c r="C8" s="50" t="n">
        <x:f>IF(C7="","",IFERROR(VLOOKUP($B$4&amp;"|"&amp;$E$4&amp;"|"&amp;C7,'03 Position Requirements'!$A$6:$R$285,10,FALSE),"N/A"))</x:f>
        <x:v>3</x:v>
      </x:c>
      <x:c r="D8" s="50" t="n">
        <x:f>IF(D7="","",IFERROR(VLOOKUP($B$4&amp;"|"&amp;$E$4&amp;"|"&amp;D7,'03 Position Requirements'!$A$6:$R$285,10,FALSE),"N/A"))</x:f>
        <x:v>3</x:v>
      </x:c>
      <x:c r="E8" s="50" t="n">
        <x:f>IF(E7="","",IFERROR(VLOOKUP($B$4&amp;"|"&amp;$E$4&amp;"|"&amp;E7,'03 Position Requirements'!$A$6:$R$285,10,FALSE),"N/A"))</x:f>
        <x:v>3</x:v>
      </x:c>
      <x:c r="F8" s="50" t="n">
        <x:f>IF(F7="","",IFERROR(VLOOKUP($B$4&amp;"|"&amp;$E$4&amp;"|"&amp;F7,'03 Position Requirements'!$A$6:$R$285,10,FALSE),"N/A"))</x:f>
        <x:v>3</x:v>
      </x:c>
      <x:c r="G8" s="50" t="n">
        <x:f>IF(G7="","",IFERROR(VLOOKUP($B$4&amp;"|"&amp;$E$4&amp;"|"&amp;G7,'03 Position Requirements'!$A$6:$R$285,10,FALSE),"N/A"))</x:f>
        <x:v>3</x:v>
      </x:c>
      <x:c r="H8" s="50" t="n">
        <x:f>IF(H7="","",IFERROR(VLOOKUP($B$4&amp;"|"&amp;$E$4&amp;"|"&amp;H7,'03 Position Requirements'!$A$6:$R$285,10,FALSE),"N/A"))</x:f>
        <x:v>3</x:v>
      </x:c>
      <x:c r="I8" s="50" t="n">
        <x:f>IF(I7="","",IFERROR(VLOOKUP($B$4&amp;"|"&amp;$E$4&amp;"|"&amp;I7,'03 Position Requirements'!$A$6:$R$285,10,FALSE),"N/A"))</x:f>
        <x:v>3</x:v>
      </x:c>
      <x:c r="J8" s="50" t="n">
        <x:f>IF(J7="","",IFERROR(VLOOKUP($B$4&amp;"|"&amp;$E$4&amp;"|"&amp;J7,'03 Position Requirements'!$A$6:$R$285,10,FALSE),"N/A"))</x:f>
        <x:v>3</x:v>
      </x:c>
      <x:c r="K8" s="50" t="str">
        <x:f>IF(K7="","",IFERROR(VLOOKUP($B$4&amp;"|"&amp;$E$4&amp;"|"&amp;K7,'03 Position Requirements'!$A$6:$R$285,10,FALSE),"N/A"))</x:f>
      </x:c>
      <x:c r="L8" s="50" t="str">
        <x:f>IF(L7="","",IFERROR(VLOOKUP($B$4&amp;"|"&amp;$E$4&amp;"|"&amp;L7,'03 Position Requirements'!$A$6:$R$285,10,FALSE),"N/A"))</x:f>
      </x:c>
      <x:c r="M8" s="50" t="str">
        <x:f>IF(M7="","",IFERROR(VLOOKUP($B$4&amp;"|"&amp;$E$4&amp;"|"&amp;M7,'03 Position Requirements'!$A$6:$R$285,10,FALSE),"N/A"))</x:f>
      </x:c>
      <x:c r="N8" s="50" t="str">
        <x:f>IF(N7="","",IFERROR(VLOOKUP($B$4&amp;"|"&amp;$E$4&amp;"|"&amp;N7,'03 Position Requirements'!$A$6:$R$285,10,FALSE),"N/A"))</x:f>
      </x:c>
    </x:row>
    <x:row r="9" ht="54" customHeight="1">
      <x:c r="A9" s="44" t="str">
        <x:v>Skill Name</x:v>
      </x:c>
      <x:c r="B9" s="44"/>
      <x:c r="C9" s="50" t="str">
        <x:f>IF(C7="","",IFERROR(VLOOKUP(C7,'02 Skill Catalogue'!$A$6:$K$95,4,FALSE),"Skill not found"))</x:f>
        <x:v>Safe work, PPE and hazard control</x:v>
      </x:c>
      <x:c r="D9" s="50" t="str">
        <x:f>IF(D7="","",IFERROR(VLOOKUP(D7,'02 Skill Catalogue'!$A$6:$K$95,4,FALSE),"Skill not found"))</x:f>
        <x:v>SOP and work-instruction discipline</x:v>
      </x:c>
      <x:c r="E9" s="50" t="str">
        <x:f>IF(E7="","",IFERROR(VLOOKUP(E7,'02 Skill Catalogue'!$A$6:$K$95,4,FALSE),"Skill not found"))</x:f>
        <x:v>Accurate operational data recording</x:v>
      </x:c>
      <x:c r="F9" s="50" t="str">
        <x:f>IF(F7="","",IFERROR(VLOOKUP(F7,'02 Skill Catalogue'!$A$6:$K$95,4,FALSE),"Skill not found"))</x:f>
        <x:v>Job order and product specification interpretation</x:v>
      </x:c>
      <x:c r="G9" s="50" t="str">
        <x:f>IF(G7="","",IFERROR(VLOOKUP(G7,'02 Skill Catalogue'!$A$6:$K$95,4,FALSE),"Skill not found"))</x:f>
        <x:v>Coating line setup and operation</x:v>
      </x:c>
      <x:c r="H9" s="50" t="str">
        <x:f>IF(H7="","",IFERROR(VLOOKUP(H7,'02 Skill Catalogue'!$A$6:$K$95,4,FALSE),"Skill not found"))</x:f>
        <x:v>Process parameter control</x:v>
      </x:c>
      <x:c r="I9" s="50" t="str">
        <x:f>IF(I7="","",IFERROR(VLOOKUP(I7,'02 Skill Catalogue'!$A$6:$K$95,4,FALSE),"Skill not found"))</x:f>
        <x:v>Adhesive handling and batch verification</x:v>
      </x:c>
      <x:c r="J9" s="50" t="str">
        <x:f>IF(J7="","",IFERROR(VLOOKUP(J7,'02 Skill Catalogue'!$A$6:$K$95,4,FALSE),"Skill not found"))</x:f>
        <x:v>Tape defect recognition and containment</x:v>
      </x:c>
      <x:c r="K9" s="50" t="str">
        <x:f>IF(K7="","",IFERROR(VLOOKUP(K7,'02 Skill Catalogue'!$A$6:$K$95,4,FALSE),"Skill not found"))</x:f>
      </x:c>
      <x:c r="L9" s="50" t="str">
        <x:f>IF(L7="","",IFERROR(VLOOKUP(L7,'02 Skill Catalogue'!$A$6:$K$95,4,FALSE),"Skill not found"))</x:f>
      </x:c>
      <x:c r="M9" s="50" t="str">
        <x:f>IF(M7="","",IFERROR(VLOOKUP(M7,'02 Skill Catalogue'!$A$6:$K$95,4,FALSE),"Skill not found"))</x:f>
      </x:c>
      <x:c r="N9" s="50" t="str">
        <x:f>IF(N7="","",IFERROR(VLOOKUP(N7,'02 Skill Catalogue'!$A$6:$K$95,4,FALSE),"Skill not found"))</x:f>
      </x:c>
    </x:row>
    <x:row r="10" ht="34" customHeight="1">
      <x:c r="A10" s="13" t="str">
        <x:v>Staff ID</x:v>
      </x:c>
      <x:c r="B10" s="13" t="str">
        <x:v>Staff Name</x:v>
      </x:c>
      <x:c r="C10" s="13" t="str">
        <x:v>L1</x:v>
      </x:c>
      <x:c r="D10" s="13" t="str">
        <x:v>L2</x:v>
      </x:c>
      <x:c r="E10" s="13" t="str">
        <x:v>L3</x:v>
      </x:c>
      <x:c r="F10" s="13" t="str">
        <x:v>L4</x:v>
      </x:c>
      <x:c r="G10" s="13" t="str">
        <x:v>L5</x:v>
      </x:c>
      <x:c r="H10" s="13" t="str">
        <x:v>L6</x:v>
      </x:c>
      <x:c r="I10" s="13" t="str">
        <x:v>L7</x:v>
      </x:c>
      <x:c r="J10" s="13" t="str">
        <x:v>L8</x:v>
      </x:c>
      <x:c r="K10" s="13" t="str">
        <x:v>L9</x:v>
      </x:c>
      <x:c r="L10" s="13" t="str">
        <x:v>L10</x:v>
      </x:c>
      <x:c r="M10" s="13" t="str">
        <x:v>L11</x:v>
      </x:c>
      <x:c r="N10" s="13" t="str">
        <x:v>L12</x:v>
      </x:c>
      <x:c r="O10" s="13" t="str">
        <x:v>Achievement %</x:v>
      </x:c>
      <x:c r="P10" s="13" t="str">
        <x:v>Gap Count</x:v>
      </x:c>
      <x:c r="Q10" s="13" t="str">
        <x:v>Evidence / Notes</x:v>
      </x:c>
    </x:row>
    <x:row r="11">
      <x:c r="A11" s="24"/>
      <x:c r="B11" s="25" t="str">
        <x:f>IF(A11="","",IFERROR(VLOOKUP(A11,'01 Staff Master'!$A$6:$M$105,2,FALSE),"Staff ID not found"))</x:f>
      </x:c>
      <x:c r="C11" s="24"/>
      <x:c r="D11" s="24"/>
      <x:c r="E11" s="24"/>
      <x:c r="F11" s="24"/>
      <x:c r="G11" s="24"/>
      <x:c r="H11" s="24"/>
      <x:c r="I11" s="24"/>
      <x:c r="J11" s="24"/>
      <x:c r="K11" s="24"/>
      <x:c r="L11" s="24"/>
      <x:c r="M11" s="24"/>
      <x:c r="N11" s="24"/>
      <x:c r="O11" s="51" t="str">
        <x:f>IF(COUNT(C11:N11)=0,"",IFERROR(MIN(1,SUM(C11:N11)/SUMPRODUCT(--(C11:N11&lt;&gt;""),C$8:N$8)),0))</x:f>
      </x:c>
      <x:c r="P11" s="25" t="str">
        <x:f>IF(COUNT(C11:N11)=0,"",SUMPRODUCT(--(C11:N11&lt;&gt;""),--(C11:N11&lt;C$8:N$8)))</x:f>
      </x:c>
      <x:c r="Q11" s="27"/>
    </x:row>
    <x:row r="12">
      <x:c r="A12" s="24"/>
      <x:c r="B12" s="25" t="str">
        <x:f>IF(A12="","",IFERROR(VLOOKUP(A12,'01 Staff Master'!$A$6:$M$105,2,FALSE),"Staff ID not found"))</x:f>
      </x:c>
      <x:c r="C12" s="24"/>
      <x:c r="D12" s="24"/>
      <x:c r="E12" s="24"/>
      <x:c r="F12" s="24"/>
      <x:c r="G12" s="24"/>
      <x:c r="H12" s="24"/>
      <x:c r="I12" s="24"/>
      <x:c r="J12" s="24"/>
      <x:c r="K12" s="24"/>
      <x:c r="L12" s="24"/>
      <x:c r="M12" s="24"/>
      <x:c r="N12" s="24"/>
      <x:c r="O12" s="51" t="str">
        <x:f>IF(COUNT(C12:N12)=0,"",IFERROR(MIN(1,SUM(C12:N12)/SUMPRODUCT(--(C12:N12&lt;&gt;""),C$8:N$8)),0))</x:f>
      </x:c>
      <x:c r="P12" s="25" t="str">
        <x:f>IF(COUNT(C12:N12)=0,"",SUMPRODUCT(--(C12:N12&lt;&gt;""),--(C12:N12&lt;C$8:N$8)))</x:f>
      </x:c>
      <x:c r="Q12" s="27"/>
    </x:row>
    <x:row r="13">
      <x:c r="A13" s="24"/>
      <x:c r="B13" s="25" t="str">
        <x:f>IF(A13="","",IFERROR(VLOOKUP(A13,'01 Staff Master'!$A$6:$M$105,2,FALSE),"Staff ID not found"))</x:f>
      </x:c>
      <x:c r="C13" s="24"/>
      <x:c r="D13" s="24"/>
      <x:c r="E13" s="24"/>
      <x:c r="F13" s="24"/>
      <x:c r="G13" s="24"/>
      <x:c r="H13" s="24"/>
      <x:c r="I13" s="24"/>
      <x:c r="J13" s="24"/>
      <x:c r="K13" s="24"/>
      <x:c r="L13" s="24"/>
      <x:c r="M13" s="24"/>
      <x:c r="N13" s="24"/>
      <x:c r="O13" s="51" t="str">
        <x:f>IF(COUNT(C13:N13)=0,"",IFERROR(MIN(1,SUM(C13:N13)/SUMPRODUCT(--(C13:N13&lt;&gt;""),C$8:N$8)),0))</x:f>
      </x:c>
      <x:c r="P13" s="25" t="str">
        <x:f>IF(COUNT(C13:N13)=0,"",SUMPRODUCT(--(C13:N13&lt;&gt;""),--(C13:N13&lt;C$8:N$8)))</x:f>
      </x:c>
      <x:c r="Q13" s="27"/>
    </x:row>
    <x:row r="14">
      <x:c r="A14" s="24"/>
      <x:c r="B14" s="25" t="str">
        <x:f>IF(A14="","",IFERROR(VLOOKUP(A14,'01 Staff Master'!$A$6:$M$105,2,FALSE),"Staff ID not found"))</x:f>
      </x:c>
      <x:c r="C14" s="24"/>
      <x:c r="D14" s="24"/>
      <x:c r="E14" s="24"/>
      <x:c r="F14" s="24"/>
      <x:c r="G14" s="24"/>
      <x:c r="H14" s="24"/>
      <x:c r="I14" s="24"/>
      <x:c r="J14" s="24"/>
      <x:c r="K14" s="24"/>
      <x:c r="L14" s="24"/>
      <x:c r="M14" s="24"/>
      <x:c r="N14" s="24"/>
      <x:c r="O14" s="51" t="str">
        <x:f>IF(COUNT(C14:N14)=0,"",IFERROR(MIN(1,SUM(C14:N14)/SUMPRODUCT(--(C14:N14&lt;&gt;""),C$8:N$8)),0))</x:f>
      </x:c>
      <x:c r="P14" s="25" t="str">
        <x:f>IF(COUNT(C14:N14)=0,"",SUMPRODUCT(--(C14:N14&lt;&gt;""),--(C14:N14&lt;C$8:N$8)))</x:f>
      </x:c>
      <x:c r="Q14" s="27"/>
    </x:row>
    <x:row r="15">
      <x:c r="A15" s="24"/>
      <x:c r="B15" s="25" t="str">
        <x:f>IF(A15="","",IFERROR(VLOOKUP(A15,'01 Staff Master'!$A$6:$M$105,2,FALSE),"Staff ID not found"))</x:f>
      </x:c>
      <x:c r="C15" s="24"/>
      <x:c r="D15" s="24"/>
      <x:c r="E15" s="24"/>
      <x:c r="F15" s="24"/>
      <x:c r="G15" s="24"/>
      <x:c r="H15" s="24"/>
      <x:c r="I15" s="24"/>
      <x:c r="J15" s="24"/>
      <x:c r="K15" s="24"/>
      <x:c r="L15" s="24"/>
      <x:c r="M15" s="24"/>
      <x:c r="N15" s="24"/>
      <x:c r="O15" s="51" t="str">
        <x:f>IF(COUNT(C15:N15)=0,"",IFERROR(MIN(1,SUM(C15:N15)/SUMPRODUCT(--(C15:N15&lt;&gt;""),C$8:N$8)),0))</x:f>
      </x:c>
      <x:c r="P15" s="25" t="str">
        <x:f>IF(COUNT(C15:N15)=0,"",SUMPRODUCT(--(C15:N15&lt;&gt;""),--(C15:N15&lt;C$8:N$8)))</x:f>
      </x:c>
      <x:c r="Q15" s="27"/>
    </x:row>
    <x:row r="16">
      <x:c r="A16" s="24"/>
      <x:c r="B16" s="25" t="str">
        <x:f>IF(A16="","",IFERROR(VLOOKUP(A16,'01 Staff Master'!$A$6:$M$105,2,FALSE),"Staff ID not found"))</x:f>
      </x:c>
      <x:c r="C16" s="24"/>
      <x:c r="D16" s="24"/>
      <x:c r="E16" s="24"/>
      <x:c r="F16" s="24"/>
      <x:c r="G16" s="24"/>
      <x:c r="H16" s="24"/>
      <x:c r="I16" s="24"/>
      <x:c r="J16" s="24"/>
      <x:c r="K16" s="24"/>
      <x:c r="L16" s="24"/>
      <x:c r="M16" s="24"/>
      <x:c r="N16" s="24"/>
      <x:c r="O16" s="51" t="str">
        <x:f>IF(COUNT(C16:N16)=0,"",IFERROR(MIN(1,SUM(C16:N16)/SUMPRODUCT(--(C16:N16&lt;&gt;""),C$8:N$8)),0))</x:f>
      </x:c>
      <x:c r="P16" s="25" t="str">
        <x:f>IF(COUNT(C16:N16)=0,"",SUMPRODUCT(--(C16:N16&lt;&gt;""),--(C16:N16&lt;C$8:N$8)))</x:f>
      </x:c>
      <x:c r="Q16" s="27"/>
    </x:row>
    <x:row r="17">
      <x:c r="A17" s="24"/>
      <x:c r="B17" s="25" t="str">
        <x:f>IF(A17="","",IFERROR(VLOOKUP(A17,'01 Staff Master'!$A$6:$M$105,2,FALSE),"Staff ID not found"))</x:f>
      </x:c>
      <x:c r="C17" s="24"/>
      <x:c r="D17" s="24"/>
      <x:c r="E17" s="24"/>
      <x:c r="F17" s="24"/>
      <x:c r="G17" s="24"/>
      <x:c r="H17" s="24"/>
      <x:c r="I17" s="24"/>
      <x:c r="J17" s="24"/>
      <x:c r="K17" s="24"/>
      <x:c r="L17" s="24"/>
      <x:c r="M17" s="24"/>
      <x:c r="N17" s="24"/>
      <x:c r="O17" s="51" t="str">
        <x:f>IF(COUNT(C17:N17)=0,"",IFERROR(MIN(1,SUM(C17:N17)/SUMPRODUCT(--(C17:N17&lt;&gt;""),C$8:N$8)),0))</x:f>
      </x:c>
      <x:c r="P17" s="25" t="str">
        <x:f>IF(COUNT(C17:N17)=0,"",SUMPRODUCT(--(C17:N17&lt;&gt;""),--(C17:N17&lt;C$8:N$8)))</x:f>
      </x:c>
      <x:c r="Q17" s="27"/>
    </x:row>
    <x:row r="18">
      <x:c r="A18" s="24"/>
      <x:c r="B18" s="25" t="str">
        <x:f>IF(A18="","",IFERROR(VLOOKUP(A18,'01 Staff Master'!$A$6:$M$105,2,FALSE),"Staff ID not found"))</x:f>
      </x:c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  <x:c r="N18" s="24"/>
      <x:c r="O18" s="51" t="str">
        <x:f>IF(COUNT(C18:N18)=0,"",IFERROR(MIN(1,SUM(C18:N18)/SUMPRODUCT(--(C18:N18&lt;&gt;""),C$8:N$8)),0))</x:f>
      </x:c>
      <x:c r="P18" s="25" t="str">
        <x:f>IF(COUNT(C18:N18)=0,"",SUMPRODUCT(--(C18:N18&lt;&gt;""),--(C18:N18&lt;C$8:N$8)))</x:f>
      </x:c>
      <x:c r="Q18" s="27"/>
    </x:row>
    <x:row r="19">
      <x:c r="A19" s="24"/>
      <x:c r="B19" s="25" t="str">
        <x:f>IF(A19="","",IFERROR(VLOOKUP(A19,'01 Staff Master'!$A$6:$M$105,2,FALSE),"Staff ID not found"))</x:f>
      </x:c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24"/>
      <x:c r="O19" s="51" t="str">
        <x:f>IF(COUNT(C19:N19)=0,"",IFERROR(MIN(1,SUM(C19:N19)/SUMPRODUCT(--(C19:N19&lt;&gt;""),C$8:N$8)),0))</x:f>
      </x:c>
      <x:c r="P19" s="25" t="str">
        <x:f>IF(COUNT(C19:N19)=0,"",SUMPRODUCT(--(C19:N19&lt;&gt;""),--(C19:N19&lt;C$8:N$8)))</x:f>
      </x:c>
      <x:c r="Q19" s="27"/>
    </x:row>
    <x:row r="20">
      <x:c r="A20" s="24"/>
      <x:c r="B20" s="25" t="str">
        <x:f>IF(A20="","",IFERROR(VLOOKUP(A20,'01 Staff Master'!$A$6:$M$105,2,FALSE),"Staff ID not found"))</x:f>
      </x:c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  <x:c r="N20" s="24"/>
      <x:c r="O20" s="51" t="str">
        <x:f>IF(COUNT(C20:N20)=0,"",IFERROR(MIN(1,SUM(C20:N20)/SUMPRODUCT(--(C20:N20&lt;&gt;""),C$8:N$8)),0))</x:f>
      </x:c>
      <x:c r="P20" s="25" t="str">
        <x:f>IF(COUNT(C20:N20)=0,"",SUMPRODUCT(--(C20:N20&lt;&gt;""),--(C20:N20&lt;C$8:N$8)))</x:f>
      </x:c>
      <x:c r="Q20" s="27"/>
    </x:row>
    <x:row r="21">
      <x:c r="A21" s="24"/>
      <x:c r="B21" s="25" t="str">
        <x:f>IF(A21="","",IFERROR(VLOOKUP(A21,'01 Staff Master'!$A$6:$M$105,2,FALSE),"Staff ID not found"))</x:f>
      </x:c>
      <x:c r="C21" s="24"/>
      <x:c r="D21" s="24"/>
      <x:c r="E21" s="24"/>
      <x:c r="F21" s="24"/>
      <x:c r="G21" s="24"/>
      <x:c r="H21" s="24"/>
      <x:c r="I21" s="24"/>
      <x:c r="J21" s="24"/>
      <x:c r="K21" s="24"/>
      <x:c r="L21" s="24"/>
      <x:c r="M21" s="24"/>
      <x:c r="N21" s="24"/>
      <x:c r="O21" s="51" t="str">
        <x:f>IF(COUNT(C21:N21)=0,"",IFERROR(MIN(1,SUM(C21:N21)/SUMPRODUCT(--(C21:N21&lt;&gt;""),C$8:N$8)),0))</x:f>
      </x:c>
      <x:c r="P21" s="25" t="str">
        <x:f>IF(COUNT(C21:N21)=0,"",SUMPRODUCT(--(C21:N21&lt;&gt;""),--(C21:N21&lt;C$8:N$8)))</x:f>
      </x:c>
      <x:c r="Q21" s="27"/>
    </x:row>
    <x:row r="22">
      <x:c r="A22" s="24"/>
      <x:c r="B22" s="25" t="str">
        <x:f>IF(A22="","",IFERROR(VLOOKUP(A22,'01 Staff Master'!$A$6:$M$105,2,FALSE),"Staff ID not found"))</x:f>
      </x:c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  <x:c r="N22" s="24"/>
      <x:c r="O22" s="51" t="str">
        <x:f>IF(COUNT(C22:N22)=0,"",IFERROR(MIN(1,SUM(C22:N22)/SUMPRODUCT(--(C22:N22&lt;&gt;""),C$8:N$8)),0))</x:f>
      </x:c>
      <x:c r="P22" s="25" t="str">
        <x:f>IF(COUNT(C22:N22)=0,"",SUMPRODUCT(--(C22:N22&lt;&gt;""),--(C22:N22&lt;C$8:N$8)))</x:f>
      </x:c>
      <x:c r="Q22" s="27"/>
    </x:row>
    <x:row r="23">
      <x:c r="A23" s="24"/>
      <x:c r="B23" s="25" t="str">
        <x:f>IF(A23="","",IFERROR(VLOOKUP(A23,'01 Staff Master'!$A$6:$M$105,2,FALSE),"Staff ID not found"))</x:f>
      </x:c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  <x:c r="N23" s="24"/>
      <x:c r="O23" s="51" t="str">
        <x:f>IF(COUNT(C23:N23)=0,"",IFERROR(MIN(1,SUM(C23:N23)/SUMPRODUCT(--(C23:N23&lt;&gt;""),C$8:N$8)),0))</x:f>
      </x:c>
      <x:c r="P23" s="25" t="str">
        <x:f>IF(COUNT(C23:N23)=0,"",SUMPRODUCT(--(C23:N23&lt;&gt;""),--(C23:N23&lt;C$8:N$8)))</x:f>
      </x:c>
      <x:c r="Q23" s="27"/>
    </x:row>
    <x:row r="24">
      <x:c r="A24" s="24"/>
      <x:c r="B24" s="25" t="str">
        <x:f>IF(A24="","",IFERROR(VLOOKUP(A24,'01 Staff Master'!$A$6:$M$105,2,FALSE),"Staff ID not found"))</x:f>
      </x:c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  <x:c r="N24" s="24"/>
      <x:c r="O24" s="51" t="str">
        <x:f>IF(COUNT(C24:N24)=0,"",IFERROR(MIN(1,SUM(C24:N24)/SUMPRODUCT(--(C24:N24&lt;&gt;""),C$8:N$8)),0))</x:f>
      </x:c>
      <x:c r="P24" s="25" t="str">
        <x:f>IF(COUNT(C24:N24)=0,"",SUMPRODUCT(--(C24:N24&lt;&gt;""),--(C24:N24&lt;C$8:N$8)))</x:f>
      </x:c>
      <x:c r="Q24" s="27"/>
    </x:row>
    <x:row r="25">
      <x:c r="A25" s="24"/>
      <x:c r="B25" s="25" t="str">
        <x:f>IF(A25="","",IFERROR(VLOOKUP(A25,'01 Staff Master'!$A$6:$M$105,2,FALSE),"Staff ID not found"))</x:f>
      </x:c>
      <x:c r="C25" s="24"/>
      <x:c r="D25" s="24"/>
      <x:c r="E25" s="24"/>
      <x:c r="F25" s="24"/>
      <x:c r="G25" s="24"/>
      <x:c r="H25" s="24"/>
      <x:c r="I25" s="24"/>
      <x:c r="J25" s="24"/>
      <x:c r="K25" s="24"/>
      <x:c r="L25" s="24"/>
      <x:c r="M25" s="24"/>
      <x:c r="N25" s="24"/>
      <x:c r="O25" s="51" t="str">
        <x:f>IF(COUNT(C25:N25)=0,"",IFERROR(MIN(1,SUM(C25:N25)/SUMPRODUCT(--(C25:N25&lt;&gt;""),C$8:N$8)),0))</x:f>
      </x:c>
      <x:c r="P25" s="25" t="str">
        <x:f>IF(COUNT(C25:N25)=0,"",SUMPRODUCT(--(C25:N25&lt;&gt;""),--(C25:N25&lt;C$8:N$8)))</x:f>
      </x:c>
      <x:c r="Q25" s="27"/>
    </x:row>
    <x:row r="26">
      <x:c r="A26" s="24"/>
      <x:c r="B26" s="25" t="str">
        <x:f>IF(A26="","",IFERROR(VLOOKUP(A26,'01 Staff Master'!$A$6:$M$105,2,FALSE),"Staff ID not found"))</x:f>
      </x:c>
      <x:c r="C26" s="24"/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  <x:c r="N26" s="24"/>
      <x:c r="O26" s="51" t="str">
        <x:f>IF(COUNT(C26:N26)=0,"",IFERROR(MIN(1,SUM(C26:N26)/SUMPRODUCT(--(C26:N26&lt;&gt;""),C$8:N$8)),0))</x:f>
      </x:c>
      <x:c r="P26" s="25" t="str">
        <x:f>IF(COUNT(C26:N26)=0,"",SUMPRODUCT(--(C26:N26&lt;&gt;""),--(C26:N26&lt;C$8:N$8)))</x:f>
      </x:c>
      <x:c r="Q26" s="27"/>
    </x:row>
    <x:row r="27">
      <x:c r="A27" s="24"/>
      <x:c r="B27" s="25" t="str">
        <x:f>IF(A27="","",IFERROR(VLOOKUP(A27,'01 Staff Master'!$A$6:$M$105,2,FALSE),"Staff ID not found"))</x:f>
      </x:c>
      <x:c r="C27" s="24"/>
      <x:c r="D27" s="24"/>
      <x:c r="E27" s="24"/>
      <x:c r="F27" s="24"/>
      <x:c r="G27" s="24"/>
      <x:c r="H27" s="24"/>
      <x:c r="I27" s="24"/>
      <x:c r="J27" s="24"/>
      <x:c r="K27" s="24"/>
      <x:c r="L27" s="24"/>
      <x:c r="M27" s="24"/>
      <x:c r="N27" s="24"/>
      <x:c r="O27" s="51" t="str">
        <x:f>IF(COUNT(C27:N27)=0,"",IFERROR(MIN(1,SUM(C27:N27)/SUMPRODUCT(--(C27:N27&lt;&gt;""),C$8:N$8)),0))</x:f>
      </x:c>
      <x:c r="P27" s="25" t="str">
        <x:f>IF(COUNT(C27:N27)=0,"",SUMPRODUCT(--(C27:N27&lt;&gt;""),--(C27:N27&lt;C$8:N$8)))</x:f>
      </x:c>
      <x:c r="Q27" s="27"/>
    </x:row>
    <x:row r="28">
      <x:c r="A28" s="24"/>
      <x:c r="B28" s="25" t="str">
        <x:f>IF(A28="","",IFERROR(VLOOKUP(A28,'01 Staff Master'!$A$6:$M$105,2,FALSE),"Staff ID not found"))</x:f>
      </x:c>
      <x:c r="C28" s="24"/>
      <x:c r="D28" s="24"/>
      <x:c r="E28" s="24"/>
      <x:c r="F28" s="24"/>
      <x:c r="G28" s="24"/>
      <x:c r="H28" s="24"/>
      <x:c r="I28" s="24"/>
      <x:c r="J28" s="24"/>
      <x:c r="K28" s="24"/>
      <x:c r="L28" s="24"/>
      <x:c r="M28" s="24"/>
      <x:c r="N28" s="24"/>
      <x:c r="O28" s="51" t="str">
        <x:f>IF(COUNT(C28:N28)=0,"",IFERROR(MIN(1,SUM(C28:N28)/SUMPRODUCT(--(C28:N28&lt;&gt;""),C$8:N$8)),0))</x:f>
      </x:c>
      <x:c r="P28" s="25" t="str">
        <x:f>IF(COUNT(C28:N28)=0,"",SUMPRODUCT(--(C28:N28&lt;&gt;""),--(C28:N28&lt;C$8:N$8)))</x:f>
      </x:c>
      <x:c r="Q28" s="27"/>
    </x:row>
    <x:row r="29">
      <x:c r="A29" s="24"/>
      <x:c r="B29" s="25" t="str">
        <x:f>IF(A29="","",IFERROR(VLOOKUP(A29,'01 Staff Master'!$A$6:$M$105,2,FALSE),"Staff ID not found"))</x:f>
      </x:c>
      <x:c r="C29" s="24"/>
      <x:c r="D29" s="24"/>
      <x:c r="E29" s="24"/>
      <x:c r="F29" s="24"/>
      <x:c r="G29" s="24"/>
      <x:c r="H29" s="24"/>
      <x:c r="I29" s="24"/>
      <x:c r="J29" s="24"/>
      <x:c r="K29" s="24"/>
      <x:c r="L29" s="24"/>
      <x:c r="M29" s="24"/>
      <x:c r="N29" s="24"/>
      <x:c r="O29" s="51" t="str">
        <x:f>IF(COUNT(C29:N29)=0,"",IFERROR(MIN(1,SUM(C29:N29)/SUMPRODUCT(--(C29:N29&lt;&gt;""),C$8:N$8)),0))</x:f>
      </x:c>
      <x:c r="P29" s="25" t="str">
        <x:f>IF(COUNT(C29:N29)=0,"",SUMPRODUCT(--(C29:N29&lt;&gt;""),--(C29:N29&lt;C$8:N$8)))</x:f>
      </x:c>
      <x:c r="Q29" s="27"/>
    </x:row>
    <x:row r="30">
      <x:c r="A30" s="24"/>
      <x:c r="B30" s="25" t="str">
        <x:f>IF(A30="","",IFERROR(VLOOKUP(A30,'01 Staff Master'!$A$6:$M$105,2,FALSE),"Staff ID not found"))</x:f>
      </x:c>
      <x:c r="C30" s="24"/>
      <x:c r="D30" s="24"/>
      <x:c r="E30" s="24"/>
      <x:c r="F30" s="24"/>
      <x:c r="G30" s="24"/>
      <x:c r="H30" s="24"/>
      <x:c r="I30" s="24"/>
      <x:c r="J30" s="24"/>
      <x:c r="K30" s="24"/>
      <x:c r="L30" s="24"/>
      <x:c r="M30" s="24"/>
      <x:c r="N30" s="24"/>
      <x:c r="O30" s="51" t="str">
        <x:f>IF(COUNT(C30:N30)=0,"",IFERROR(MIN(1,SUM(C30:N30)/SUMPRODUCT(--(C30:N30&lt;&gt;""),C$8:N$8)),0))</x:f>
      </x:c>
      <x:c r="P30" s="25" t="str">
        <x:f>IF(COUNT(C30:N30)=0,"",SUMPRODUCT(--(C30:N30&lt;&gt;""),--(C30:N30&lt;C$8:N$8)))</x:f>
      </x:c>
      <x:c r="Q30" s="27"/>
    </x:row>
  </x:sheetData>
  <x:mergeCells>
    <x:mergeCell ref="A1:Q1"/>
    <x:mergeCell ref="A2:Q2"/>
  </x:mergeCells>
  <x:conditionalFormatting sqref="C11:N30">
    <x:cfRule type="expression" dxfId="12" priority="1">
      <x:formula>AND(C11&lt;&gt;"",C$8&lt;&gt;"",C11&lt;C$8)</x:formula>
    </x:cfRule>
    <x:cfRule type="expression" dxfId="13" priority="2">
      <x:formula>AND(C11&lt;&gt;"",C$8&lt;&gt;"",C11&gt;=C$8)</x:formula>
    </x:cfRule>
  </x:conditionalFormatting>
  <x:dataValidations count="3">
    <x:dataValidation type="list" sqref="B4">
      <x:formula1>"Production,Engineering,QAC/R&amp;D,Planning,IT,Procurement,Logistics,Sales,Marketing,Finance,HR/Admin"</x:formula1>
    </x:dataValidation>
    <x:dataValidation type="list" sqref="H4">
      <x:formula1>"Leader,Technologist/Executive,Operator/Technician,Inspector,Packer/Assistant,Helper/Trainee"</x:formula1>
    </x:dataValidation>
    <x:dataValidation type="whole" operator="between" sqref="C11:N30">
      <x:formula1>0</x:formula1>
      <x:formula2>5</x:formula2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20" hidden="0" customWidth="1"/>
    <x:col min="4" max="4" width="12" hidden="0" customWidth="1"/>
    <x:col min="5" max="5" width="20" hidden="0" customWidth="1"/>
    <x:col min="6" max="6" width="20" hidden="0" customWidth="1"/>
    <x:col min="7" max="7" width="14" hidden="0" customWidth="1"/>
    <x:col min="8" max="8" width="18" hidden="0" customWidth="1"/>
    <x:col min="9" max="9" width="26" hidden="0" customWidth="1"/>
    <x:col min="10" max="10" width="24" hidden="0" customWidth="1"/>
    <x:col min="11" max="11" width="24" hidden="0" customWidth="1"/>
    <x:col min="12" max="12" width="50" hidden="0" customWidth="1"/>
    <x:col min="13" max="13" width="14" hidden="0" customWidth="1"/>
  </x:cols>
  <x:sheetData>
    <x:row r="1" ht="30" customHeight="1">
      <x:c r="A1" s="3" t="str">
        <x:v>09 — Critical Skill Coverage &amp; Succession Risk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36" customHeight="1">
      <x:c r="A2" s="7" t="str">
        <x:v>Set the minimum competent headcount for each critical skill. Only latest, current and HOD-verified assessments meeting the position requirement count as competent coverage.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5" ht="34" customHeight="1">
      <x:c r="A5" s="13" t="str">
        <x:v>Skill ID</x:v>
      </x:c>
      <x:c r="B5" s="13" t="str">
        <x:v>Skill Name</x:v>
      </x:c>
      <x:c r="C5" s="13" t="str">
        <x:v>Department / Shared</x:v>
      </x:c>
      <x:c r="D5" s="13" t="str">
        <x:v>Critical?</x:v>
      </x:c>
      <x:c r="E5" s="13" t="str">
        <x:v>Minimum Competent Headcount</x:v>
      </x:c>
      <x:c r="F5" s="13" t="str">
        <x:v>Current Competent Headcount</x:v>
      </x:c>
      <x:c r="G5" s="13" t="str">
        <x:v>Coverage Gap</x:v>
      </x:c>
      <x:c r="H5" s="13" t="str">
        <x:v>Risk Status</x:v>
      </x:c>
      <x:c r="I5" s="13" t="str">
        <x:v>Primary Expert / Owner</x:v>
      </x:c>
      <x:c r="J5" s="13" t="str">
        <x:v>Backup 1</x:v>
      </x:c>
      <x:c r="K5" s="13" t="str">
        <x:v>Backup 2</x:v>
      </x:c>
      <x:c r="L5" s="13" t="str">
        <x:v>Coverage Action</x:v>
      </x:c>
      <x:c r="M5" s="13" t="str">
        <x:v>Due Date</x:v>
      </x:c>
    </x:row>
    <x:row r="6">
      <x:c r="A6" s="24" t="str">
        <x:v>CORE-SAF-001</x:v>
      </x:c>
      <x:c r="B6" s="25" t="str">
        <x:f>IF(A6="","",IFERROR(VLOOKUP(A6,'02 Skill Catalogue'!$A$6:$K$95,4,FALSE),"Skill not found"))</x:f>
        <x:v>Safe work, PPE and hazard control</x:v>
      </x:c>
      <x:c r="C6" s="25" t="str">
        <x:f>IF(A6="","",IFERROR(VLOOKUP(A6,'02 Skill Catalogue'!$A$6:$K$95,2,FALSE),""))</x:f>
        <x:v>Shared</x:v>
      </x:c>
      <x:c r="D6" s="25" t="str">
        <x:f>IF(A6="","",IFERROR(VLOOKUP(A6,'02 Skill Catalogue'!$A$6:$K$95,6,FALSE),""))</x:f>
        <x:v>Yes</x:v>
      </x:c>
      <x:c r="E6" s="24" t="n">
        <x:v>3</x:v>
      </x:c>
      <x:c r="F6" s="25" t="n">
        <x:f>IF(A6="","",COUNTIFS('04 Assessment Log'!$J$6:$J$155,A6,'04 Assessment Log'!$AA$6:$AA$155,"Yes",'04 Assessment Log'!$S$6:$S$155,"Meets / Exceeds",'04 Assessment Log'!$W$6:$W$155,"Verified",'04 Assessment Log'!$AD$6:$AD$155,"Current"))</x:f>
        <x:v>0</x:v>
      </x:c>
      <x:c r="G6" s="25" t="n">
        <x:f>IF(OR(A6="",E6=""),"",MAX(E6-F6,0))</x:f>
        <x:v>3</x:v>
      </x:c>
      <x:c r="H6" s="25" t="str">
        <x:f>IF(A6="","",IF(E6="","Set Minimum",IF(G6&gt;0,"Coverage Gap","Covered")))</x:f>
        <x:v>Coverage Gap</x:v>
      </x:c>
      <x:c r="I6" s="24"/>
      <x:c r="J6" s="24"/>
      <x:c r="K6" s="24"/>
      <x:c r="L6" s="27"/>
      <x:c r="M6" s="26"/>
    </x:row>
    <x:row r="7">
      <x:c r="A7" s="24" t="str">
        <x:v>CORE-QUAL-001</x:v>
      </x:c>
      <x:c r="B7" s="25" t="str">
        <x:f>IF(A7="","",IFERROR(VLOOKUP(A7,'02 Skill Catalogue'!$A$6:$K$95,4,FALSE),"Skill not found"))</x:f>
        <x:v>SOP and work-instruction discipline</x:v>
      </x:c>
      <x:c r="C7" s="25" t="str">
        <x:f>IF(A7="","",IFERROR(VLOOKUP(A7,'02 Skill Catalogue'!$A$6:$K$95,2,FALSE),""))</x:f>
        <x:v>Shared</x:v>
      </x:c>
      <x:c r="D7" s="25" t="str">
        <x:f>IF(A7="","",IFERROR(VLOOKUP(A7,'02 Skill Catalogue'!$A$6:$K$95,6,FALSE),""))</x:f>
        <x:v>Yes</x:v>
      </x:c>
      <x:c r="E7" s="24" t="n">
        <x:v>3</x:v>
      </x:c>
      <x:c r="F7" s="25" t="n">
        <x:f>IF(A7="","",COUNTIFS('04 Assessment Log'!$J$6:$J$155,A7,'04 Assessment Log'!$AA$6:$AA$155,"Yes",'04 Assessment Log'!$S$6:$S$155,"Meets / Exceeds",'04 Assessment Log'!$W$6:$W$155,"Verified",'04 Assessment Log'!$AD$6:$AD$155,"Current"))</x:f>
        <x:v>0</x:v>
      </x:c>
      <x:c r="G7" s="25" t="n">
        <x:f>IF(OR(A7="",E7=""),"",MAX(E7-F7,0))</x:f>
        <x:v>3</x:v>
      </x:c>
      <x:c r="H7" s="25" t="str">
        <x:f>IF(A7="","",IF(E7="","Set Minimum",IF(G7&gt;0,"Coverage Gap","Covered")))</x:f>
        <x:v>Coverage Gap</x:v>
      </x:c>
      <x:c r="I7" s="24"/>
      <x:c r="J7" s="24"/>
      <x:c r="K7" s="24"/>
      <x:c r="L7" s="27"/>
      <x:c r="M7" s="26"/>
    </x:row>
    <x:row r="8">
      <x:c r="A8" s="24" t="str">
        <x:v>CORE-DATA-001</x:v>
      </x:c>
      <x:c r="B8" s="25" t="str">
        <x:f>IF(A8="","",IFERROR(VLOOKUP(A8,'02 Skill Catalogue'!$A$6:$K$95,4,FALSE),"Skill not found"))</x:f>
        <x:v>Accurate operational data recording</x:v>
      </x:c>
      <x:c r="C8" s="25" t="str">
        <x:f>IF(A8="","",IFERROR(VLOOKUP(A8,'02 Skill Catalogue'!$A$6:$K$95,2,FALSE),""))</x:f>
        <x:v>Shared</x:v>
      </x:c>
      <x:c r="D8" s="25" t="str">
        <x:f>IF(A8="","",IFERROR(VLOOKUP(A8,'02 Skill Catalogue'!$A$6:$K$95,6,FALSE),""))</x:f>
        <x:v>Yes</x:v>
      </x:c>
      <x:c r="E8" s="24" t="n">
        <x:v>3</x:v>
      </x:c>
      <x:c r="F8" s="25" t="n">
        <x:f>IF(A8="","",COUNTIFS('04 Assessment Log'!$J$6:$J$155,A8,'04 Assessment Log'!$AA$6:$AA$155,"Yes",'04 Assessment Log'!$S$6:$S$155,"Meets / Exceeds",'04 Assessment Log'!$W$6:$W$155,"Verified",'04 Assessment Log'!$AD$6:$AD$155,"Current"))</x:f>
        <x:v>0</x:v>
      </x:c>
      <x:c r="G8" s="25" t="n">
        <x:f>IF(OR(A8="",E8=""),"",MAX(E8-F8,0))</x:f>
        <x:v>3</x:v>
      </x:c>
      <x:c r="H8" s="25" t="str">
        <x:f>IF(A8="","",IF(E8="","Set Minimum",IF(G8&gt;0,"Coverage Gap","Covered")))</x:f>
        <x:v>Coverage Gap</x:v>
      </x:c>
      <x:c r="I8" s="24"/>
      <x:c r="J8" s="24"/>
      <x:c r="K8" s="24"/>
      <x:c r="L8" s="27"/>
      <x:c r="M8" s="26"/>
    </x:row>
    <x:row r="9">
      <x:c r="A9" s="24" t="str">
        <x:v>CORE-PROB-001</x:v>
      </x:c>
      <x:c r="B9" s="25" t="str">
        <x:f>IF(A9="","",IFERROR(VLOOKUP(A9,'02 Skill Catalogue'!$A$6:$K$95,4,FALSE),"Skill not found"))</x:f>
        <x:v>Abnormality escalation and root-cause thinking</x:v>
      </x:c>
      <x:c r="C9" s="25" t="str">
        <x:f>IF(A9="","",IFERROR(VLOOKUP(A9,'02 Skill Catalogue'!$A$6:$K$95,2,FALSE),""))</x:f>
        <x:v>Shared</x:v>
      </x:c>
      <x:c r="D9" s="25" t="str">
        <x:f>IF(A9="","",IFERROR(VLOOKUP(A9,'02 Skill Catalogue'!$A$6:$K$95,6,FALSE),""))</x:f>
        <x:v>Yes</x:v>
      </x:c>
      <x:c r="E9" s="24" t="n">
        <x:v>3</x:v>
      </x:c>
      <x:c r="F9" s="25" t="n">
        <x:f>IF(A9="","",COUNTIFS('04 Assessment Log'!$J$6:$J$155,A9,'04 Assessment Log'!$AA$6:$AA$155,"Yes",'04 Assessment Log'!$S$6:$S$155,"Meets / Exceeds",'04 Assessment Log'!$W$6:$W$155,"Verified",'04 Assessment Log'!$AD$6:$AD$155,"Current"))</x:f>
        <x:v>0</x:v>
      </x:c>
      <x:c r="G9" s="25" t="n">
        <x:f>IF(OR(A9="",E9=""),"",MAX(E9-F9,0))</x:f>
        <x:v>3</x:v>
      </x:c>
      <x:c r="H9" s="25" t="str">
        <x:f>IF(A9="","",IF(E9="","Set Minimum",IF(G9&gt;0,"Coverage Gap","Covered")))</x:f>
        <x:v>Coverage Gap</x:v>
      </x:c>
      <x:c r="I9" s="24"/>
      <x:c r="J9" s="24"/>
      <x:c r="K9" s="24"/>
      <x:c r="L9" s="27"/>
      <x:c r="M9" s="26"/>
    </x:row>
    <x:row r="10">
      <x:c r="A10" s="24" t="str">
        <x:v>PROD-COAT-001</x:v>
      </x:c>
      <x:c r="B10" s="25" t="str">
        <x:f>IF(A10="","",IFERROR(VLOOKUP(A10,'02 Skill Catalogue'!$A$6:$K$95,4,FALSE),"Skill not found"))</x:f>
        <x:v>Job order and product specification interpretation</x:v>
      </x:c>
      <x:c r="C10" s="25" t="str">
        <x:f>IF(A10="","",IFERROR(VLOOKUP(A10,'02 Skill Catalogue'!$A$6:$K$95,2,FALSE),""))</x:f>
        <x:v>Production</x:v>
      </x:c>
      <x:c r="D10" s="25" t="str">
        <x:f>IF(A10="","",IFERROR(VLOOKUP(A10,'02 Skill Catalogue'!$A$6:$K$95,6,FALSE),""))</x:f>
        <x:v>Yes</x:v>
      </x:c>
      <x:c r="E10" s="24" t="n">
        <x:v>2</x:v>
      </x:c>
      <x:c r="F10" s="25" t="n">
        <x:f>IF(A10="","",COUNTIFS('04 Assessment Log'!$J$6:$J$155,A10,'04 Assessment Log'!$AA$6:$AA$155,"Yes",'04 Assessment Log'!$S$6:$S$155,"Meets / Exceeds",'04 Assessment Log'!$W$6:$W$155,"Verified",'04 Assessment Log'!$AD$6:$AD$155,"Current"))</x:f>
        <x:v>0</x:v>
      </x:c>
      <x:c r="G10" s="25" t="n">
        <x:f>IF(OR(A10="",E10=""),"",MAX(E10-F10,0))</x:f>
        <x:v>2</x:v>
      </x:c>
      <x:c r="H10" s="25" t="str">
        <x:f>IF(A10="","",IF(E10="","Set Minimum",IF(G10&gt;0,"Coverage Gap","Covered")))</x:f>
        <x:v>Coverage Gap</x:v>
      </x:c>
      <x:c r="I10" s="24"/>
      <x:c r="J10" s="24"/>
      <x:c r="K10" s="24"/>
      <x:c r="L10" s="27"/>
      <x:c r="M10" s="26"/>
    </x:row>
    <x:row r="11">
      <x:c r="A11" s="24" t="str">
        <x:v>PROD-COAT-002</x:v>
      </x:c>
      <x:c r="B11" s="25" t="str">
        <x:f>IF(A11="","",IFERROR(VLOOKUP(A11,'02 Skill Catalogue'!$A$6:$K$95,4,FALSE),"Skill not found"))</x:f>
        <x:v>Coating line setup and operation</x:v>
      </x:c>
      <x:c r="C11" s="25" t="str">
        <x:f>IF(A11="","",IFERROR(VLOOKUP(A11,'02 Skill Catalogue'!$A$6:$K$95,2,FALSE),""))</x:f>
        <x:v>Production</x:v>
      </x:c>
      <x:c r="D11" s="25" t="str">
        <x:f>IF(A11="","",IFERROR(VLOOKUP(A11,'02 Skill Catalogue'!$A$6:$K$95,6,FALSE),""))</x:f>
        <x:v>Yes</x:v>
      </x:c>
      <x:c r="E11" s="24" t="n">
        <x:v>2</x:v>
      </x:c>
      <x:c r="F11" s="25" t="n">
        <x:f>IF(A11="","",COUNTIFS('04 Assessment Log'!$J$6:$J$155,A11,'04 Assessment Log'!$AA$6:$AA$155,"Yes",'04 Assessment Log'!$S$6:$S$155,"Meets / Exceeds",'04 Assessment Log'!$W$6:$W$155,"Verified",'04 Assessment Log'!$AD$6:$AD$155,"Current"))</x:f>
        <x:v>0</x:v>
      </x:c>
      <x:c r="G11" s="25" t="n">
        <x:f>IF(OR(A11="",E11=""),"",MAX(E11-F11,0))</x:f>
        <x:v>2</x:v>
      </x:c>
      <x:c r="H11" s="25" t="str">
        <x:f>IF(A11="","",IF(E11="","Set Minimum",IF(G11&gt;0,"Coverage Gap","Covered")))</x:f>
        <x:v>Coverage Gap</x:v>
      </x:c>
      <x:c r="I11" s="24"/>
      <x:c r="J11" s="24"/>
      <x:c r="K11" s="24"/>
      <x:c r="L11" s="27"/>
      <x:c r="M11" s="26"/>
    </x:row>
    <x:row r="12">
      <x:c r="A12" s="24" t="str">
        <x:v>PROD-PROC-003</x:v>
      </x:c>
      <x:c r="B12" s="25" t="str">
        <x:f>IF(A12="","",IFERROR(VLOOKUP(A12,'02 Skill Catalogue'!$A$6:$K$95,4,FALSE),"Skill not found"))</x:f>
        <x:v>Process parameter control</x:v>
      </x:c>
      <x:c r="C12" s="25" t="str">
        <x:f>IF(A12="","",IFERROR(VLOOKUP(A12,'02 Skill Catalogue'!$A$6:$K$95,2,FALSE),""))</x:f>
        <x:v>Production</x:v>
      </x:c>
      <x:c r="D12" s="25" t="str">
        <x:f>IF(A12="","",IFERROR(VLOOKUP(A12,'02 Skill Catalogue'!$A$6:$K$95,6,FALSE),""))</x:f>
        <x:v>Yes</x:v>
      </x:c>
      <x:c r="E12" s="24" t="n">
        <x:v>2</x:v>
      </x:c>
      <x:c r="F12" s="25" t="n">
        <x:f>IF(A12="","",COUNTIFS('04 Assessment Log'!$J$6:$J$155,A12,'04 Assessment Log'!$AA$6:$AA$155,"Yes",'04 Assessment Log'!$S$6:$S$155,"Meets / Exceeds",'04 Assessment Log'!$W$6:$W$155,"Verified",'04 Assessment Log'!$AD$6:$AD$155,"Current"))</x:f>
        <x:v>0</x:v>
      </x:c>
      <x:c r="G12" s="25" t="n">
        <x:f>IF(OR(A12="",E12=""),"",MAX(E12-F12,0))</x:f>
        <x:v>2</x:v>
      </x:c>
      <x:c r="H12" s="25" t="str">
        <x:f>IF(A12="","",IF(E12="","Set Minimum",IF(G12&gt;0,"Coverage Gap","Covered")))</x:f>
        <x:v>Coverage Gap</x:v>
      </x:c>
      <x:c r="I12" s="24"/>
      <x:c r="J12" s="24"/>
      <x:c r="K12" s="24"/>
      <x:c r="L12" s="27"/>
      <x:c r="M12" s="26"/>
    </x:row>
    <x:row r="13">
      <x:c r="A13" s="24" t="str">
        <x:v>PROD-GLUE-004</x:v>
      </x:c>
      <x:c r="B13" s="25" t="str">
        <x:f>IF(A13="","",IFERROR(VLOOKUP(A13,'02 Skill Catalogue'!$A$6:$K$95,4,FALSE),"Skill not found"))</x:f>
        <x:v>Adhesive handling and batch verification</x:v>
      </x:c>
      <x:c r="C13" s="25" t="str">
        <x:f>IF(A13="","",IFERROR(VLOOKUP(A13,'02 Skill Catalogue'!$A$6:$K$95,2,FALSE),""))</x:f>
        <x:v>Production</x:v>
      </x:c>
      <x:c r="D13" s="25" t="str">
        <x:f>IF(A13="","",IFERROR(VLOOKUP(A13,'02 Skill Catalogue'!$A$6:$K$95,6,FALSE),""))</x:f>
        <x:v>Yes</x:v>
      </x:c>
      <x:c r="E13" s="24" t="n">
        <x:v>2</x:v>
      </x:c>
      <x:c r="F13" s="25" t="n">
        <x:f>IF(A13="","",COUNTIFS('04 Assessment Log'!$J$6:$J$155,A13,'04 Assessment Log'!$AA$6:$AA$155,"Yes",'04 Assessment Log'!$S$6:$S$155,"Meets / Exceeds",'04 Assessment Log'!$W$6:$W$155,"Verified",'04 Assessment Log'!$AD$6:$AD$155,"Current"))</x:f>
        <x:v>0</x:v>
      </x:c>
      <x:c r="G13" s="25" t="n">
        <x:f>IF(OR(A13="",E13=""),"",MAX(E13-F13,0))</x:f>
        <x:v>2</x:v>
      </x:c>
      <x:c r="H13" s="25" t="str">
        <x:f>IF(A13="","",IF(E13="","Set Minimum",IF(G13&gt;0,"Coverage Gap","Covered")))</x:f>
        <x:v>Coverage Gap</x:v>
      </x:c>
      <x:c r="I13" s="24"/>
      <x:c r="J13" s="24"/>
      <x:c r="K13" s="24"/>
      <x:c r="L13" s="27"/>
      <x:c r="M13" s="26"/>
    </x:row>
    <x:row r="14">
      <x:c r="A14" s="24" t="str">
        <x:v>PROD-DEF-005</x:v>
      </x:c>
      <x:c r="B14" s="25" t="str">
        <x:f>IF(A14="","",IFERROR(VLOOKUP(A14,'02 Skill Catalogue'!$A$6:$K$95,4,FALSE),"Skill not found"))</x:f>
        <x:v>Tape defect recognition and containment</x:v>
      </x:c>
      <x:c r="C14" s="25" t="str">
        <x:f>IF(A14="","",IFERROR(VLOOKUP(A14,'02 Skill Catalogue'!$A$6:$K$95,2,FALSE),""))</x:f>
        <x:v>Production</x:v>
      </x:c>
      <x:c r="D14" s="25" t="str">
        <x:f>IF(A14="","",IFERROR(VLOOKUP(A14,'02 Skill Catalogue'!$A$6:$K$95,6,FALSE),""))</x:f>
        <x:v>Yes</x:v>
      </x:c>
      <x:c r="E14" s="24" t="n">
        <x:v>2</x:v>
      </x:c>
      <x:c r="F14" s="25" t="n">
        <x:f>IF(A14="","",COUNTIFS('04 Assessment Log'!$J$6:$J$155,A14,'04 Assessment Log'!$AA$6:$AA$155,"Yes",'04 Assessment Log'!$S$6:$S$155,"Meets / Exceeds",'04 Assessment Log'!$W$6:$W$155,"Verified",'04 Assessment Log'!$AD$6:$AD$155,"Current"))</x:f>
        <x:v>0</x:v>
      </x:c>
      <x:c r="G14" s="25" t="n">
        <x:f>IF(OR(A14="",E14=""),"",MAX(E14-F14,0))</x:f>
        <x:v>2</x:v>
      </x:c>
      <x:c r="H14" s="25" t="str">
        <x:f>IF(A14="","",IF(E14="","Set Minimum",IF(G14&gt;0,"Coverage Gap","Covered")))</x:f>
        <x:v>Coverage Gap</x:v>
      </x:c>
      <x:c r="I14" s="24"/>
      <x:c r="J14" s="24"/>
      <x:c r="K14" s="24"/>
      <x:c r="L14" s="27"/>
      <x:c r="M14" s="26"/>
    </x:row>
    <x:row r="15">
      <x:c r="A15" s="24" t="str">
        <x:v>PROD-CHANGE-007</x:v>
      </x:c>
      <x:c r="B15" s="25" t="str">
        <x:f>IF(A15="","",IFERROR(VLOOKUP(A15,'02 Skill Catalogue'!$A$6:$K$95,4,FALSE),"Skill not found"))</x:f>
        <x:v>Changeover and line clearance</x:v>
      </x:c>
      <x:c r="C15" s="25" t="str">
        <x:f>IF(A15="","",IFERROR(VLOOKUP(A15,'02 Skill Catalogue'!$A$6:$K$95,2,FALSE),""))</x:f>
        <x:v>Production</x:v>
      </x:c>
      <x:c r="D15" s="25" t="str">
        <x:f>IF(A15="","",IFERROR(VLOOKUP(A15,'02 Skill Catalogue'!$A$6:$K$95,6,FALSE),""))</x:f>
        <x:v>Yes</x:v>
      </x:c>
      <x:c r="E15" s="24" t="n">
        <x:v>2</x:v>
      </x:c>
      <x:c r="F15" s="25" t="n">
        <x:f>IF(A15="","",COUNTIFS('04 Assessment Log'!$J$6:$J$155,A15,'04 Assessment Log'!$AA$6:$AA$155,"Yes",'04 Assessment Log'!$S$6:$S$155,"Meets / Exceeds",'04 Assessment Log'!$W$6:$W$155,"Verified",'04 Assessment Log'!$AD$6:$AD$155,"Current"))</x:f>
        <x:v>0</x:v>
      </x:c>
      <x:c r="G15" s="25" t="n">
        <x:f>IF(OR(A15="",E15=""),"",MAX(E15-F15,0))</x:f>
        <x:v>2</x:v>
      </x:c>
      <x:c r="H15" s="25" t="str">
        <x:f>IF(A15="","",IF(E15="","Set Minimum",IF(G15&gt;0,"Coverage Gap","Covered")))</x:f>
        <x:v>Coverage Gap</x:v>
      </x:c>
      <x:c r="I15" s="24"/>
      <x:c r="J15" s="24"/>
      <x:c r="K15" s="24"/>
      <x:c r="L15" s="27"/>
      <x:c r="M15" s="26"/>
    </x:row>
    <x:row r="16">
      <x:c r="A16" s="24" t="str">
        <x:v>PROD-PACK-008</x:v>
      </x:c>
      <x:c r="B16" s="25" t="str">
        <x:f>IF(A16="","",IFERROR(VLOOKUP(A16,'02 Skill Catalogue'!$A$6:$K$95,4,FALSE),"Skill not found"))</x:f>
        <x:v>Packing, labelling and palletisation</x:v>
      </x:c>
      <x:c r="C16" s="25" t="str">
        <x:f>IF(A16="","",IFERROR(VLOOKUP(A16,'02 Skill Catalogue'!$A$6:$K$95,2,FALSE),""))</x:f>
        <x:v>Production</x:v>
      </x:c>
      <x:c r="D16" s="25" t="str">
        <x:f>IF(A16="","",IFERROR(VLOOKUP(A16,'02 Skill Catalogue'!$A$6:$K$95,6,FALSE),""))</x:f>
        <x:v>Yes</x:v>
      </x:c>
      <x:c r="E16" s="24" t="n">
        <x:v>2</x:v>
      </x:c>
      <x:c r="F16" s="25" t="n">
        <x:f>IF(A16="","",COUNTIFS('04 Assessment Log'!$J$6:$J$155,A16,'04 Assessment Log'!$AA$6:$AA$155,"Yes",'04 Assessment Log'!$S$6:$S$155,"Meets / Exceeds",'04 Assessment Log'!$W$6:$W$155,"Verified",'04 Assessment Log'!$AD$6:$AD$155,"Current"))</x:f>
        <x:v>0</x:v>
      </x:c>
      <x:c r="G16" s="25" t="n">
        <x:f>IF(OR(A16="",E16=""),"",MAX(E16-F16,0))</x:f>
        <x:v>2</x:v>
      </x:c>
      <x:c r="H16" s="25" t="str">
        <x:f>IF(A16="","",IF(E16="","Set Minimum",IF(G16&gt;0,"Coverage Gap","Covered")))</x:f>
        <x:v>Coverage Gap</x:v>
      </x:c>
      <x:c r="I16" s="24"/>
      <x:c r="J16" s="24"/>
      <x:c r="K16" s="24"/>
      <x:c r="L16" s="27"/>
      <x:c r="M16" s="26"/>
    </x:row>
    <x:row r="17">
      <x:c r="A17" s="24" t="str">
        <x:v>PROD-TRACE-009</x:v>
      </x:c>
      <x:c r="B17" s="25" t="str">
        <x:f>IF(A17="","",IFERROR(VLOOKUP(A17,'02 Skill Catalogue'!$A$6:$K$95,4,FALSE),"Skill not found"))</x:f>
        <x:v>Material and product traceability</x:v>
      </x:c>
      <x:c r="C17" s="25" t="str">
        <x:f>IF(A17="","",IFERROR(VLOOKUP(A17,'02 Skill Catalogue'!$A$6:$K$95,2,FALSE),""))</x:f>
        <x:v>Production</x:v>
      </x:c>
      <x:c r="D17" s="25" t="str">
        <x:f>IF(A17="","",IFERROR(VLOOKUP(A17,'02 Skill Catalogue'!$A$6:$K$95,6,FALSE),""))</x:f>
        <x:v>Yes</x:v>
      </x:c>
      <x:c r="E17" s="24" t="n">
        <x:v>2</x:v>
      </x:c>
      <x:c r="F17" s="25" t="n">
        <x:f>IF(A17="","",COUNTIFS('04 Assessment Log'!$J$6:$J$155,A17,'04 Assessment Log'!$AA$6:$AA$155,"Yes",'04 Assessment Log'!$S$6:$S$155,"Meets / Exceeds",'04 Assessment Log'!$W$6:$W$155,"Verified",'04 Assessment Log'!$AD$6:$AD$155,"Current"))</x:f>
        <x:v>0</x:v>
      </x:c>
      <x:c r="G17" s="25" t="n">
        <x:f>IF(OR(A17="",E17=""),"",MAX(E17-F17,0))</x:f>
        <x:v>2</x:v>
      </x:c>
      <x:c r="H17" s="25" t="str">
        <x:f>IF(A17="","",IF(E17="","Set Minimum",IF(G17&gt;0,"Coverage Gap","Covered")))</x:f>
        <x:v>Coverage Gap</x:v>
      </x:c>
      <x:c r="I17" s="24"/>
      <x:c r="J17" s="24"/>
      <x:c r="K17" s="24"/>
      <x:c r="L17" s="27"/>
      <x:c r="M17" s="26"/>
    </x:row>
    <x:row r="18">
      <x:c r="A18" s="24" t="str">
        <x:v>PROD-TROUBLE-010</x:v>
      </x:c>
      <x:c r="B18" s="25" t="str">
        <x:f>IF(A18="","",IFERROR(VLOOKUP(A18,'02 Skill Catalogue'!$A$6:$K$95,4,FALSE),"Skill not found"))</x:f>
        <x:v>Production troubleshooting</x:v>
      </x:c>
      <x:c r="C18" s="25" t="str">
        <x:f>IF(A18="","",IFERROR(VLOOKUP(A18,'02 Skill Catalogue'!$A$6:$K$95,2,FALSE),""))</x:f>
        <x:v>Production</x:v>
      </x:c>
      <x:c r="D18" s="25" t="str">
        <x:f>IF(A18="","",IFERROR(VLOOKUP(A18,'02 Skill Catalogue'!$A$6:$K$95,6,FALSE),""))</x:f>
        <x:v>Yes</x:v>
      </x:c>
      <x:c r="E18" s="24" t="n">
        <x:v>2</x:v>
      </x:c>
      <x:c r="F18" s="25" t="n">
        <x:f>IF(A18="","",COUNTIFS('04 Assessment Log'!$J$6:$J$155,A18,'04 Assessment Log'!$AA$6:$AA$155,"Yes",'04 Assessment Log'!$S$6:$S$155,"Meets / Exceeds",'04 Assessment Log'!$W$6:$W$155,"Verified",'04 Assessment Log'!$AD$6:$AD$155,"Current"))</x:f>
        <x:v>0</x:v>
      </x:c>
      <x:c r="G18" s="25" t="n">
        <x:f>IF(OR(A18="",E18=""),"",MAX(E18-F18,0))</x:f>
        <x:v>2</x:v>
      </x:c>
      <x:c r="H18" s="25" t="str">
        <x:f>IF(A18="","",IF(E18="","Set Minimum",IF(G18&gt;0,"Coverage Gap","Covered")))</x:f>
        <x:v>Coverage Gap</x:v>
      </x:c>
      <x:c r="I18" s="24"/>
      <x:c r="J18" s="24"/>
      <x:c r="K18" s="24"/>
      <x:c r="L18" s="27"/>
      <x:c r="M18" s="26"/>
    </x:row>
    <x:row r="19">
      <x:c r="A19" s="24" t="str">
        <x:v>PROD-LEAD-011</x:v>
      </x:c>
      <x:c r="B19" s="25" t="str">
        <x:f>IF(A19="","",IFERROR(VLOOKUP(A19,'02 Skill Catalogue'!$A$6:$K$95,4,FALSE),"Skill not found"))</x:f>
        <x:v>Shift coordination and escalation</x:v>
      </x:c>
      <x:c r="C19" s="25" t="str">
        <x:f>IF(A19="","",IFERROR(VLOOKUP(A19,'02 Skill Catalogue'!$A$6:$K$95,2,FALSE),""))</x:f>
        <x:v>Production</x:v>
      </x:c>
      <x:c r="D19" s="25" t="str">
        <x:f>IF(A19="","",IFERROR(VLOOKUP(A19,'02 Skill Catalogue'!$A$6:$K$95,6,FALSE),""))</x:f>
        <x:v>Yes</x:v>
      </x:c>
      <x:c r="E19" s="24" t="n">
        <x:v>2</x:v>
      </x:c>
      <x:c r="F19" s="25" t="n">
        <x:f>IF(A19="","",COUNTIFS('04 Assessment Log'!$J$6:$J$155,A19,'04 Assessment Log'!$AA$6:$AA$155,"Yes",'04 Assessment Log'!$S$6:$S$155,"Meets / Exceeds",'04 Assessment Log'!$W$6:$W$155,"Verified",'04 Assessment Log'!$AD$6:$AD$155,"Current"))</x:f>
        <x:v>0</x:v>
      </x:c>
      <x:c r="G19" s="25" t="n">
        <x:f>IF(OR(A19="",E19=""),"",MAX(E19-F19,0))</x:f>
        <x:v>2</x:v>
      </x:c>
      <x:c r="H19" s="25" t="str">
        <x:f>IF(A19="","",IF(E19="","Set Minimum",IF(G19&gt;0,"Coverage Gap","Covered")))</x:f>
        <x:v>Coverage Gap</x:v>
      </x:c>
      <x:c r="I19" s="24"/>
      <x:c r="J19" s="24"/>
      <x:c r="K19" s="24"/>
      <x:c r="L19" s="27"/>
      <x:c r="M19" s="26"/>
    </x:row>
    <x:row r="20">
      <x:c r="A20" s="24" t="str">
        <x:v>PROD-SLIT-013</x:v>
      </x:c>
      <x:c r="B20" s="25" t="str">
        <x:f>IF(A20="","",IFERROR(VLOOKUP(A20,'02 Skill Catalogue'!$A$6:$K$95,4,FALSE),"Skill not found"))</x:f>
        <x:v>Slitting and rewinding operation</x:v>
      </x:c>
      <x:c r="C20" s="25" t="str">
        <x:f>IF(A20="","",IFERROR(VLOOKUP(A20,'02 Skill Catalogue'!$A$6:$K$95,2,FALSE),""))</x:f>
        <x:v>Production</x:v>
      </x:c>
      <x:c r="D20" s="25" t="str">
        <x:f>IF(A20="","",IFERROR(VLOOKUP(A20,'02 Skill Catalogue'!$A$6:$K$95,6,FALSE),""))</x:f>
        <x:v>Yes</x:v>
      </x:c>
      <x:c r="E20" s="24" t="n">
        <x:v>2</x:v>
      </x:c>
      <x:c r="F20" s="25" t="n">
        <x:f>IF(A20="","",COUNTIFS('04 Assessment Log'!$J$6:$J$155,A20,'04 Assessment Log'!$AA$6:$AA$155,"Yes",'04 Assessment Log'!$S$6:$S$155,"Meets / Exceeds",'04 Assessment Log'!$W$6:$W$155,"Verified",'04 Assessment Log'!$AD$6:$AD$155,"Current"))</x:f>
        <x:v>0</x:v>
      </x:c>
      <x:c r="G20" s="25" t="n">
        <x:f>IF(OR(A20="",E20=""),"",MAX(E20-F20,0))</x:f>
        <x:v>2</x:v>
      </x:c>
      <x:c r="H20" s="25" t="str">
        <x:f>IF(A20="","",IF(E20="","Set Minimum",IF(G20&gt;0,"Coverage Gap","Covered")))</x:f>
        <x:v>Coverage Gap</x:v>
      </x:c>
      <x:c r="I20" s="24"/>
      <x:c r="J20" s="24"/>
      <x:c r="K20" s="24"/>
      <x:c r="L20" s="27"/>
      <x:c r="M20" s="26"/>
    </x:row>
    <x:row r="21">
      <x:c r="A21" s="24" t="str">
        <x:v>PROD-PRINT-014</x:v>
      </x:c>
      <x:c r="B21" s="25" t="str">
        <x:f>IF(A21="","",IFERROR(VLOOKUP(A21,'02 Skill Catalogue'!$A$6:$K$95,4,FALSE),"Skill not found"))</x:f>
        <x:v>Printing line setup and colour control</x:v>
      </x:c>
      <x:c r="C21" s="25" t="str">
        <x:f>IF(A21="","",IFERROR(VLOOKUP(A21,'02 Skill Catalogue'!$A$6:$K$95,2,FALSE),""))</x:f>
        <x:v>Production</x:v>
      </x:c>
      <x:c r="D21" s="25" t="str">
        <x:f>IF(A21="","",IFERROR(VLOOKUP(A21,'02 Skill Catalogue'!$A$6:$K$95,6,FALSE),""))</x:f>
        <x:v>Yes</x:v>
      </x:c>
      <x:c r="E21" s="24" t="n">
        <x:v>2</x:v>
      </x:c>
      <x:c r="F21" s="25" t="n">
        <x:f>IF(A21="","",COUNTIFS('04 Assessment Log'!$J$6:$J$155,A21,'04 Assessment Log'!$AA$6:$AA$155,"Yes",'04 Assessment Log'!$S$6:$S$155,"Meets / Exceeds",'04 Assessment Log'!$W$6:$W$155,"Verified",'04 Assessment Log'!$AD$6:$AD$155,"Current"))</x:f>
        <x:v>0</x:v>
      </x:c>
      <x:c r="G21" s="25" t="n">
        <x:f>IF(OR(A21="",E21=""),"",MAX(E21-F21,0))</x:f>
        <x:v>2</x:v>
      </x:c>
      <x:c r="H21" s="25" t="str">
        <x:f>IF(A21="","",IF(E21="","Set Minimum",IF(G21&gt;0,"Coverage Gap","Covered")))</x:f>
        <x:v>Coverage Gap</x:v>
      </x:c>
      <x:c r="I21" s="24"/>
      <x:c r="J21" s="24"/>
      <x:c r="K21" s="24"/>
      <x:c r="L21" s="27"/>
      <x:c r="M21" s="26"/>
    </x:row>
    <x:row r="22">
      <x:c r="A22" s="24" t="str">
        <x:v>ENG-MECH-001</x:v>
      </x:c>
      <x:c r="B22" s="25" t="str">
        <x:f>IF(A22="","",IFERROR(VLOOKUP(A22,'02 Skill Catalogue'!$A$6:$K$95,4,FALSE),"Skill not found"))</x:f>
        <x:v>Mechanical diagnostics and repair</x:v>
      </x:c>
      <x:c r="C22" s="25" t="str">
        <x:f>IF(A22="","",IFERROR(VLOOKUP(A22,'02 Skill Catalogue'!$A$6:$K$95,2,FALSE),""))</x:f>
        <x:v>Engineering</x:v>
      </x:c>
      <x:c r="D22" s="25" t="str">
        <x:f>IF(A22="","",IFERROR(VLOOKUP(A22,'02 Skill Catalogue'!$A$6:$K$95,6,FALSE),""))</x:f>
        <x:v>Yes</x:v>
      </x:c>
      <x:c r="E22" s="24" t="n">
        <x:v>2</x:v>
      </x:c>
      <x:c r="F22" s="25" t="n">
        <x:f>IF(A22="","",COUNTIFS('04 Assessment Log'!$J$6:$J$155,A22,'04 Assessment Log'!$AA$6:$AA$155,"Yes",'04 Assessment Log'!$S$6:$S$155,"Meets / Exceeds",'04 Assessment Log'!$W$6:$W$155,"Verified",'04 Assessment Log'!$AD$6:$AD$155,"Current"))</x:f>
        <x:v>0</x:v>
      </x:c>
      <x:c r="G22" s="25" t="n">
        <x:f>IF(OR(A22="",E22=""),"",MAX(E22-F22,0))</x:f>
        <x:v>2</x:v>
      </x:c>
      <x:c r="H22" s="25" t="str">
        <x:f>IF(A22="","",IF(E22="","Set Minimum",IF(G22&gt;0,"Coverage Gap","Covered")))</x:f>
        <x:v>Coverage Gap</x:v>
      </x:c>
      <x:c r="I22" s="24"/>
      <x:c r="J22" s="24"/>
      <x:c r="K22" s="24"/>
      <x:c r="L22" s="27"/>
      <x:c r="M22" s="26"/>
    </x:row>
    <x:row r="23">
      <x:c r="A23" s="24" t="str">
        <x:v>ENG-ELEC-002</x:v>
      </x:c>
      <x:c r="B23" s="25" t="str">
        <x:f>IF(A23="","",IFERROR(VLOOKUP(A23,'02 Skill Catalogue'!$A$6:$K$95,4,FALSE),"Skill not found"))</x:f>
        <x:v>Electrical safety and diagnostics</x:v>
      </x:c>
      <x:c r="C23" s="25" t="str">
        <x:f>IF(A23="","",IFERROR(VLOOKUP(A23,'02 Skill Catalogue'!$A$6:$K$95,2,FALSE),""))</x:f>
        <x:v>Engineering</x:v>
      </x:c>
      <x:c r="D23" s="25" t="str">
        <x:f>IF(A23="","",IFERROR(VLOOKUP(A23,'02 Skill Catalogue'!$A$6:$K$95,6,FALSE),""))</x:f>
        <x:v>Yes</x:v>
      </x:c>
      <x:c r="E23" s="24" t="n">
        <x:v>2</x:v>
      </x:c>
      <x:c r="F23" s="25" t="n">
        <x:f>IF(A23="","",COUNTIFS('04 Assessment Log'!$J$6:$J$155,A23,'04 Assessment Log'!$AA$6:$AA$155,"Yes",'04 Assessment Log'!$S$6:$S$155,"Meets / Exceeds",'04 Assessment Log'!$W$6:$W$155,"Verified",'04 Assessment Log'!$AD$6:$AD$155,"Current"))</x:f>
        <x:v>0</x:v>
      </x:c>
      <x:c r="G23" s="25" t="n">
        <x:f>IF(OR(A23="",E23=""),"",MAX(E23-F23,0))</x:f>
        <x:v>2</x:v>
      </x:c>
      <x:c r="H23" s="25" t="str">
        <x:f>IF(A23="","",IF(E23="","Set Minimum",IF(G23&gt;0,"Coverage Gap","Covered")))</x:f>
        <x:v>Coverage Gap</x:v>
      </x:c>
      <x:c r="I23" s="24"/>
      <x:c r="J23" s="24"/>
      <x:c r="K23" s="24"/>
      <x:c r="L23" s="27"/>
      <x:c r="M23" s="26"/>
    </x:row>
    <x:row r="24">
      <x:c r="A24" s="24" t="str">
        <x:v>ENG-PLC-003</x:v>
      </x:c>
      <x:c r="B24" s="25" t="str">
        <x:f>IF(A24="","",IFERROR(VLOOKUP(A24,'02 Skill Catalogue'!$A$6:$K$95,4,FALSE),"Skill not found"))</x:f>
        <x:v>PLC, sensor and control-system troubleshooting</x:v>
      </x:c>
      <x:c r="C24" s="25" t="str">
        <x:f>IF(A24="","",IFERROR(VLOOKUP(A24,'02 Skill Catalogue'!$A$6:$K$95,2,FALSE),""))</x:f>
        <x:v>Engineering</x:v>
      </x:c>
      <x:c r="D24" s="25" t="str">
        <x:f>IF(A24="","",IFERROR(VLOOKUP(A24,'02 Skill Catalogue'!$A$6:$K$95,6,FALSE),""))</x:f>
        <x:v>Yes</x:v>
      </x:c>
      <x:c r="E24" s="24" t="n">
        <x:v>2</x:v>
      </x:c>
      <x:c r="F24" s="25" t="n">
        <x:f>IF(A24="","",COUNTIFS('04 Assessment Log'!$J$6:$J$155,A24,'04 Assessment Log'!$AA$6:$AA$155,"Yes",'04 Assessment Log'!$S$6:$S$155,"Meets / Exceeds",'04 Assessment Log'!$W$6:$W$155,"Verified",'04 Assessment Log'!$AD$6:$AD$155,"Current"))</x:f>
        <x:v>0</x:v>
      </x:c>
      <x:c r="G24" s="25" t="n">
        <x:f>IF(OR(A24="",E24=""),"",MAX(E24-F24,0))</x:f>
        <x:v>2</x:v>
      </x:c>
      <x:c r="H24" s="25" t="str">
        <x:f>IF(A24="","",IF(E24="","Set Minimum",IF(G24&gt;0,"Coverage Gap","Covered")))</x:f>
        <x:v>Coverage Gap</x:v>
      </x:c>
      <x:c r="I24" s="24"/>
      <x:c r="J24" s="24"/>
      <x:c r="K24" s="24"/>
      <x:c r="L24" s="27"/>
      <x:c r="M24" s="26"/>
    </x:row>
    <x:row r="25">
      <x:c r="A25" s="24" t="str">
        <x:v>ENG-PM-004</x:v>
      </x:c>
      <x:c r="B25" s="25" t="str">
        <x:f>IF(A25="","",IFERROR(VLOOKUP(A25,'02 Skill Catalogue'!$A$6:$K$95,4,FALSE),"Skill not found"))</x:f>
        <x:v>Planned maintenance execution</x:v>
      </x:c>
      <x:c r="C25" s="25" t="str">
        <x:f>IF(A25="","",IFERROR(VLOOKUP(A25,'02 Skill Catalogue'!$A$6:$K$95,2,FALSE),""))</x:f>
        <x:v>Engineering</x:v>
      </x:c>
      <x:c r="D25" s="25" t="str">
        <x:f>IF(A25="","",IFERROR(VLOOKUP(A25,'02 Skill Catalogue'!$A$6:$K$95,6,FALSE),""))</x:f>
        <x:v>Yes</x:v>
      </x:c>
      <x:c r="E25" s="24" t="n">
        <x:v>2</x:v>
      </x:c>
      <x:c r="F25" s="25" t="n">
        <x:f>IF(A25="","",COUNTIFS('04 Assessment Log'!$J$6:$J$155,A25,'04 Assessment Log'!$AA$6:$AA$155,"Yes",'04 Assessment Log'!$S$6:$S$155,"Meets / Exceeds",'04 Assessment Log'!$W$6:$W$155,"Verified",'04 Assessment Log'!$AD$6:$AD$155,"Current"))</x:f>
        <x:v>0</x:v>
      </x:c>
      <x:c r="G25" s="25" t="n">
        <x:f>IF(OR(A25="",E25=""),"",MAX(E25-F25,0))</x:f>
        <x:v>2</x:v>
      </x:c>
      <x:c r="H25" s="25" t="str">
        <x:f>IF(A25="","",IF(E25="","Set Minimum",IF(G25&gt;0,"Coverage Gap","Covered")))</x:f>
        <x:v>Coverage Gap</x:v>
      </x:c>
      <x:c r="I25" s="24"/>
      <x:c r="J25" s="24"/>
      <x:c r="K25" s="24"/>
      <x:c r="L25" s="27"/>
      <x:c r="M25" s="26"/>
    </x:row>
    <x:row r="26">
      <x:c r="A26" s="24" t="str">
        <x:v>ENG-RCM-005</x:v>
      </x:c>
      <x:c r="B26" s="25" t="str">
        <x:f>IF(A26="","",IFERROR(VLOOKUP(A26,'02 Skill Catalogue'!$A$6:$K$95,4,FALSE),"Skill not found"))</x:f>
        <x:v>Reliability and breakdown root-cause elimination</x:v>
      </x:c>
      <x:c r="C26" s="25" t="str">
        <x:f>IF(A26="","",IFERROR(VLOOKUP(A26,'02 Skill Catalogue'!$A$6:$K$95,2,FALSE),""))</x:f>
        <x:v>Engineering</x:v>
      </x:c>
      <x:c r="D26" s="25" t="str">
        <x:f>IF(A26="","",IFERROR(VLOOKUP(A26,'02 Skill Catalogue'!$A$6:$K$95,6,FALSE),""))</x:f>
        <x:v>Yes</x:v>
      </x:c>
      <x:c r="E26" s="24" t="n">
        <x:v>2</x:v>
      </x:c>
      <x:c r="F26" s="25" t="n">
        <x:f>IF(A26="","",COUNTIFS('04 Assessment Log'!$J$6:$J$155,A26,'04 Assessment Log'!$AA$6:$AA$155,"Yes",'04 Assessment Log'!$S$6:$S$155,"Meets / Exceeds",'04 Assessment Log'!$W$6:$W$155,"Verified",'04 Assessment Log'!$AD$6:$AD$155,"Current"))</x:f>
        <x:v>0</x:v>
      </x:c>
      <x:c r="G26" s="25" t="n">
        <x:f>IF(OR(A26="",E26=""),"",MAX(E26-F26,0))</x:f>
        <x:v>2</x:v>
      </x:c>
      <x:c r="H26" s="25" t="str">
        <x:f>IF(A26="","",IF(E26="","Set Minimum",IF(G26&gt;0,"Coverage Gap","Covered")))</x:f>
        <x:v>Coverage Gap</x:v>
      </x:c>
      <x:c r="I26" s="24"/>
      <x:c r="J26" s="24"/>
      <x:c r="K26" s="24"/>
      <x:c r="L26" s="27"/>
      <x:c r="M26" s="26"/>
    </x:row>
    <x:row r="27">
      <x:c r="A27" s="24" t="str">
        <x:v>ENG-CAL-006</x:v>
      </x:c>
      <x:c r="B27" s="25" t="str">
        <x:f>IF(A27="","",IFERROR(VLOOKUP(A27,'02 Skill Catalogue'!$A$6:$K$95,4,FALSE),"Skill not found"))</x:f>
        <x:v>Calibration and measurement-system control</x:v>
      </x:c>
      <x:c r="C27" s="25" t="str">
        <x:f>IF(A27="","",IFERROR(VLOOKUP(A27,'02 Skill Catalogue'!$A$6:$K$95,2,FALSE),""))</x:f>
        <x:v>Engineering</x:v>
      </x:c>
      <x:c r="D27" s="25" t="str">
        <x:f>IF(A27="","",IFERROR(VLOOKUP(A27,'02 Skill Catalogue'!$A$6:$K$95,6,FALSE),""))</x:f>
        <x:v>Yes</x:v>
      </x:c>
      <x:c r="E27" s="24" t="n">
        <x:v>2</x:v>
      </x:c>
      <x:c r="F27" s="25" t="n">
        <x:f>IF(A27="","",COUNTIFS('04 Assessment Log'!$J$6:$J$155,A27,'04 Assessment Log'!$AA$6:$AA$155,"Yes",'04 Assessment Log'!$S$6:$S$155,"Meets / Exceeds",'04 Assessment Log'!$W$6:$W$155,"Verified",'04 Assessment Log'!$AD$6:$AD$155,"Current"))</x:f>
        <x:v>0</x:v>
      </x:c>
      <x:c r="G27" s="25" t="n">
        <x:f>IF(OR(A27="",E27=""),"",MAX(E27-F27,0))</x:f>
        <x:v>2</x:v>
      </x:c>
      <x:c r="H27" s="25" t="str">
        <x:f>IF(A27="","",IF(E27="","Set Minimum",IF(G27&gt;0,"Coverage Gap","Covered")))</x:f>
        <x:v>Coverage Gap</x:v>
      </x:c>
      <x:c r="I27" s="24"/>
      <x:c r="J27" s="24"/>
      <x:c r="K27" s="24"/>
      <x:c r="L27" s="27"/>
      <x:c r="M27" s="26"/>
    </x:row>
    <x:row r="28">
      <x:c r="A28" s="24" t="str">
        <x:v>ENG-UTIL-007</x:v>
      </x:c>
      <x:c r="B28" s="25" t="str">
        <x:f>IF(A28="","",IFERROR(VLOOKUP(A28,'02 Skill Catalogue'!$A$6:$K$95,4,FALSE),"Skill not found"))</x:f>
        <x:v>Utilities operation and energy control</x:v>
      </x:c>
      <x:c r="C28" s="25" t="str">
        <x:f>IF(A28="","",IFERROR(VLOOKUP(A28,'02 Skill Catalogue'!$A$6:$K$95,2,FALSE),""))</x:f>
        <x:v>Engineering</x:v>
      </x:c>
      <x:c r="D28" s="25" t="str">
        <x:f>IF(A28="","",IFERROR(VLOOKUP(A28,'02 Skill Catalogue'!$A$6:$K$95,6,FALSE),""))</x:f>
        <x:v>Yes</x:v>
      </x:c>
      <x:c r="E28" s="24" t="n">
        <x:v>2</x:v>
      </x:c>
      <x:c r="F28" s="25" t="n">
        <x:f>IF(A28="","",COUNTIFS('04 Assessment Log'!$J$6:$J$155,A28,'04 Assessment Log'!$AA$6:$AA$155,"Yes",'04 Assessment Log'!$S$6:$S$155,"Meets / Exceeds",'04 Assessment Log'!$W$6:$W$155,"Verified",'04 Assessment Log'!$AD$6:$AD$155,"Current"))</x:f>
        <x:v>0</x:v>
      </x:c>
      <x:c r="G28" s="25" t="n">
        <x:f>IF(OR(A28="",E28=""),"",MAX(E28-F28,0))</x:f>
        <x:v>2</x:v>
      </x:c>
      <x:c r="H28" s="25" t="str">
        <x:f>IF(A28="","",IF(E28="","Set Minimum",IF(G28&gt;0,"Coverage Gap","Covered")))</x:f>
        <x:v>Coverage Gap</x:v>
      </x:c>
      <x:c r="I28" s="24"/>
      <x:c r="J28" s="24"/>
      <x:c r="K28" s="24"/>
      <x:c r="L28" s="27"/>
      <x:c r="M28" s="26"/>
    </x:row>
    <x:row r="29">
      <x:c r="A29" s="24" t="str">
        <x:v>ENG-OT-010</x:v>
      </x:c>
      <x:c r="B29" s="25" t="str">
        <x:f>IF(A29="","",IFERROR(VLOOKUP(A29,'02 Skill Catalogue'!$A$6:$K$95,4,FALSE),"Skill not found"))</x:f>
        <x:v>Operational-technology cybersecurity</x:v>
      </x:c>
      <x:c r="C29" s="25" t="str">
        <x:f>IF(A29="","",IFERROR(VLOOKUP(A29,'02 Skill Catalogue'!$A$6:$K$95,2,FALSE),""))</x:f>
        <x:v>Engineering</x:v>
      </x:c>
      <x:c r="D29" s="25" t="str">
        <x:f>IF(A29="","",IFERROR(VLOOKUP(A29,'02 Skill Catalogue'!$A$6:$K$95,6,FALSE),""))</x:f>
        <x:v>Yes</x:v>
      </x:c>
      <x:c r="E29" s="24" t="n">
        <x:v>2</x:v>
      </x:c>
      <x:c r="F29" s="25" t="n">
        <x:f>IF(A29="","",COUNTIFS('04 Assessment Log'!$J$6:$J$155,A29,'04 Assessment Log'!$AA$6:$AA$155,"Yes",'04 Assessment Log'!$S$6:$S$155,"Meets / Exceeds",'04 Assessment Log'!$W$6:$W$155,"Verified",'04 Assessment Log'!$AD$6:$AD$155,"Current"))</x:f>
        <x:v>0</x:v>
      </x:c>
      <x:c r="G29" s="25" t="n">
        <x:f>IF(OR(A29="",E29=""),"",MAX(E29-F29,0))</x:f>
        <x:v>2</x:v>
      </x:c>
      <x:c r="H29" s="25" t="str">
        <x:f>IF(A29="","",IF(E29="","Set Minimum",IF(G29&gt;0,"Coverage Gap","Covered")))</x:f>
        <x:v>Coverage Gap</x:v>
      </x:c>
      <x:c r="I29" s="24"/>
      <x:c r="J29" s="24"/>
      <x:c r="K29" s="24"/>
      <x:c r="L29" s="27"/>
      <x:c r="M29" s="26"/>
    </x:row>
    <x:row r="30">
      <x:c r="A30" s="24" t="str">
        <x:v>QAC-TEST-001</x:v>
      </x:c>
      <x:c r="B30" s="25" t="str">
        <x:f>IF(A30="","",IFERROR(VLOOKUP(A30,'02 Skill Catalogue'!$A$6:$K$95,4,FALSE),"Skill not found"))</x:f>
        <x:v>Sampling and tape laboratory testing</x:v>
      </x:c>
      <x:c r="C30" s="25" t="str">
        <x:f>IF(A30="","",IFERROR(VLOOKUP(A30,'02 Skill Catalogue'!$A$6:$K$95,2,FALSE),""))</x:f>
        <x:v>QAC/R&amp;D</x:v>
      </x:c>
      <x:c r="D30" s="25" t="str">
        <x:f>IF(A30="","",IFERROR(VLOOKUP(A30,'02 Skill Catalogue'!$A$6:$K$95,6,FALSE),""))</x:f>
        <x:v>Yes</x:v>
      </x:c>
      <x:c r="E30" s="24" t="n">
        <x:v>2</x:v>
      </x:c>
      <x:c r="F30" s="25" t="n">
        <x:f>IF(A30="","",COUNTIFS('04 Assessment Log'!$J$6:$J$155,A30,'04 Assessment Log'!$AA$6:$AA$155,"Yes",'04 Assessment Log'!$S$6:$S$155,"Meets / Exceeds",'04 Assessment Log'!$W$6:$W$155,"Verified",'04 Assessment Log'!$AD$6:$AD$155,"Current"))</x:f>
        <x:v>0</x:v>
      </x:c>
      <x:c r="G30" s="25" t="n">
        <x:f>IF(OR(A30="",E30=""),"",MAX(E30-F30,0))</x:f>
        <x:v>2</x:v>
      </x:c>
      <x:c r="H30" s="25" t="str">
        <x:f>IF(A30="","",IF(E30="","Set Minimum",IF(G30&gt;0,"Coverage Gap","Covered")))</x:f>
        <x:v>Coverage Gap</x:v>
      </x:c>
      <x:c r="I30" s="24"/>
      <x:c r="J30" s="24"/>
      <x:c r="K30" s="24"/>
      <x:c r="L30" s="27"/>
      <x:c r="M30" s="26"/>
    </x:row>
    <x:row r="31">
      <x:c r="A31" s="24" t="str">
        <x:v>QAC-MET-002</x:v>
      </x:c>
      <x:c r="B31" s="25" t="str">
        <x:f>IF(A31="","",IFERROR(VLOOKUP(A31,'02 Skill Catalogue'!$A$6:$K$95,4,FALSE),"Skill not found"))</x:f>
        <x:v>Metrology and measurement-system understanding</x:v>
      </x:c>
      <x:c r="C31" s="25" t="str">
        <x:f>IF(A31="","",IFERROR(VLOOKUP(A31,'02 Skill Catalogue'!$A$6:$K$95,2,FALSE),""))</x:f>
        <x:v>QAC/R&amp;D</x:v>
      </x:c>
      <x:c r="D31" s="25" t="str">
        <x:f>IF(A31="","",IFERROR(VLOOKUP(A31,'02 Skill Catalogue'!$A$6:$K$95,6,FALSE),""))</x:f>
        <x:v>Yes</x:v>
      </x:c>
      <x:c r="E31" s="24" t="n">
        <x:v>2</x:v>
      </x:c>
      <x:c r="F31" s="25" t="n">
        <x:f>IF(A31="","",COUNTIFS('04 Assessment Log'!$J$6:$J$155,A31,'04 Assessment Log'!$AA$6:$AA$155,"Yes",'04 Assessment Log'!$S$6:$S$155,"Meets / Exceeds",'04 Assessment Log'!$W$6:$W$155,"Verified",'04 Assessment Log'!$AD$6:$AD$155,"Current"))</x:f>
        <x:v>0</x:v>
      </x:c>
      <x:c r="G31" s="25" t="n">
        <x:f>IF(OR(A31="",E31=""),"",MAX(E31-F31,0))</x:f>
        <x:v>2</x:v>
      </x:c>
      <x:c r="H31" s="25" t="str">
        <x:f>IF(A31="","",IF(E31="","Set Minimum",IF(G31&gt;0,"Coverage Gap","Covered")))</x:f>
        <x:v>Coverage Gap</x:v>
      </x:c>
      <x:c r="I31" s="24"/>
      <x:c r="J31" s="24"/>
      <x:c r="K31" s="24"/>
      <x:c r="L31" s="27"/>
      <x:c r="M31" s="26"/>
    </x:row>
    <x:row r="32">
      <x:c r="A32" s="24" t="str">
        <x:v>QAC-DEF-003</x:v>
      </x:c>
      <x:c r="B32" s="25" t="str">
        <x:f>IF(A32="","",IFERROR(VLOOKUP(A32,'02 Skill Catalogue'!$A$6:$K$95,4,FALSE),"Skill not found"))</x:f>
        <x:v>Defect classification and acceptance decision</x:v>
      </x:c>
      <x:c r="C32" s="25" t="str">
        <x:f>IF(A32="","",IFERROR(VLOOKUP(A32,'02 Skill Catalogue'!$A$6:$K$95,2,FALSE),""))</x:f>
        <x:v>QAC/R&amp;D</x:v>
      </x:c>
      <x:c r="D32" s="25" t="str">
        <x:f>IF(A32="","",IFERROR(VLOOKUP(A32,'02 Skill Catalogue'!$A$6:$K$95,6,FALSE),""))</x:f>
        <x:v>Yes</x:v>
      </x:c>
      <x:c r="E32" s="24" t="n">
        <x:v>2</x:v>
      </x:c>
      <x:c r="F32" s="25" t="n">
        <x:f>IF(A32="","",COUNTIFS('04 Assessment Log'!$J$6:$J$155,A32,'04 Assessment Log'!$AA$6:$AA$155,"Yes",'04 Assessment Log'!$S$6:$S$155,"Meets / Exceeds",'04 Assessment Log'!$W$6:$W$155,"Verified",'04 Assessment Log'!$AD$6:$AD$155,"Current"))</x:f>
        <x:v>0</x:v>
      </x:c>
      <x:c r="G32" s="25" t="n">
        <x:f>IF(OR(A32="",E32=""),"",MAX(E32-F32,0))</x:f>
        <x:v>2</x:v>
      </x:c>
      <x:c r="H32" s="25" t="str">
        <x:f>IF(A32="","",IF(E32="","Set Minimum",IF(G32&gt;0,"Coverage Gap","Covered")))</x:f>
        <x:v>Coverage Gap</x:v>
      </x:c>
      <x:c r="I32" s="24"/>
      <x:c r="J32" s="24"/>
      <x:c r="K32" s="24"/>
      <x:c r="L32" s="27"/>
      <x:c r="M32" s="26"/>
    </x:row>
    <x:row r="33">
      <x:c r="A33" s="24" t="str">
        <x:v>QAC-RELEASE-005</x:v>
      </x:c>
      <x:c r="B33" s="25" t="str">
        <x:f>IF(A33="","",IFERROR(VLOOKUP(A33,'02 Skill Catalogue'!$A$6:$K$95,4,FALSE),"Skill not found"))</x:f>
        <x:v>Product release, hold and concession control</x:v>
      </x:c>
      <x:c r="C33" s="25" t="str">
        <x:f>IF(A33="","",IFERROR(VLOOKUP(A33,'02 Skill Catalogue'!$A$6:$K$95,2,FALSE),""))</x:f>
        <x:v>QAC/R&amp;D</x:v>
      </x:c>
      <x:c r="D33" s="25" t="str">
        <x:f>IF(A33="","",IFERROR(VLOOKUP(A33,'02 Skill Catalogue'!$A$6:$K$95,6,FALSE),""))</x:f>
        <x:v>Yes</x:v>
      </x:c>
      <x:c r="E33" s="24" t="n">
        <x:v>2</x:v>
      </x:c>
      <x:c r="F33" s="25" t="n">
        <x:f>IF(A33="","",COUNTIFS('04 Assessment Log'!$J$6:$J$155,A33,'04 Assessment Log'!$AA$6:$AA$155,"Yes",'04 Assessment Log'!$S$6:$S$155,"Meets / Exceeds",'04 Assessment Log'!$W$6:$W$155,"Verified",'04 Assessment Log'!$AD$6:$AD$155,"Current"))</x:f>
        <x:v>0</x:v>
      </x:c>
      <x:c r="G33" s="25" t="n">
        <x:f>IF(OR(A33="",E33=""),"",MAX(E33-F33,0))</x:f>
        <x:v>2</x:v>
      </x:c>
      <x:c r="H33" s="25" t="str">
        <x:f>IF(A33="","",IF(E33="","Set Minimum",IF(G33&gt;0,"Coverage Gap","Covered")))</x:f>
        <x:v>Coverage Gap</x:v>
      </x:c>
      <x:c r="I33" s="24"/>
      <x:c r="J33" s="24"/>
      <x:c r="K33" s="24"/>
      <x:c r="L33" s="27"/>
      <x:c r="M33" s="26"/>
    </x:row>
    <x:row r="34">
      <x:c r="A34" s="24" t="str">
        <x:v>QAC-RCA-006</x:v>
      </x:c>
      <x:c r="B34" s="25" t="str">
        <x:f>IF(A34="","",IFERROR(VLOOKUP(A34,'02 Skill Catalogue'!$A$6:$K$95,4,FALSE),"Skill not found"))</x:f>
        <x:v>Technical root cause and CAPA</x:v>
      </x:c>
      <x:c r="C34" s="25" t="str">
        <x:f>IF(A34="","",IFERROR(VLOOKUP(A34,'02 Skill Catalogue'!$A$6:$K$95,2,FALSE),""))</x:f>
        <x:v>QAC/R&amp;D</x:v>
      </x:c>
      <x:c r="D34" s="25" t="str">
        <x:f>IF(A34="","",IFERROR(VLOOKUP(A34,'02 Skill Catalogue'!$A$6:$K$95,6,FALSE),""))</x:f>
        <x:v>Yes</x:v>
      </x:c>
      <x:c r="E34" s="24" t="n">
        <x:v>2</x:v>
      </x:c>
      <x:c r="F34" s="25" t="n">
        <x:f>IF(A34="","",COUNTIFS('04 Assessment Log'!$J$6:$J$155,A34,'04 Assessment Log'!$AA$6:$AA$155,"Yes",'04 Assessment Log'!$S$6:$S$155,"Meets / Exceeds",'04 Assessment Log'!$W$6:$W$155,"Verified",'04 Assessment Log'!$AD$6:$AD$155,"Current"))</x:f>
        <x:v>0</x:v>
      </x:c>
      <x:c r="G34" s="25" t="n">
        <x:f>IF(OR(A34="",E34=""),"",MAX(E34-F34,0))</x:f>
        <x:v>2</x:v>
      </x:c>
      <x:c r="H34" s="25" t="str">
        <x:f>IF(A34="","",IF(E34="","Set Minimum",IF(G34&gt;0,"Coverage Gap","Covered")))</x:f>
        <x:v>Coverage Gap</x:v>
      </x:c>
      <x:c r="I34" s="24"/>
      <x:c r="J34" s="24"/>
      <x:c r="K34" s="24"/>
      <x:c r="L34" s="27"/>
      <x:c r="M34" s="26"/>
    </x:row>
    <x:row r="35">
      <x:c r="A35" s="24" t="str">
        <x:v>RND-FORM-007</x:v>
      </x:c>
      <x:c r="B35" s="25" t="str">
        <x:f>IF(A35="","",IFERROR(VLOOKUP(A35,'02 Skill Catalogue'!$A$6:$K$95,4,FALSE),"Skill not found"))</x:f>
        <x:v>Adhesive, film and tape construction knowledge</x:v>
      </x:c>
      <x:c r="C35" s="25" t="str">
        <x:f>IF(A35="","",IFERROR(VLOOKUP(A35,'02 Skill Catalogue'!$A$6:$K$95,2,FALSE),""))</x:f>
        <x:v>QAC/R&amp;D</x:v>
      </x:c>
      <x:c r="D35" s="25" t="str">
        <x:f>IF(A35="","",IFERROR(VLOOKUP(A35,'02 Skill Catalogue'!$A$6:$K$95,6,FALSE),""))</x:f>
        <x:v>Yes</x:v>
      </x:c>
      <x:c r="E35" s="24" t="n">
        <x:v>2</x:v>
      </x:c>
      <x:c r="F35" s="25" t="n">
        <x:f>IF(A35="","",COUNTIFS('04 Assessment Log'!$J$6:$J$155,A35,'04 Assessment Log'!$AA$6:$AA$155,"Yes",'04 Assessment Log'!$S$6:$S$155,"Meets / Exceeds",'04 Assessment Log'!$W$6:$W$155,"Verified",'04 Assessment Log'!$AD$6:$AD$155,"Current"))</x:f>
        <x:v>0</x:v>
      </x:c>
      <x:c r="G35" s="25" t="n">
        <x:f>IF(OR(A35="",E35=""),"",MAX(E35-F35,0))</x:f>
        <x:v>2</x:v>
      </x:c>
      <x:c r="H35" s="25" t="str">
        <x:f>IF(A35="","",IF(E35="","Set Minimum",IF(G35&gt;0,"Coverage Gap","Covered")))</x:f>
        <x:v>Coverage Gap</x:v>
      </x:c>
      <x:c r="I35" s="24"/>
      <x:c r="J35" s="24"/>
      <x:c r="K35" s="24"/>
      <x:c r="L35" s="27"/>
      <x:c r="M35" s="26"/>
    </x:row>
    <x:row r="36">
      <x:c r="A36" s="24" t="str">
        <x:v>QAC-CLAIM-009</x:v>
      </x:c>
      <x:c r="B36" s="25" t="str">
        <x:f>IF(A36="","",IFERROR(VLOOKUP(A36,'02 Skill Catalogue'!$A$6:$K$95,4,FALSE),"Skill not found"))</x:f>
        <x:v>Customer application and claim investigation</x:v>
      </x:c>
      <x:c r="C36" s="25" t="str">
        <x:f>IF(A36="","",IFERROR(VLOOKUP(A36,'02 Skill Catalogue'!$A$6:$K$95,2,FALSE),""))</x:f>
        <x:v>QAC/R&amp;D</x:v>
      </x:c>
      <x:c r="D36" s="25" t="str">
        <x:f>IF(A36="","",IFERROR(VLOOKUP(A36,'02 Skill Catalogue'!$A$6:$K$95,6,FALSE),""))</x:f>
        <x:v>Yes</x:v>
      </x:c>
      <x:c r="E36" s="24" t="n">
        <x:v>2</x:v>
      </x:c>
      <x:c r="F36" s="25" t="n">
        <x:f>IF(A36="","",COUNTIFS('04 Assessment Log'!$J$6:$J$155,A36,'04 Assessment Log'!$AA$6:$AA$155,"Yes",'04 Assessment Log'!$S$6:$S$155,"Meets / Exceeds",'04 Assessment Log'!$W$6:$W$155,"Verified",'04 Assessment Log'!$AD$6:$AD$155,"Current"))</x:f>
        <x:v>0</x:v>
      </x:c>
      <x:c r="G36" s="25" t="n">
        <x:f>IF(OR(A36="",E36=""),"",MAX(E36-F36,0))</x:f>
        <x:v>2</x:v>
      </x:c>
      <x:c r="H36" s="25" t="str">
        <x:f>IF(A36="","",IF(E36="","Set Minimum",IF(G36&gt;0,"Coverage Gap","Covered")))</x:f>
        <x:v>Coverage Gap</x:v>
      </x:c>
      <x:c r="I36" s="24"/>
      <x:c r="J36" s="24"/>
      <x:c r="K36" s="24"/>
      <x:c r="L36" s="27"/>
      <x:c r="M36" s="26"/>
    </x:row>
    <x:row r="37">
      <x:c r="A37" s="24" t="str">
        <x:v>QAC-DOC-010</x:v>
      </x:c>
      <x:c r="B37" s="25" t="str">
        <x:f>IF(A37="","",IFERROR(VLOOKUP(A37,'02 Skill Catalogue'!$A$6:$K$95,4,FALSE),"Skill not found"))</x:f>
        <x:v>Specification, COA and controlled-document management</x:v>
      </x:c>
      <x:c r="C37" s="25" t="str">
        <x:f>IF(A37="","",IFERROR(VLOOKUP(A37,'02 Skill Catalogue'!$A$6:$K$95,2,FALSE),""))</x:f>
        <x:v>QAC/R&amp;D</x:v>
      </x:c>
      <x:c r="D37" s="25" t="str">
        <x:f>IF(A37="","",IFERROR(VLOOKUP(A37,'02 Skill Catalogue'!$A$6:$K$95,6,FALSE),""))</x:f>
        <x:v>Yes</x:v>
      </x:c>
      <x:c r="E37" s="24" t="n">
        <x:v>2</x:v>
      </x:c>
      <x:c r="F37" s="25" t="n">
        <x:f>IF(A37="","",COUNTIFS('04 Assessment Log'!$J$6:$J$155,A37,'04 Assessment Log'!$AA$6:$AA$155,"Yes",'04 Assessment Log'!$S$6:$S$155,"Meets / Exceeds",'04 Assessment Log'!$W$6:$W$155,"Verified",'04 Assessment Log'!$AD$6:$AD$155,"Current"))</x:f>
        <x:v>0</x:v>
      </x:c>
      <x:c r="G37" s="25" t="n">
        <x:f>IF(OR(A37="",E37=""),"",MAX(E37-F37,0))</x:f>
        <x:v>2</x:v>
      </x:c>
      <x:c r="H37" s="25" t="str">
        <x:f>IF(A37="","",IF(E37="","Set Minimum",IF(G37&gt;0,"Coverage Gap","Covered")))</x:f>
        <x:v>Coverage Gap</x:v>
      </x:c>
      <x:c r="I37" s="24"/>
      <x:c r="J37" s="24"/>
      <x:c r="K37" s="24"/>
      <x:c r="L37" s="27"/>
      <x:c r="M37" s="26"/>
    </x:row>
    <x:row r="38">
      <x:c r="A38" s="24" t="str">
        <x:v>PLAN-MRP-001</x:v>
      </x:c>
      <x:c r="B38" s="25" t="str">
        <x:f>IF(A38="","",IFERROR(VLOOKUP(A38,'02 Skill Catalogue'!$A$6:$K$95,4,FALSE),"Skill not found"))</x:f>
        <x:v>AX/MRP planning discipline</x:v>
      </x:c>
      <x:c r="C38" s="25" t="str">
        <x:f>IF(A38="","",IFERROR(VLOOKUP(A38,'02 Skill Catalogue'!$A$6:$K$95,2,FALSE),""))</x:f>
        <x:v>Planning</x:v>
      </x:c>
      <x:c r="D38" s="25" t="str">
        <x:f>IF(A38="","",IFERROR(VLOOKUP(A38,'02 Skill Catalogue'!$A$6:$K$95,6,FALSE),""))</x:f>
        <x:v>Yes</x:v>
      </x:c>
      <x:c r="E38" s="24" t="n">
        <x:v>2</x:v>
      </x:c>
      <x:c r="F38" s="25" t="n">
        <x:f>IF(A38="","",COUNTIFS('04 Assessment Log'!$J$6:$J$155,A38,'04 Assessment Log'!$AA$6:$AA$155,"Yes",'04 Assessment Log'!$S$6:$S$155,"Meets / Exceeds",'04 Assessment Log'!$W$6:$W$155,"Verified",'04 Assessment Log'!$AD$6:$AD$155,"Current"))</x:f>
        <x:v>0</x:v>
      </x:c>
      <x:c r="G38" s="25" t="n">
        <x:f>IF(OR(A38="",E38=""),"",MAX(E38-F38,0))</x:f>
        <x:v>2</x:v>
      </x:c>
      <x:c r="H38" s="25" t="str">
        <x:f>IF(A38="","",IF(E38="","Set Minimum",IF(G38&gt;0,"Coverage Gap","Covered")))</x:f>
        <x:v>Coverage Gap</x:v>
      </x:c>
      <x:c r="I38" s="24"/>
      <x:c r="J38" s="24"/>
      <x:c r="K38" s="24"/>
      <x:c r="L38" s="27"/>
      <x:c r="M38" s="26"/>
    </x:row>
    <x:row r="39">
      <x:c r="A39" s="24" t="str">
        <x:v>PLAN-CAP-002</x:v>
      </x:c>
      <x:c r="B39" s="25" t="str">
        <x:f>IF(A39="","",IFERROR(VLOOKUP(A39,'02 Skill Catalogue'!$A$6:$K$95,4,FALSE),"Skill not found"))</x:f>
        <x:v>Capacity and constraint planning</x:v>
      </x:c>
      <x:c r="C39" s="25" t="str">
        <x:f>IF(A39="","",IFERROR(VLOOKUP(A39,'02 Skill Catalogue'!$A$6:$K$95,2,FALSE),""))</x:f>
        <x:v>Planning</x:v>
      </x:c>
      <x:c r="D39" s="25" t="str">
        <x:f>IF(A39="","",IFERROR(VLOOKUP(A39,'02 Skill Catalogue'!$A$6:$K$95,6,FALSE),""))</x:f>
        <x:v>Yes</x:v>
      </x:c>
      <x:c r="E39" s="24" t="n">
        <x:v>2</x:v>
      </x:c>
      <x:c r="F39" s="25" t="n">
        <x:f>IF(A39="","",COUNTIFS('04 Assessment Log'!$J$6:$J$155,A39,'04 Assessment Log'!$AA$6:$AA$155,"Yes",'04 Assessment Log'!$S$6:$S$155,"Meets / Exceeds",'04 Assessment Log'!$W$6:$W$155,"Verified",'04 Assessment Log'!$AD$6:$AD$155,"Current"))</x:f>
        <x:v>0</x:v>
      </x:c>
      <x:c r="G39" s="25" t="n">
        <x:f>IF(OR(A39="",E39=""),"",MAX(E39-F39,0))</x:f>
        <x:v>2</x:v>
      </x:c>
      <x:c r="H39" s="25" t="str">
        <x:f>IF(A39="","",IF(E39="","Set Minimum",IF(G39&gt;0,"Coverage Gap","Covered")))</x:f>
        <x:v>Coverage Gap</x:v>
      </x:c>
      <x:c r="I39" s="24"/>
      <x:c r="J39" s="24"/>
      <x:c r="K39" s="24"/>
      <x:c r="L39" s="27"/>
      <x:c r="M39" s="26"/>
    </x:row>
    <x:row r="40">
      <x:c r="A40" s="24" t="str">
        <x:v>PLAN-SEQ-003</x:v>
      </x:c>
      <x:c r="B40" s="25" t="str">
        <x:f>IF(A40="","",IFERROR(VLOOKUP(A40,'02 Skill Catalogue'!$A$6:$K$95,4,FALSE),"Skill not found"))</x:f>
        <x:v>Production sequencing and schedule stability</x:v>
      </x:c>
      <x:c r="C40" s="25" t="str">
        <x:f>IF(A40="","",IFERROR(VLOOKUP(A40,'02 Skill Catalogue'!$A$6:$K$95,2,FALSE),""))</x:f>
        <x:v>Planning</x:v>
      </x:c>
      <x:c r="D40" s="25" t="str">
        <x:f>IF(A40="","",IFERROR(VLOOKUP(A40,'02 Skill Catalogue'!$A$6:$K$95,6,FALSE),""))</x:f>
        <x:v>Yes</x:v>
      </x:c>
      <x:c r="E40" s="24" t="n">
        <x:v>2</x:v>
      </x:c>
      <x:c r="F40" s="25" t="n">
        <x:f>IF(A40="","",COUNTIFS('04 Assessment Log'!$J$6:$J$155,A40,'04 Assessment Log'!$AA$6:$AA$155,"Yes",'04 Assessment Log'!$S$6:$S$155,"Meets / Exceeds",'04 Assessment Log'!$W$6:$W$155,"Verified",'04 Assessment Log'!$AD$6:$AD$155,"Current"))</x:f>
        <x:v>0</x:v>
      </x:c>
      <x:c r="G40" s="25" t="n">
        <x:f>IF(OR(A40="",E40=""),"",MAX(E40-F40,0))</x:f>
        <x:v>2</x:v>
      </x:c>
      <x:c r="H40" s="25" t="str">
        <x:f>IF(A40="","",IF(E40="","Set Minimum",IF(G40&gt;0,"Coverage Gap","Covered")))</x:f>
        <x:v>Coverage Gap</x:v>
      </x:c>
      <x:c r="I40" s="24"/>
      <x:c r="J40" s="24"/>
      <x:c r="K40" s="24"/>
      <x:c r="L40" s="27"/>
      <x:c r="M40" s="26"/>
    </x:row>
    <x:row r="41">
      <x:c r="A41" s="24" t="str">
        <x:v>PLAN-MAT-004</x:v>
      </x:c>
      <x:c r="B41" s="25" t="str">
        <x:f>IF(A41="","",IFERROR(VLOOKUP(A41,'02 Skill Catalogue'!$A$6:$K$95,4,FALSE),"Skill not found"))</x:f>
        <x:v>Material availability and shortage control</x:v>
      </x:c>
      <x:c r="C41" s="25" t="str">
        <x:f>IF(A41="","",IFERROR(VLOOKUP(A41,'02 Skill Catalogue'!$A$6:$K$95,2,FALSE),""))</x:f>
        <x:v>Planning</x:v>
      </x:c>
      <x:c r="D41" s="25" t="str">
        <x:f>IF(A41="","",IFERROR(VLOOKUP(A41,'02 Skill Catalogue'!$A$6:$K$95,6,FALSE),""))</x:f>
        <x:v>Yes</x:v>
      </x:c>
      <x:c r="E41" s="24" t="n">
        <x:v>2</x:v>
      </x:c>
      <x:c r="F41" s="25" t="n">
        <x:f>IF(A41="","",COUNTIFS('04 Assessment Log'!$J$6:$J$155,A41,'04 Assessment Log'!$AA$6:$AA$155,"Yes",'04 Assessment Log'!$S$6:$S$155,"Meets / Exceeds",'04 Assessment Log'!$W$6:$W$155,"Verified",'04 Assessment Log'!$AD$6:$AD$155,"Current"))</x:f>
        <x:v>0</x:v>
      </x:c>
      <x:c r="G41" s="25" t="n">
        <x:f>IF(OR(A41="",E41=""),"",MAX(E41-F41,0))</x:f>
        <x:v>2</x:v>
      </x:c>
      <x:c r="H41" s="25" t="str">
        <x:f>IF(A41="","",IF(E41="","Set Minimum",IF(G41&gt;0,"Coverage Gap","Covered")))</x:f>
        <x:v>Coverage Gap</x:v>
      </x:c>
      <x:c r="I41" s="24"/>
      <x:c r="J41" s="24"/>
      <x:c r="K41" s="24"/>
      <x:c r="L41" s="27"/>
      <x:c r="M41" s="26"/>
    </x:row>
    <x:row r="42">
      <x:c r="A42" s="24" t="str">
        <x:v>PLAN-OTIF-006</x:v>
      </x:c>
      <x:c r="B42" s="25" t="str">
        <x:f>IF(A42="","",IFERROR(VLOOKUP(A42,'02 Skill Catalogue'!$A$6:$K$95,4,FALSE),"Skill not found"))</x:f>
        <x:v>OTIF and delivery-risk management</x:v>
      </x:c>
      <x:c r="C42" s="25" t="str">
        <x:f>IF(A42="","",IFERROR(VLOOKUP(A42,'02 Skill Catalogue'!$A$6:$K$95,2,FALSE),""))</x:f>
        <x:v>Planning</x:v>
      </x:c>
      <x:c r="D42" s="25" t="str">
        <x:f>IF(A42="","",IFERROR(VLOOKUP(A42,'02 Skill Catalogue'!$A$6:$K$95,6,FALSE),""))</x:f>
        <x:v>Yes</x:v>
      </x:c>
      <x:c r="E42" s="24" t="n">
        <x:v>2</x:v>
      </x:c>
      <x:c r="F42" s="25" t="n">
        <x:f>IF(A42="","",COUNTIFS('04 Assessment Log'!$J$6:$J$155,A42,'04 Assessment Log'!$AA$6:$AA$155,"Yes",'04 Assessment Log'!$S$6:$S$155,"Meets / Exceeds",'04 Assessment Log'!$W$6:$W$155,"Verified",'04 Assessment Log'!$AD$6:$AD$155,"Current"))</x:f>
        <x:v>0</x:v>
      </x:c>
      <x:c r="G42" s="25" t="n">
        <x:f>IF(OR(A42="",E42=""),"",MAX(E42-F42,0))</x:f>
        <x:v>2</x:v>
      </x:c>
      <x:c r="H42" s="25" t="str">
        <x:f>IF(A42="","",IF(E42="","Set Minimum",IF(G42&gt;0,"Coverage Gap","Covered")))</x:f>
        <x:v>Coverage Gap</x:v>
      </x:c>
      <x:c r="I42" s="24"/>
      <x:c r="J42" s="24"/>
      <x:c r="K42" s="24"/>
      <x:c r="L42" s="27"/>
      <x:c r="M42" s="26"/>
    </x:row>
    <x:row r="43">
      <x:c r="A43" s="24" t="str">
        <x:v>PLAN-MDATA-008</x:v>
      </x:c>
      <x:c r="B43" s="25" t="str">
        <x:f>IF(A43="","",IFERROR(VLOOKUP(A43,'02 Skill Catalogue'!$A$6:$K$95,4,FALSE),"Skill not found"))</x:f>
        <x:v>Planning master-data governance</x:v>
      </x:c>
      <x:c r="C43" s="25" t="str">
        <x:f>IF(A43="","",IFERROR(VLOOKUP(A43,'02 Skill Catalogue'!$A$6:$K$95,2,FALSE),""))</x:f>
        <x:v>Planning</x:v>
      </x:c>
      <x:c r="D43" s="25" t="str">
        <x:f>IF(A43="","",IFERROR(VLOOKUP(A43,'02 Skill Catalogue'!$A$6:$K$95,6,FALSE),""))</x:f>
        <x:v>Yes</x:v>
      </x:c>
      <x:c r="E43" s="24" t="n">
        <x:v>2</x:v>
      </x:c>
      <x:c r="F43" s="25" t="n">
        <x:f>IF(A43="","",COUNTIFS('04 Assessment Log'!$J$6:$J$155,A43,'04 Assessment Log'!$AA$6:$AA$155,"Yes",'04 Assessment Log'!$S$6:$S$155,"Meets / Exceeds",'04 Assessment Log'!$W$6:$W$155,"Verified",'04 Assessment Log'!$AD$6:$AD$155,"Current"))</x:f>
        <x:v>0</x:v>
      </x:c>
      <x:c r="G43" s="25" t="n">
        <x:f>IF(OR(A43="",E43=""),"",MAX(E43-F43,0))</x:f>
        <x:v>2</x:v>
      </x:c>
      <x:c r="H43" s="25" t="str">
        <x:f>IF(A43="","",IF(E43="","Set Minimum",IF(G43&gt;0,"Coverage Gap","Covered")))</x:f>
        <x:v>Coverage Gap</x:v>
      </x:c>
      <x:c r="I43" s="24"/>
      <x:c r="J43" s="24"/>
      <x:c r="K43" s="24"/>
      <x:c r="L43" s="27"/>
      <x:c r="M43" s="26"/>
    </x:row>
    <x:row r="44">
      <x:c r="A44" s="24" t="str">
        <x:v>IT-ERP-001</x:v>
      </x:c>
      <x:c r="B44" s="25" t="str">
        <x:f>IF(A44="","",IFERROR(VLOOKUP(A44,'02 Skill Catalogue'!$A$6:$K$95,4,FALSE),"Skill not found"))</x:f>
        <x:v>AX/ERP business-process support</x:v>
      </x:c>
      <x:c r="C44" s="25" t="str">
        <x:f>IF(A44="","",IFERROR(VLOOKUP(A44,'02 Skill Catalogue'!$A$6:$K$95,2,FALSE),""))</x:f>
        <x:v>IT</x:v>
      </x:c>
      <x:c r="D44" s="25" t="str">
        <x:f>IF(A44="","",IFERROR(VLOOKUP(A44,'02 Skill Catalogue'!$A$6:$K$95,6,FALSE),""))</x:f>
        <x:v>Yes</x:v>
      </x:c>
      <x:c r="E44" s="24" t="n">
        <x:v>2</x:v>
      </x:c>
      <x:c r="F44" s="25" t="n">
        <x:f>IF(A44="","",COUNTIFS('04 Assessment Log'!$J$6:$J$155,A44,'04 Assessment Log'!$AA$6:$AA$155,"Yes",'04 Assessment Log'!$S$6:$S$155,"Meets / Exceeds",'04 Assessment Log'!$W$6:$W$155,"Verified",'04 Assessment Log'!$AD$6:$AD$155,"Current"))</x:f>
        <x:v>0</x:v>
      </x:c>
      <x:c r="G44" s="25" t="n">
        <x:f>IF(OR(A44="",E44=""),"",MAX(E44-F44,0))</x:f>
        <x:v>2</x:v>
      </x:c>
      <x:c r="H44" s="25" t="str">
        <x:f>IF(A44="","",IF(E44="","Set Minimum",IF(G44&gt;0,"Coverage Gap","Covered")))</x:f>
        <x:v>Coverage Gap</x:v>
      </x:c>
      <x:c r="I44" s="24"/>
      <x:c r="J44" s="24"/>
      <x:c r="K44" s="24"/>
      <x:c r="L44" s="27"/>
      <x:c r="M44" s="26"/>
    </x:row>
    <x:row r="45">
      <x:c r="A45" s="24" t="str">
        <x:v>IT-MES-002</x:v>
      </x:c>
      <x:c r="B45" s="25" t="str">
        <x:f>IF(A45="","",IFERROR(VLOOKUP(A45,'02 Skill Catalogue'!$A$6:$K$95,4,FALSE),"Skill not found"))</x:f>
        <x:v>MES and shop-floor integration</x:v>
      </x:c>
      <x:c r="C45" s="25" t="str">
        <x:f>IF(A45="","",IFERROR(VLOOKUP(A45,'02 Skill Catalogue'!$A$6:$K$95,2,FALSE),""))</x:f>
        <x:v>IT</x:v>
      </x:c>
      <x:c r="D45" s="25" t="str">
        <x:f>IF(A45="","",IFERROR(VLOOKUP(A45,'02 Skill Catalogue'!$A$6:$K$95,6,FALSE),""))</x:f>
        <x:v>Yes</x:v>
      </x:c>
      <x:c r="E45" s="24" t="n">
        <x:v>2</x:v>
      </x:c>
      <x:c r="F45" s="25" t="n">
        <x:f>IF(A45="","",COUNTIFS('04 Assessment Log'!$J$6:$J$155,A45,'04 Assessment Log'!$AA$6:$AA$155,"Yes",'04 Assessment Log'!$S$6:$S$155,"Meets / Exceeds",'04 Assessment Log'!$W$6:$W$155,"Verified",'04 Assessment Log'!$AD$6:$AD$155,"Current"))</x:f>
        <x:v>0</x:v>
      </x:c>
      <x:c r="G45" s="25" t="n">
        <x:f>IF(OR(A45="",E45=""),"",MAX(E45-F45,0))</x:f>
        <x:v>2</x:v>
      </x:c>
      <x:c r="H45" s="25" t="str">
        <x:f>IF(A45="","",IF(E45="","Set Minimum",IF(G45&gt;0,"Coverage Gap","Covered")))</x:f>
        <x:v>Coverage Gap</x:v>
      </x:c>
      <x:c r="I45" s="24"/>
      <x:c r="J45" s="24"/>
      <x:c r="K45" s="24"/>
      <x:c r="L45" s="27"/>
      <x:c r="M45" s="26"/>
    </x:row>
    <x:row r="46">
      <x:c r="A46" s="24" t="str">
        <x:v>IT-DATA-003</x:v>
      </x:c>
      <x:c r="B46" s="25" t="str">
        <x:f>IF(A46="","",IFERROR(VLOOKUP(A46,'02 Skill Catalogue'!$A$6:$K$95,4,FALSE),"Skill not found"))</x:f>
        <x:v>Data modelling, SQL and data quality</x:v>
      </x:c>
      <x:c r="C46" s="25" t="str">
        <x:f>IF(A46="","",IFERROR(VLOOKUP(A46,'02 Skill Catalogue'!$A$6:$K$95,2,FALSE),""))</x:f>
        <x:v>IT</x:v>
      </x:c>
      <x:c r="D46" s="25" t="str">
        <x:f>IF(A46="","",IFERROR(VLOOKUP(A46,'02 Skill Catalogue'!$A$6:$K$95,6,FALSE),""))</x:f>
        <x:v>Yes</x:v>
      </x:c>
      <x:c r="E46" s="24" t="n">
        <x:v>2</x:v>
      </x:c>
      <x:c r="F46" s="25" t="n">
        <x:f>IF(A46="","",COUNTIFS('04 Assessment Log'!$J$6:$J$155,A46,'04 Assessment Log'!$AA$6:$AA$155,"Yes",'04 Assessment Log'!$S$6:$S$155,"Meets / Exceeds",'04 Assessment Log'!$W$6:$W$155,"Verified",'04 Assessment Log'!$AD$6:$AD$155,"Current"))</x:f>
        <x:v>0</x:v>
      </x:c>
      <x:c r="G46" s="25" t="n">
        <x:f>IF(OR(A46="",E46=""),"",MAX(E46-F46,0))</x:f>
        <x:v>2</x:v>
      </x:c>
      <x:c r="H46" s="25" t="str">
        <x:f>IF(A46="","",IF(E46="","Set Minimum",IF(G46&gt;0,"Coverage Gap","Covered")))</x:f>
        <x:v>Coverage Gap</x:v>
      </x:c>
      <x:c r="I46" s="24"/>
      <x:c r="J46" s="24"/>
      <x:c r="K46" s="24"/>
      <x:c r="L46" s="27"/>
      <x:c r="M46" s="26"/>
    </x:row>
    <x:row r="47">
      <x:c r="A47" s="24" t="str">
        <x:v>IT-CYBER-005</x:v>
      </x:c>
      <x:c r="B47" s="25" t="str">
        <x:f>IF(A47="","",IFERROR(VLOOKUP(A47,'02 Skill Catalogue'!$A$6:$K$95,4,FALSE),"Skill not found"))</x:f>
        <x:v>Cybersecurity, identity and access control</x:v>
      </x:c>
      <x:c r="C47" s="25" t="str">
        <x:f>IF(A47="","",IFERROR(VLOOKUP(A47,'02 Skill Catalogue'!$A$6:$K$95,2,FALSE),""))</x:f>
        <x:v>IT</x:v>
      </x:c>
      <x:c r="D47" s="25" t="str">
        <x:f>IF(A47="","",IFERROR(VLOOKUP(A47,'02 Skill Catalogue'!$A$6:$K$95,6,FALSE),""))</x:f>
        <x:v>Yes</x:v>
      </x:c>
      <x:c r="E47" s="24" t="n">
        <x:v>2</x:v>
      </x:c>
      <x:c r="F47" s="25" t="n">
        <x:f>IF(A47="","",COUNTIFS('04 Assessment Log'!$J$6:$J$155,A47,'04 Assessment Log'!$AA$6:$AA$155,"Yes",'04 Assessment Log'!$S$6:$S$155,"Meets / Exceeds",'04 Assessment Log'!$W$6:$W$155,"Verified",'04 Assessment Log'!$AD$6:$AD$155,"Current"))</x:f>
        <x:v>0</x:v>
      </x:c>
      <x:c r="G47" s="25" t="n">
        <x:f>IF(OR(A47="",E47=""),"",MAX(E47-F47,0))</x:f>
        <x:v>2</x:v>
      </x:c>
      <x:c r="H47" s="25" t="str">
        <x:f>IF(A47="","",IF(E47="","Set Minimum",IF(G47&gt;0,"Coverage Gap","Covered")))</x:f>
        <x:v>Coverage Gap</x:v>
      </x:c>
      <x:c r="I47" s="24"/>
      <x:c r="J47" s="24"/>
      <x:c r="K47" s="24"/>
      <x:c r="L47" s="27"/>
      <x:c r="M47" s="26"/>
    </x:row>
    <x:row r="48">
      <x:c r="A48" s="24" t="str">
        <x:v>IT-INFRA-006</x:v>
      </x:c>
      <x:c r="B48" s="25" t="str">
        <x:f>IF(A48="","",IFERROR(VLOOKUP(A48,'02 Skill Catalogue'!$A$6:$K$95,4,FALSE),"Skill not found"))</x:f>
        <x:v>Infrastructure, network, server and VPN reliability</x:v>
      </x:c>
      <x:c r="C48" s="25" t="str">
        <x:f>IF(A48="","",IFERROR(VLOOKUP(A48,'02 Skill Catalogue'!$A$6:$K$95,2,FALSE),""))</x:f>
        <x:v>IT</x:v>
      </x:c>
      <x:c r="D48" s="25" t="str">
        <x:f>IF(A48="","",IFERROR(VLOOKUP(A48,'02 Skill Catalogue'!$A$6:$K$95,6,FALSE),""))</x:f>
        <x:v>Yes</x:v>
      </x:c>
      <x:c r="E48" s="24" t="n">
        <x:v>2</x:v>
      </x:c>
      <x:c r="F48" s="25" t="n">
        <x:f>IF(A48="","",COUNTIFS('04 Assessment Log'!$J$6:$J$155,A48,'04 Assessment Log'!$AA$6:$AA$155,"Yes",'04 Assessment Log'!$S$6:$S$155,"Meets / Exceeds",'04 Assessment Log'!$W$6:$W$155,"Verified",'04 Assessment Log'!$AD$6:$AD$155,"Current"))</x:f>
        <x:v>0</x:v>
      </x:c>
      <x:c r="G48" s="25" t="n">
        <x:f>IF(OR(A48="",E48=""),"",MAX(E48-F48,0))</x:f>
        <x:v>2</x:v>
      </x:c>
      <x:c r="H48" s="25" t="str">
        <x:f>IF(A48="","",IF(E48="","Set Minimum",IF(G48&gt;0,"Coverage Gap","Covered")))</x:f>
        <x:v>Coverage Gap</x:v>
      </x:c>
      <x:c r="I48" s="24"/>
      <x:c r="J48" s="24"/>
      <x:c r="K48" s="24"/>
      <x:c r="L48" s="27"/>
      <x:c r="M48" s="26"/>
    </x:row>
    <x:row r="49">
      <x:c r="A49" s="24" t="str">
        <x:v>IT-DEV-007</x:v>
      </x:c>
      <x:c r="B49" s="25" t="str">
        <x:f>IF(A49="","",IFERROR(VLOOKUP(A49,'02 Skill Catalogue'!$A$6:$K$95,4,FALSE),"Skill not found"))</x:f>
        <x:v>Software delivery and change control</x:v>
      </x:c>
      <x:c r="C49" s="25" t="str">
        <x:f>IF(A49="","",IFERROR(VLOOKUP(A49,'02 Skill Catalogue'!$A$6:$K$95,2,FALSE),""))</x:f>
        <x:v>IT</x:v>
      </x:c>
      <x:c r="D49" s="25" t="str">
        <x:f>IF(A49="","",IFERROR(VLOOKUP(A49,'02 Skill Catalogue'!$A$6:$K$95,6,FALSE),""))</x:f>
        <x:v>Yes</x:v>
      </x:c>
      <x:c r="E49" s="24" t="n">
        <x:v>2</x:v>
      </x:c>
      <x:c r="F49" s="25" t="n">
        <x:f>IF(A49="","",COUNTIFS('04 Assessment Log'!$J$6:$J$155,A49,'04 Assessment Log'!$AA$6:$AA$155,"Yes",'04 Assessment Log'!$S$6:$S$155,"Meets / Exceeds",'04 Assessment Log'!$W$6:$W$155,"Verified",'04 Assessment Log'!$AD$6:$AD$155,"Current"))</x:f>
        <x:v>0</x:v>
      </x:c>
      <x:c r="G49" s="25" t="n">
        <x:f>IF(OR(A49="",E49=""),"",MAX(E49-F49,0))</x:f>
        <x:v>2</x:v>
      </x:c>
      <x:c r="H49" s="25" t="str">
        <x:f>IF(A49="","",IF(E49="","Set Minimum",IF(G49&gt;0,"Coverage Gap","Covered")))</x:f>
        <x:v>Coverage Gap</x:v>
      </x:c>
      <x:c r="I49" s="24"/>
      <x:c r="J49" s="24"/>
      <x:c r="K49" s="24"/>
      <x:c r="L49" s="27"/>
      <x:c r="M49" s="26"/>
    </x:row>
    <x:row r="50">
      <x:c r="A50" s="24" t="str">
        <x:v>IT-AI-008</x:v>
      </x:c>
      <x:c r="B50" s="25" t="str">
        <x:f>IF(A50="","",IFERROR(VLOOKUP(A50,'02 Skill Catalogue'!$A$6:$K$95,4,FALSE),"Skill not found"))</x:f>
        <x:v>AI solution and governance</x:v>
      </x:c>
      <x:c r="C50" s="25" t="str">
        <x:f>IF(A50="","",IFERROR(VLOOKUP(A50,'02 Skill Catalogue'!$A$6:$K$95,2,FALSE),""))</x:f>
        <x:v>IT</x:v>
      </x:c>
      <x:c r="D50" s="25" t="str">
        <x:f>IF(A50="","",IFERROR(VLOOKUP(A50,'02 Skill Catalogue'!$A$6:$K$95,6,FALSE),""))</x:f>
        <x:v>Yes</x:v>
      </x:c>
      <x:c r="E50" s="24" t="n">
        <x:v>2</x:v>
      </x:c>
      <x:c r="F50" s="25" t="n">
        <x:f>IF(A50="","",COUNTIFS('04 Assessment Log'!$J$6:$J$155,A50,'04 Assessment Log'!$AA$6:$AA$155,"Yes",'04 Assessment Log'!$S$6:$S$155,"Meets / Exceeds",'04 Assessment Log'!$W$6:$W$155,"Verified",'04 Assessment Log'!$AD$6:$AD$155,"Current"))</x:f>
        <x:v>0</x:v>
      </x:c>
      <x:c r="G50" s="25" t="n">
        <x:f>IF(OR(A50="",E50=""),"",MAX(E50-F50,0))</x:f>
        <x:v>2</x:v>
      </x:c>
      <x:c r="H50" s="25" t="str">
        <x:f>IF(A50="","",IF(E50="","Set Minimum",IF(G50&gt;0,"Coverage Gap","Covered")))</x:f>
        <x:v>Coverage Gap</x:v>
      </x:c>
      <x:c r="I50" s="24"/>
      <x:c r="J50" s="24"/>
      <x:c r="K50" s="24"/>
      <x:c r="L50" s="27"/>
      <x:c r="M50" s="26"/>
    </x:row>
    <x:row r="51">
      <x:c r="A51" s="24" t="str">
        <x:v>IT-BCP-009</x:v>
      </x:c>
      <x:c r="B51" s="25" t="str">
        <x:f>IF(A51="","",IFERROR(VLOOKUP(A51,'02 Skill Catalogue'!$A$6:$K$95,4,FALSE),"Skill not found"))</x:f>
        <x:v>Backup, recovery and business continuity</x:v>
      </x:c>
      <x:c r="C51" s="25" t="str">
        <x:f>IF(A51="","",IFERROR(VLOOKUP(A51,'02 Skill Catalogue'!$A$6:$K$95,2,FALSE),""))</x:f>
        <x:v>IT</x:v>
      </x:c>
      <x:c r="D51" s="25" t="str">
        <x:f>IF(A51="","",IFERROR(VLOOKUP(A51,'02 Skill Catalogue'!$A$6:$K$95,6,FALSE),""))</x:f>
        <x:v>Yes</x:v>
      </x:c>
      <x:c r="E51" s="24" t="n">
        <x:v>2</x:v>
      </x:c>
      <x:c r="F51" s="25" t="n">
        <x:f>IF(A51="","",COUNTIFS('04 Assessment Log'!$J$6:$J$155,A51,'04 Assessment Log'!$AA$6:$AA$155,"Yes",'04 Assessment Log'!$S$6:$S$155,"Meets / Exceeds",'04 Assessment Log'!$W$6:$W$155,"Verified",'04 Assessment Log'!$AD$6:$AD$155,"Current"))</x:f>
        <x:v>0</x:v>
      </x:c>
      <x:c r="G51" s="25" t="n">
        <x:f>IF(OR(A51="",E51=""),"",MAX(E51-F51,0))</x:f>
        <x:v>2</x:v>
      </x:c>
      <x:c r="H51" s="25" t="str">
        <x:f>IF(A51="","",IF(E51="","Set Minimum",IF(G51&gt;0,"Coverage Gap","Covered")))</x:f>
        <x:v>Coverage Gap</x:v>
      </x:c>
      <x:c r="I51" s="24"/>
      <x:c r="J51" s="24"/>
      <x:c r="K51" s="24"/>
      <x:c r="L51" s="27"/>
      <x:c r="M51" s="26"/>
    </x:row>
    <x:row r="52">
      <x:c r="A52" s="24"/>
      <x:c r="B52" s="25" t="str">
        <x:f>IF(A52="","",IFERROR(VLOOKUP(A52,'02 Skill Catalogue'!$A$6:$K$95,4,FALSE),"Skill not found"))</x:f>
      </x:c>
      <x:c r="C52" s="25" t="str">
        <x:f>IF(A52="","",IFERROR(VLOOKUP(A52,'02 Skill Catalogue'!$A$6:$K$95,2,FALSE),""))</x:f>
      </x:c>
      <x:c r="D52" s="25" t="str">
        <x:f>IF(A52="","",IFERROR(VLOOKUP(A52,'02 Skill Catalogue'!$A$6:$K$95,6,FALSE),""))</x:f>
      </x:c>
      <x:c r="E52" s="24"/>
      <x:c r="F52" s="25" t="str">
        <x:f>IF(A52="","",COUNTIFS('04 Assessment Log'!$J$6:$J$155,A52,'04 Assessment Log'!$AA$6:$AA$155,"Yes",'04 Assessment Log'!$S$6:$S$155,"Meets / Exceeds",'04 Assessment Log'!$W$6:$W$155,"Verified",'04 Assessment Log'!$AD$6:$AD$155,"Current"))</x:f>
      </x:c>
      <x:c r="G52" s="25" t="str">
        <x:f>IF(OR(A52="",E52=""),"",MAX(E52-F52,0))</x:f>
      </x:c>
      <x:c r="H52" s="25" t="str">
        <x:f>IF(A52="","",IF(E52="","Set Minimum",IF(G52&gt;0,"Coverage Gap","Covered")))</x:f>
      </x:c>
      <x:c r="I52" s="24"/>
      <x:c r="J52" s="24"/>
      <x:c r="K52" s="24"/>
      <x:c r="L52" s="27"/>
      <x:c r="M52" s="26"/>
    </x:row>
    <x:row r="53">
      <x:c r="A53" s="24"/>
      <x:c r="B53" s="25" t="str">
        <x:f>IF(A53="","",IFERROR(VLOOKUP(A53,'02 Skill Catalogue'!$A$6:$K$95,4,FALSE),"Skill not found"))</x:f>
      </x:c>
      <x:c r="C53" s="25" t="str">
        <x:f>IF(A53="","",IFERROR(VLOOKUP(A53,'02 Skill Catalogue'!$A$6:$K$95,2,FALSE),""))</x:f>
      </x:c>
      <x:c r="D53" s="25" t="str">
        <x:f>IF(A53="","",IFERROR(VLOOKUP(A53,'02 Skill Catalogue'!$A$6:$K$95,6,FALSE),""))</x:f>
      </x:c>
      <x:c r="E53" s="24"/>
      <x:c r="F53" s="25" t="str">
        <x:f>IF(A53="","",COUNTIFS('04 Assessment Log'!$J$6:$J$155,A53,'04 Assessment Log'!$AA$6:$AA$155,"Yes",'04 Assessment Log'!$S$6:$S$155,"Meets / Exceeds",'04 Assessment Log'!$W$6:$W$155,"Verified",'04 Assessment Log'!$AD$6:$AD$155,"Current"))</x:f>
      </x:c>
      <x:c r="G53" s="25" t="str">
        <x:f>IF(OR(A53="",E53=""),"",MAX(E53-F53,0))</x:f>
      </x:c>
      <x:c r="H53" s="25" t="str">
        <x:f>IF(A53="","",IF(E53="","Set Minimum",IF(G53&gt;0,"Coverage Gap","Covered")))</x:f>
      </x:c>
      <x:c r="I53" s="24"/>
      <x:c r="J53" s="24"/>
      <x:c r="K53" s="24"/>
      <x:c r="L53" s="27"/>
      <x:c r="M53" s="26"/>
    </x:row>
    <x:row r="54">
      <x:c r="A54" s="24"/>
      <x:c r="B54" s="25" t="str">
        <x:f>IF(A54="","",IFERROR(VLOOKUP(A54,'02 Skill Catalogue'!$A$6:$K$95,4,FALSE),"Skill not found"))</x:f>
      </x:c>
      <x:c r="C54" s="25" t="str">
        <x:f>IF(A54="","",IFERROR(VLOOKUP(A54,'02 Skill Catalogue'!$A$6:$K$95,2,FALSE),""))</x:f>
      </x:c>
      <x:c r="D54" s="25" t="str">
        <x:f>IF(A54="","",IFERROR(VLOOKUP(A54,'02 Skill Catalogue'!$A$6:$K$95,6,FALSE),""))</x:f>
      </x:c>
      <x:c r="E54" s="24"/>
      <x:c r="F54" s="25" t="str">
        <x:f>IF(A54="","",COUNTIFS('04 Assessment Log'!$J$6:$J$155,A54,'04 Assessment Log'!$AA$6:$AA$155,"Yes",'04 Assessment Log'!$S$6:$S$155,"Meets / Exceeds",'04 Assessment Log'!$W$6:$W$155,"Verified",'04 Assessment Log'!$AD$6:$AD$155,"Current"))</x:f>
      </x:c>
      <x:c r="G54" s="25" t="str">
        <x:f>IF(OR(A54="",E54=""),"",MAX(E54-F54,0))</x:f>
      </x:c>
      <x:c r="H54" s="25" t="str">
        <x:f>IF(A54="","",IF(E54="","Set Minimum",IF(G54&gt;0,"Coverage Gap","Covered")))</x:f>
      </x:c>
      <x:c r="I54" s="24"/>
      <x:c r="J54" s="24"/>
      <x:c r="K54" s="24"/>
      <x:c r="L54" s="27"/>
      <x:c r="M54" s="26"/>
    </x:row>
    <x:row r="55">
      <x:c r="A55" s="24"/>
      <x:c r="B55" s="25" t="str">
        <x:f>IF(A55="","",IFERROR(VLOOKUP(A55,'02 Skill Catalogue'!$A$6:$K$95,4,FALSE),"Skill not found"))</x:f>
      </x:c>
      <x:c r="C55" s="25" t="str">
        <x:f>IF(A55="","",IFERROR(VLOOKUP(A55,'02 Skill Catalogue'!$A$6:$K$95,2,FALSE),""))</x:f>
      </x:c>
      <x:c r="D55" s="25" t="str">
        <x:f>IF(A55="","",IFERROR(VLOOKUP(A55,'02 Skill Catalogue'!$A$6:$K$95,6,FALSE),""))</x:f>
      </x:c>
      <x:c r="E55" s="24"/>
      <x:c r="F55" s="25" t="str">
        <x:f>IF(A55="","",COUNTIFS('04 Assessment Log'!$J$6:$J$155,A55,'04 Assessment Log'!$AA$6:$AA$155,"Yes",'04 Assessment Log'!$S$6:$S$155,"Meets / Exceeds",'04 Assessment Log'!$W$6:$W$155,"Verified",'04 Assessment Log'!$AD$6:$AD$155,"Current"))</x:f>
      </x:c>
      <x:c r="G55" s="25" t="str">
        <x:f>IF(OR(A55="",E55=""),"",MAX(E55-F55,0))</x:f>
      </x:c>
      <x:c r="H55" s="25" t="str">
        <x:f>IF(A55="","",IF(E55="","Set Minimum",IF(G55&gt;0,"Coverage Gap","Covered")))</x:f>
      </x:c>
      <x:c r="I55" s="24"/>
      <x:c r="J55" s="24"/>
      <x:c r="K55" s="24"/>
      <x:c r="L55" s="27"/>
      <x:c r="M55" s="26"/>
    </x:row>
  </x:sheetData>
  <x:mergeCells>
    <x:mergeCell ref="A1:M1"/>
    <x:mergeCell ref="A2:M2"/>
  </x:mergeCells>
  <x:conditionalFormatting sqref="H6:H55">
    <x:cfRule type="containsText" dxfId="14" priority="1" operator="containsText" text="Coverage Gap"/>
    <x:cfRule type="containsText" dxfId="15" priority="2" operator="containsText" text="Covered"/>
  </x:conditionalFormatting>
  <x:pageMargins left="0.7" right="0.7" top="0.75" bottom="0.75" header="0.3" footer="0.3"/>
  <x:tableParts count="1">
    <x:tablePart xmlns:r="http://schemas.openxmlformats.org/officeDocument/2006/relationships" r:id="R7375f05aab6e45a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2" hidden="0" customWidth="1"/>
    <x:col min="3" max="3" width="24" hidden="0" customWidth="1"/>
    <x:col min="4" max="4" width="24" hidden="0" customWidth="1"/>
    <x:col min="5" max="5" width="22" hidden="0" customWidth="1"/>
    <x:col min="6" max="6" width="56" hidden="0" customWidth="1"/>
    <x:col min="7" max="7" width="22" hidden="0" customWidth="1"/>
    <x:col min="8" max="8" width="19" hidden="0" customWidth="1"/>
    <x:col min="9" max="9" width="35" hidden="0" customWidth="1"/>
    <x:col min="10" max="10" width="4" hidden="0" customWidth="1"/>
    <x:col min="11" max="11" width="24" hidden="0" customWidth="1"/>
    <x:col min="12" max="12" width="24" hidden="0" customWidth="1"/>
  </x:cols>
  <x:sheetData>
    <x:row r="1" ht="30" customHeight="1">
      <x:c r="A1" s="3" t="str">
        <x:v>SBTG Skill Management System — Control Lists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6" customHeight="1">
      <x:c r="A2" s="7" t="str">
        <x:v>Controlled values and scoring rules. HR owns this sheet; HODs propose changes through HR.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>
      <x:c r="A4" s="9" t="str">
        <x:v>Departments</x:v>
      </x:c>
      <x:c r="C4" s="9" t="str">
        <x:v>Position Tiers</x:v>
      </x:c>
      <x:c r="E4" s="9" t="str">
        <x:v>Assessment Cycles</x:v>
      </x:c>
      <x:c r="G4" s="9" t="str">
        <x:v>Assessment Methods</x:v>
      </x:c>
      <x:c r="I4" s="9" t="str">
        <x:v>Action Types</x:v>
      </x:c>
      <x:c r="K4" s="9" t="str">
        <x:v>Action Statuses</x:v>
      </x:c>
    </x:row>
    <x:row r="5">
      <x:c r="A5" t="str">
        <x:v>Production</x:v>
      </x:c>
      <x:c r="C5" t="str">
        <x:v>Leader</x:v>
      </x:c>
      <x:c r="E5" t="str">
        <x:v>Baseline</x:v>
      </x:c>
      <x:c r="G5" t="str">
        <x:v>Direct Observation</x:v>
      </x:c>
      <x:c r="I5" t="str">
        <x:v>On-the-Job Training</x:v>
      </x:c>
      <x:c r="K5" t="str">
        <x:v>Not Started</x:v>
      </x:c>
    </x:row>
    <x:row r="6">
      <x:c r="A6" t="str">
        <x:v>Engineering</x:v>
      </x:c>
      <x:c r="C6" t="str">
        <x:v>Technologist/Executive</x:v>
      </x:c>
      <x:c r="E6" t="str">
        <x:v>Probation</x:v>
      </x:c>
      <x:c r="G6" t="str">
        <x:v>Practical Demonstration</x:v>
      </x:c>
      <x:c r="I6" t="str">
        <x:v>Coaching</x:v>
      </x:c>
      <x:c r="K6" t="str">
        <x:v>Scheduled</x:v>
      </x:c>
    </x:row>
    <x:row r="7">
      <x:c r="A7" t="str">
        <x:v>QAC/R&amp;D</x:v>
      </x:c>
      <x:c r="C7" t="str">
        <x:v>Operator/Technician</x:v>
      </x:c>
      <x:c r="E7" t="str">
        <x:v>Quarterly</x:v>
      </x:c>
      <x:c r="G7" t="str">
        <x:v>Written/Oral Test</x:v>
      </x:c>
      <x:c r="I7" t="str">
        <x:v>Classroom Training</x:v>
      </x:c>
      <x:c r="K7" t="str">
        <x:v>In Progress</x:v>
      </x:c>
    </x:row>
    <x:row r="8">
      <x:c r="A8" t="str">
        <x:v>Planning</x:v>
      </x:c>
      <x:c r="C8" t="str">
        <x:v>Inspector</x:v>
      </x:c>
      <x:c r="E8" t="str">
        <x:v>Annual</x:v>
      </x:c>
      <x:c r="G8" t="str">
        <x:v>Work-Sample Review</x:v>
      </x:c>
      <x:c r="I8" t="str">
        <x:v>External Course</x:v>
      </x:c>
      <x:c r="K8" t="str">
        <x:v>Pending Reassessment</x:v>
      </x:c>
    </x:row>
    <x:row r="9">
      <x:c r="A9" t="str">
        <x:v>IT</x:v>
      </x:c>
      <x:c r="C9" t="str">
        <x:v>Packer/Assistant</x:v>
      </x:c>
      <x:c r="E9" t="str">
        <x:v>Post-Training</x:v>
      </x:c>
      <x:c r="G9" t="str">
        <x:v>System/Data Review</x:v>
      </x:c>
      <x:c r="I9" t="str">
        <x:v>Job Rotation</x:v>
      </x:c>
      <x:c r="K9" t="str">
        <x:v>Completed</x:v>
      </x:c>
    </x:row>
    <x:row r="10">
      <x:c r="A10" t="str">
        <x:v>Procurement</x:v>
      </x:c>
      <x:c r="C10" t="str">
        <x:v>Helper/Trainee</x:v>
      </x:c>
      <x:c r="E10" t="str">
        <x:v>Transfer/Promotion</x:v>
      </x:c>
      <x:c r="G10" t="str">
        <x:v>Project Evidence</x:v>
      </x:c>
      <x:c r="I10" t="str">
        <x:v>Supervised Practice</x:v>
      </x:c>
      <x:c r="K10" t="str">
        <x:v>On Hold</x:v>
      </x:c>
    </x:row>
    <x:row r="11">
      <x:c r="A11" t="str">
        <x:v>Logistics</x:v>
      </x:c>
      <x:c r="E11" t="str">
        <x:v>Re-certification</x:v>
      </x:c>
      <x:c r="G11" t="str">
        <x:v>Certification</x:v>
      </x:c>
      <x:c r="I11" t="str">
        <x:v>SOP/Checklist</x:v>
      </x:c>
      <x:c r="K11" t="str">
        <x:v>Cancelled</x:v>
      </x:c>
    </x:row>
    <x:row r="12">
      <x:c r="A12" t="str">
        <x:v>Sales</x:v>
      </x:c>
      <x:c r="I12" t="str">
        <x:v>Certification</x:v>
      </x:c>
    </x:row>
    <x:row r="13">
      <x:c r="A13" t="str">
        <x:v>Marketing</x:v>
      </x:c>
      <x:c r="I13" t="str">
        <x:v>Improvement Project</x:v>
      </x:c>
    </x:row>
    <x:row r="14">
      <x:c r="A14" t="str">
        <x:v>Finance</x:v>
      </x:c>
      <x:c r="I14" t="str">
        <x:v>Recruit/Backfill</x:v>
      </x:c>
    </x:row>
    <x:row r="15">
      <x:c r="A15" t="str">
        <x:v>HR/Admin</x:v>
      </x:c>
    </x:row>
    <x:row r="18" ht="34" customHeight="1">
      <x:c r="A18" s="13" t="str">
        <x:v>Criticality</x:v>
      </x:c>
      <x:c r="B18" s="13" t="str">
        <x:v>Priority Multiplier</x:v>
      </x:c>
      <x:c r="D18" s="13" t="str">
        <x:v>Level</x:v>
      </x:c>
      <x:c r="E18" s="13" t="str">
        <x:v>Label</x:v>
      </x:c>
      <x:c r="F18" s="13" t="str">
        <x:v>Observable Standard</x:v>
      </x:c>
      <x:c r="G18" s="13" t="str">
        <x:v>May Work Alone?</x:v>
      </x:c>
      <x:c r="H18" s="13" t="str">
        <x:v>May Train Others?</x:v>
      </x:c>
      <x:c r="I18" s="13" t="str">
        <x:v>Assessment Decision</x:v>
      </x:c>
    </x:row>
    <x:row r="19">
      <x:c r="A19" t="str">
        <x:v>Critical</x:v>
      </x:c>
      <x:c r="B19" t="n">
        <x:v>3</x:v>
      </x:c>
      <x:c r="D19" t="n">
        <x:v>0</x:v>
      </x:c>
      <x:c r="E19" t="str">
        <x:v>Not trained</x:v>
      </x:c>
      <x:c r="F19" t="str">
        <x:v>No demonstrated knowledge or authorised experience.</x:v>
      </x:c>
      <x:c r="G19" t="str">
        <x:v>No</x:v>
      </x:c>
      <x:c r="H19" t="str">
        <x:v>No</x:v>
      </x:c>
      <x:c r="I19" t="str">
        <x:v>Training and supervised practice required</x:v>
      </x:c>
    </x:row>
    <x:row r="20">
      <x:c r="A20" t="str">
        <x:v>Essential</x:v>
      </x:c>
      <x:c r="B20" t="n">
        <x:v>2</x:v>
      </x:c>
      <x:c r="D20" t="n">
        <x:v>1</x:v>
      </x:c>
      <x:c r="E20" t="str">
        <x:v>Aware</x:v>
      </x:c>
      <x:c r="F20" t="str">
        <x:v>Can explain the purpose and basic steps with guidance.</x:v>
      </x:c>
      <x:c r="G20" t="str">
        <x:v>No</x:v>
      </x:c>
      <x:c r="H20" t="str">
        <x:v>No</x:v>
      </x:c>
      <x:c r="I20" t="str">
        <x:v>Awareness only; not qualified to perform</x:v>
      </x:c>
    </x:row>
    <x:row r="21">
      <x:c r="A21" t="str">
        <x:v>Development</x:v>
      </x:c>
      <x:c r="B21" t="n">
        <x:v>1</x:v>
      </x:c>
      <x:c r="D21" t="n">
        <x:v>2</x:v>
      </x:c>
      <x:c r="E21" t="str">
        <x:v>Supervised</x:v>
      </x:c>
      <x:c r="F21" t="str">
        <x:v>Can perform the task correctly with direct supervision.</x:v>
      </x:c>
      <x:c r="G21" t="str">
        <x:v>No</x:v>
      </x:c>
      <x:c r="H21" t="str">
        <x:v>No</x:v>
      </x:c>
      <x:c r="I21" t="str">
        <x:v>Continue supervised practice</x:v>
      </x:c>
    </x:row>
    <x:row r="22">
      <x:c r="D22" t="n">
        <x:v>3</x:v>
      </x:c>
      <x:c r="E22" t="str">
        <x:v>Competent</x:v>
      </x:c>
      <x:c r="F22" t="str">
        <x:v>Performs independently to the approved standard and escalates abnormalities.</x:v>
      </x:c>
      <x:c r="G22" t="str">
        <x:v>Yes</x:v>
      </x:c>
      <x:c r="H22" t="str">
        <x:v>No</x:v>
      </x:c>
      <x:c r="I22" t="str">
        <x:v>Qualified for normal work within authorised scope</x:v>
      </x:c>
    </x:row>
    <x:row r="23">
      <x:c r="D23" t="n">
        <x:v>4</x:v>
      </x:c>
      <x:c r="E23" t="str">
        <x:v>Advanced</x:v>
      </x:c>
      <x:c r="F23" t="str">
        <x:v>Handles non-routine problems, improves the process and coaches others.</x:v>
      </x:c>
      <x:c r="G23" t="str">
        <x:v>Yes</x:v>
      </x:c>
      <x:c r="H23" t="str">
        <x:v>Yes</x:v>
      </x:c>
      <x:c r="I23" t="str">
        <x:v>May coach; HOD verifies scope</x:v>
      </x:c>
    </x:row>
    <x:row r="24">
      <x:c r="D24" t="n">
        <x:v>5</x:v>
      </x:c>
      <x:c r="E24" t="str">
        <x:v>Expert / Authoriser</x:v>
      </x:c>
      <x:c r="F24" t="str">
        <x:v>Defines standards, certifies others and leads complex technical decisions.</x:v>
      </x:c>
      <x:c r="G24" t="str">
        <x:v>Yes</x:v>
      </x:c>
      <x:c r="H24" t="str">
        <x:v>Yes</x:v>
      </x:c>
      <x:c r="I24" t="str">
        <x:v>Formal HOD/technical-authority approval required</x:v>
      </x:c>
    </x:row>
    <x:row r="26" ht="34" customHeight="1">
      <x:c r="A26" s="13" t="str">
        <x:v>Yes/No</x:v>
      </x:c>
      <x:c r="B26" s="13" t="str">
        <x:v>Employment Type</x:v>
      </x:c>
      <x:c r="C26" s="13" t="str">
        <x:v>Verification</x:v>
      </x:c>
      <x:c r="D26" s="13" t="str">
        <x:v>Training Delivery</x:v>
      </x:c>
      <x:c r="E26" s="13" t="str">
        <x:v>Training Status</x:v>
      </x:c>
      <x:c r="F26" s="13" t="str">
        <x:v>Skill Categories</x:v>
      </x:c>
      <x:c r="G26" s="13" t="str">
        <x:v>Criticality</x:v>
      </x:c>
      <x:c r="H26" t="str"/>
      <x:c r="I26" t="str"/>
      <x:c r="J26" t="str"/>
      <x:c r="K26" t="str"/>
      <x:c r="L26" t="str"/>
    </x:row>
    <x:row r="27">
      <x:c r="A27" s="15" t="str">
        <x:v>Yes</x:v>
      </x:c>
      <x:c r="B27" s="15" t="str">
        <x:v>Permanent</x:v>
      </x:c>
      <x:c r="C27" s="15" t="str">
        <x:v>Pending</x:v>
      </x:c>
      <x:c r="D27" s="15" t="str">
        <x:v>Internal OJT</x:v>
      </x:c>
      <x:c r="E27" s="15" t="str">
        <x:v>Proposed</x:v>
      </x:c>
      <x:c r="F27" s="15" t="str">
        <x:v>Safety</x:v>
      </x:c>
      <x:c r="G27" s="15" t="str">
        <x:v>Critical</x:v>
      </x:c>
    </x:row>
    <x:row r="28">
      <x:c r="A28" s="15" t="str">
        <x:v>No</x:v>
      </x:c>
      <x:c r="B28" s="15" t="str">
        <x:v>Contract</x:v>
      </x:c>
      <x:c r="C28" s="15" t="str">
        <x:v>Verified</x:v>
      </x:c>
      <x:c r="D28" s="15" t="str">
        <x:v>Internal Classroom</x:v>
      </x:c>
      <x:c r="E28" s="15" t="str">
        <x:v>Approved</x:v>
      </x:c>
      <x:c r="F28" s="15" t="str">
        <x:v>Quality</x:v>
      </x:c>
      <x:c r="G28" s="15" t="str">
        <x:v>Essential</x:v>
      </x:c>
    </x:row>
    <x:row r="29">
      <x:c r="A29" s="15"/>
      <x:c r="B29" s="15" t="str">
        <x:v>Foreign Worker</x:v>
      </x:c>
      <x:c r="C29" s="15" t="str">
        <x:v>Rejected / Rework</x:v>
      </x:c>
      <x:c r="D29" s="15" t="str">
        <x:v>External Classroom</x:v>
      </x:c>
      <x:c r="E29" s="15" t="str">
        <x:v>Scheduled</x:v>
      </x:c>
      <x:c r="F29" s="15" t="str">
        <x:v>Process/Technical</x:v>
      </x:c>
      <x:c r="G29" s="15" t="str">
        <x:v>Development</x:v>
      </x:c>
    </x:row>
    <x:row r="30">
      <x:c r="A30" s="15"/>
      <x:c r="B30" s="15" t="str">
        <x:v>Trainee/Apprentice</x:v>
      </x:c>
      <x:c r="C30" s="15"/>
      <x:c r="D30" s="15" t="str">
        <x:v>E-learning</x:v>
      </x:c>
      <x:c r="E30" s="15" t="str">
        <x:v>In Progress</x:v>
      </x:c>
      <x:c r="F30" s="15" t="str">
        <x:v>Machine/Equipment</x:v>
      </x:c>
      <x:c r="G30" s="15"/>
    </x:row>
    <x:row r="31">
      <x:c r="A31" s="15"/>
      <x:c r="B31" s="15"/>
      <x:c r="C31" s="15"/>
      <x:c r="D31" s="15" t="str">
        <x:v>Vendor Training</x:v>
      </x:c>
      <x:c r="E31" s="15" t="str">
        <x:v>Completed</x:v>
      </x:c>
      <x:c r="F31" s="15" t="str">
        <x:v>Digital/Data/AI</x:v>
      </x:c>
      <x:c r="G31" s="15"/>
    </x:row>
    <x:row r="32">
      <x:c r="A32" s="15"/>
      <x:c r="B32" s="15"/>
      <x:c r="C32" s="15"/>
      <x:c r="D32" s="15" t="str">
        <x:v>Coaching</x:v>
      </x:c>
      <x:c r="E32" s="15" t="str">
        <x:v>Cancelled</x:v>
      </x:c>
      <x:c r="F32" s="15" t="str">
        <x:v>Problem Solving</x:v>
      </x:c>
      <x:c r="G32" s="15"/>
    </x:row>
    <x:row r="33">
      <x:c r="A33" s="15"/>
      <x:c r="B33" s="15"/>
      <x:c r="C33" s="15"/>
      <x:c r="D33" s="15" t="str">
        <x:v>Project Assignment</x:v>
      </x:c>
      <x:c r="E33" s="15"/>
      <x:c r="F33" s="15" t="str">
        <x:v>Leadership</x:v>
      </x:c>
      <x:c r="G33" s="15"/>
    </x:row>
    <x:row r="34">
      <x:c r="A34" s="15"/>
      <x:c r="B34" s="15"/>
      <x:c r="C34" s="15"/>
      <x:c r="D34" s="15" t="str">
        <x:v>Job Rotation</x:v>
      </x:c>
      <x:c r="E34" s="15"/>
      <x:c r="F34" s="15" t="str">
        <x:v>Customer/Application</x:v>
      </x:c>
      <x:c r="G34" s="15"/>
    </x:row>
    <x:row r="35">
      <x:c r="A35" s="15"/>
      <x:c r="B35" s="15"/>
      <x:c r="C35" s="15"/>
      <x:c r="D35" s="15"/>
      <x:c r="E35" s="15"/>
      <x:c r="F35" s="15" t="str">
        <x:v>Sustainability</x:v>
      </x:c>
      <x:c r="G35" s="15"/>
    </x:row>
    <x:row r="36">
      <x:c r="A36" s="15"/>
      <x:c r="B36" s="15"/>
      <x:c r="C36" s="15"/>
      <x:c r="D36" s="15"/>
      <x:c r="E36" s="15"/>
      <x:c r="F36" s="15" t="str">
        <x:v>Work Discipline</x:v>
      </x:c>
      <x:c r="G36" s="15"/>
    </x:row>
    <x:row r="37">
      <x:c r="A37" s="15"/>
      <x:c r="B37" s="15"/>
      <x:c r="C37" s="15"/>
      <x:c r="D37" s="15"/>
      <x:c r="E37" s="15"/>
      <x:c r="F37" s="15"/>
      <x:c r="G37" s="15"/>
    </x:row>
    <x:row r="38">
      <x:c r="A38" s="15"/>
      <x:c r="B38" s="15"/>
      <x:c r="C38" s="15"/>
      <x:c r="D38" s="15"/>
      <x:c r="E38" s="15"/>
      <x:c r="F38" s="15"/>
      <x:c r="G38" s="15"/>
    </x:row>
    <x:row r="39">
      <x:c r="A39" s="15"/>
      <x:c r="B39" s="15"/>
      <x:c r="C39" s="15"/>
      <x:c r="D39" s="15"/>
      <x:c r="E39" s="15"/>
      <x:c r="F39" s="15"/>
      <x:c r="G39" s="15"/>
    </x:row>
    <x:row r="40">
      <x:c r="A40" s="15"/>
      <x:c r="B40" s="15"/>
      <x:c r="C40" s="15"/>
      <x:c r="D40" s="15"/>
      <x:c r="E40" s="15"/>
      <x:c r="F40" s="15"/>
      <x:c r="G40" s="15"/>
    </x:row>
    <x:row r="42" ht="24" customHeight="1">
      <x:c r="A42" s="77" t="str">
        <x:v>TRAINING PLATFORM CONTROL VALUES</x:v>
      </x:c>
      <x:c r="B42" s="77"/>
      <x:c r="C42" s="77"/>
      <x:c r="D42" s="77"/>
      <x:c r="E42" s="77"/>
      <x:c r="F42" s="77"/>
      <x:c r="G42" s="77"/>
      <x:c r="H42" s="77"/>
      <x:c r="I42" s="77"/>
      <x:c r="J42" s="77"/>
      <x:c r="K42" s="77"/>
      <x:c r="L42" s="77"/>
    </x:row>
    <x:row r="43" ht="38" customHeight="1">
      <x:c r="A43" s="83" t="str">
        <x:v>Need Source</x:v>
      </x:c>
      <x:c r="B43" s="83" t="str">
        <x:v>Approval Status</x:v>
      </x:c>
      <x:c r="C43" s="83" t="str">
        <x:v>HOD Recommendation</x:v>
      </x:c>
      <x:c r="D43" s="83" t="str">
        <x:v>Attendance Status</x:v>
      </x:c>
      <x:c r="E43" s="83" t="str">
        <x:v>Review Stage</x:v>
      </x:c>
      <x:c r="F43" s="83" t="str">
        <x:v>Effectiveness Outcome</x:v>
      </x:c>
      <x:c r="G43" s="83" t="str">
        <x:v>Verification</x:v>
      </x:c>
      <x:c r="H43" s="83" t="str">
        <x:v>Priority</x:v>
      </x:c>
    </x:row>
    <x:row r="44">
      <x:c r="A44" s="14" t="str">
        <x:v>Skill Gap</x:v>
      </x:c>
      <x:c r="B44" s="14" t="str">
        <x:v>Draft</x:v>
      </x:c>
      <x:c r="C44" s="14" t="str">
        <x:v>Recommend</x:v>
      </x:c>
      <x:c r="D44" s="14" t="str">
        <x:v>Nominated</x:v>
      </x:c>
      <x:c r="E44" s="14" t="str">
        <x:v>30-Day</x:v>
      </x:c>
      <x:c r="F44" s="14" t="str">
        <x:v>Effective</x:v>
      </x:c>
      <x:c r="G44" s="14" t="str">
        <x:v>Pending</x:v>
      </x:c>
      <x:c r="H44" s="14" t="str">
        <x:v>Critical</x:v>
      </x:c>
    </x:row>
    <x:row r="45">
      <x:c r="A45" s="14" t="str">
        <x:v>New Machine / Technology</x:v>
      </x:c>
      <x:c r="B45" s="14" t="str">
        <x:v>Pending HOD</x:v>
      </x:c>
      <x:c r="C45" s="14" t="str">
        <x:v>Revise</x:v>
      </x:c>
      <x:c r="D45" s="14" t="str">
        <x:v>Attended</x:v>
      </x:c>
      <x:c r="E45" s="14" t="str">
        <x:v>60-Day</x:v>
      </x:c>
      <x:c r="F45" s="14" t="str">
        <x:v>Partially Effective</x:v>
      </x:c>
      <x:c r="G45" s="14" t="str">
        <x:v>Verified</x:v>
      </x:c>
      <x:c r="H45" s="14" t="str">
        <x:v>High</x:v>
      </x:c>
    </x:row>
    <x:row r="46">
      <x:c r="A46" s="14" t="str">
        <x:v>New Product / Process</x:v>
      </x:c>
      <x:c r="B46" s="14" t="str">
        <x:v>Pending HR</x:v>
      </x:c>
      <x:c r="C46" s="14" t="str">
        <x:v>Do Not Recommend</x:v>
      </x:c>
      <x:c r="D46" s="14" t="str">
        <x:v>Partially Attended</x:v>
      </x:c>
      <x:c r="E46" s="14" t="str">
        <x:v>90-Day</x:v>
      </x:c>
      <x:c r="F46" s="14" t="str">
        <x:v>Not Yet Effective</x:v>
      </x:c>
      <x:c r="G46" s="14" t="str">
        <x:v>Rejected / Rework</x:v>
      </x:c>
      <x:c r="H46" s="14" t="str">
        <x:v>Medium</x:v>
      </x:c>
    </x:row>
    <x:row r="47">
      <x:c r="A47" s="14" t="str">
        <x:v>Legal / Certification</x:v>
      </x:c>
      <x:c r="B47" s="14" t="str">
        <x:v>Pending Approval</x:v>
      </x:c>
      <x:c r="C47" s="14" t="str"/>
      <x:c r="D47" s="14" t="str">
        <x:v>Absent</x:v>
      </x:c>
      <x:c r="E47" s="14" t="str">
        <x:v>Final</x:v>
      </x:c>
      <x:c r="F47" s="14" t="str">
        <x:v>Not Applicable</x:v>
      </x:c>
      <x:c r="G47" s="14" t="str"/>
      <x:c r="H47" s="14" t="str">
        <x:v>Low</x:v>
      </x:c>
    </x:row>
    <x:row r="48">
      <x:c r="A48" s="14" t="str">
        <x:v>Customer Requirement</x:v>
      </x:c>
      <x:c r="B48" s="14" t="str">
        <x:v>Approved</x:v>
      </x:c>
      <x:c r="C48" s="14" t="str"/>
      <x:c r="D48" s="14" t="str">
        <x:v>Cancelled</x:v>
      </x:c>
      <x:c r="E48" s="14" t="str"/>
      <x:c r="F48" s="14" t="str"/>
      <x:c r="G48" s="14" t="str"/>
      <x:c r="H48" s="14" t="str"/>
    </x:row>
    <x:row r="49">
      <x:c r="A49" s="14" t="str">
        <x:v>Performance Improvement</x:v>
      </x:c>
      <x:c r="B49" s="14" t="str">
        <x:v>Rejected</x:v>
      </x:c>
      <x:c r="C49" s="14" t="str"/>
      <x:c r="D49" s="14" t="str"/>
      <x:c r="E49" s="14" t="str"/>
      <x:c r="F49" s="14" t="str"/>
      <x:c r="G49" s="14" t="str"/>
      <x:c r="H49" s="14" t="str"/>
    </x:row>
    <x:row r="50">
      <x:c r="A50" s="14" t="str">
        <x:v>Succession / Backup</x:v>
      </x:c>
      <x:c r="B50" s="14" t="str">
        <x:v>Cancelled</x:v>
      </x:c>
      <x:c r="C50" s="14" t="str"/>
      <x:c r="D50" s="14" t="str"/>
      <x:c r="E50" s="14" t="str"/>
      <x:c r="F50" s="14" t="str"/>
      <x:c r="G50" s="14" t="str"/>
      <x:c r="H50" s="14" t="str"/>
    </x:row>
    <x:row r="51">
      <x:c r="A51" s="14" t="str">
        <x:v>Transfer / Promotion</x:v>
      </x:c>
      <x:c r="B51" s="14" t="str"/>
      <x:c r="C51" s="14" t="str"/>
      <x:c r="D51" s="14" t="str"/>
      <x:c r="E51" s="14" t="str"/>
      <x:c r="F51" s="14" t="str"/>
      <x:c r="G51" s="14" t="str"/>
      <x:c r="H51" s="14" t="str"/>
    </x:row>
    <x:row r="52">
      <x:c r="A52" s="14" t="str">
        <x:v>Other</x:v>
      </x:c>
      <x:c r="B52" s="14" t="str"/>
      <x:c r="C52" s="14" t="str"/>
      <x:c r="D52" s="14" t="str"/>
      <x:c r="E52" s="14" t="str"/>
      <x:c r="F52" s="14" t="str"/>
      <x:c r="G52" s="14" t="str"/>
      <x:c r="H52" s="14" t="str"/>
    </x:row>
  </x:sheetData>
  <x:mergeCells>
    <x:mergeCell ref="A1:L1"/>
    <x:mergeCell ref="A2:L2"/>
    <x:mergeCell ref="A42:L4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  <x:col min="3" max="3" width="18" hidden="0" customWidth="1"/>
    <x:col min="4" max="4" width="16" hidden="0" customWidth="1"/>
    <x:col min="5" max="5" width="23" hidden="0" customWidth="1"/>
    <x:col min="6" max="6" width="17" hidden="0" customWidth="1"/>
    <x:col min="7" max="7" width="16" hidden="0" customWidth="1"/>
    <x:col min="8" max="8" width="20" hidden="0" customWidth="1"/>
    <x:col min="9" max="9" width="24" hidden="0" customWidth="1"/>
    <x:col min="10" max="10" width="17" hidden="0" customWidth="1"/>
    <x:col min="11" max="11" width="28" hidden="0" customWidth="1"/>
    <x:col min="12" max="12" width="12" hidden="0" customWidth="1"/>
    <x:col min="13" max="13" width="12" hidden="0" customWidth="1"/>
    <x:col min="14" max="14" width="10" hidden="0" customWidth="1"/>
    <x:col min="15" max="15" width="32" hidden="0" customWidth="1"/>
    <x:col min="16" max="16" width="32" hidden="0" customWidth="1"/>
    <x:col min="17" max="17" width="32" hidden="0" customWidth="1"/>
    <x:col min="18" max="18" width="19" hidden="0" customWidth="1"/>
    <x:col min="19" max="19" width="22" hidden="0" customWidth="1"/>
    <x:col min="20" max="20" width="13" hidden="0" customWidth="1"/>
    <x:col min="21" max="21" width="13" hidden="0" customWidth="1"/>
    <x:col min="22" max="22" width="16" hidden="0" customWidth="1"/>
    <x:col min="23" max="23" width="18" hidden="0" customWidth="1"/>
    <x:col min="24" max="24" width="24" hidden="0" customWidth="1"/>
    <x:col min="25" max="25" width="18" hidden="0" customWidth="1"/>
    <x:col min="26" max="26" width="18" hidden="0" customWidth="1"/>
    <x:col min="27" max="27" width="13" hidden="0" customWidth="1"/>
    <x:col min="28" max="28" width="17" hidden="0" customWidth="1"/>
    <x:col min="29" max="29" width="12" hidden="0" customWidth="1"/>
    <x:col min="30" max="30" width="17" hidden="0" customWidth="1"/>
    <x:col min="31" max="31" width="20" hidden="0" customWidth="1"/>
    <x:col min="32" max="32" width="28" hidden="0" customWidth="1"/>
  </x:cols>
  <x:sheetData>
    <x:row r="1" ht="30" customHeight="1">
      <x:c r="A1" s="70" t="str">
        <x:v>SBTG Training Need, Request &amp; Approval Register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0"/>
      <x:c r="L1" s="70"/>
      <x:c r="M1" s="70"/>
      <x:c r="N1" s="70"/>
      <x:c r="O1" s="70"/>
      <x:c r="P1" s="70"/>
      <x:c r="Q1" s="70"/>
      <x:c r="R1" s="70"/>
      <x:c r="S1" s="70"/>
      <x:c r="T1" s="70"/>
      <x:c r="U1" s="70"/>
      <x:c r="V1" s="70"/>
      <x:c r="W1" s="70"/>
      <x:c r="X1" s="70"/>
      <x:c r="Y1" s="70"/>
      <x:c r="Z1" s="70"/>
      <x:c r="AA1" s="70"/>
      <x:c r="AB1" s="70"/>
      <x:c r="AC1" s="70"/>
      <x:c r="AD1" s="70"/>
      <x:c r="AE1" s="70"/>
      <x:c r="AF1" s="70"/>
    </x:row>
    <x:row r="2" ht="36" customHeight="1">
      <x:c r="A2" s="74" t="str">
        <x:v>One row per training need. Start from a verified gap or business requirement, define the expected job result, obtain approval, then link the approved request to a Training ID.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  <x:c r="O2" s="74"/>
      <x:c r="P2" s="74"/>
      <x:c r="Q2" s="74"/>
      <x:c r="R2" s="74"/>
      <x:c r="S2" s="74"/>
      <x:c r="T2" s="74"/>
      <x:c r="U2" s="74"/>
      <x:c r="V2" s="74"/>
      <x:c r="W2" s="74"/>
      <x:c r="X2" s="74"/>
      <x:c r="Y2" s="74"/>
      <x:c r="Z2" s="74"/>
      <x:c r="AA2" s="74"/>
      <x:c r="AB2" s="74"/>
      <x:c r="AC2" s="74"/>
      <x:c r="AD2" s="74"/>
      <x:c r="AE2" s="74"/>
      <x:c r="AF2" s="74"/>
    </x:row>
    <x:row r="4" ht="24" customHeight="1">
      <x:c r="A4" s="77" t="str">
        <x:v>TRAINING NEED → APPROVAL → SCHEDULING CONTROL</x:v>
      </x:c>
      <x:c r="B4" s="77"/>
      <x:c r="C4" s="77"/>
      <x:c r="D4" s="77"/>
      <x:c r="E4" s="77"/>
      <x:c r="F4" s="77"/>
      <x:c r="G4" s="77"/>
      <x:c r="H4" s="77"/>
      <x:c r="I4" s="77"/>
      <x:c r="J4" s="77"/>
      <x:c r="K4" s="77"/>
      <x:c r="L4" s="77"/>
      <x:c r="M4" s="77"/>
      <x:c r="N4" s="77"/>
      <x:c r="O4" s="77"/>
      <x:c r="P4" s="77"/>
      <x:c r="Q4" s="77"/>
      <x:c r="R4" s="77"/>
      <x:c r="S4" s="77"/>
      <x:c r="T4" s="77"/>
      <x:c r="U4" s="77"/>
      <x:c r="V4" s="77"/>
      <x:c r="W4" s="77"/>
      <x:c r="X4" s="77"/>
      <x:c r="Y4" s="77"/>
      <x:c r="Z4" s="77"/>
      <x:c r="AA4" s="77"/>
      <x:c r="AB4" s="77"/>
      <x:c r="AC4" s="77"/>
      <x:c r="AD4" s="77"/>
      <x:c r="AE4" s="77"/>
      <x:c r="AF4" s="77"/>
    </x:row>
    <x:row r="5" ht="38" customHeight="1">
      <x:c r="A5" s="83" t="str">
        <x:v>Request ID</x:v>
      </x:c>
      <x:c r="B5" s="83" t="str">
        <x:v>Request Date</x:v>
      </x:c>
      <x:c r="C5" s="83" t="str">
        <x:v>Requestor</x:v>
      </x:c>
      <x:c r="D5" s="83" t="str">
        <x:v>Department</x:v>
      </x:c>
      <x:c r="E5" s="83" t="str">
        <x:v>Need Source</x:v>
      </x:c>
      <x:c r="F5" s="83" t="str">
        <x:v>Linked Action ID</x:v>
      </x:c>
      <x:c r="G5" s="83" t="str">
        <x:v>Staff ID / Group</x:v>
      </x:c>
      <x:c r="H5" s="83" t="str">
        <x:v>Staff Name</x:v>
      </x:c>
      <x:c r="I5" s="83" t="str">
        <x:v>Position</x:v>
      </x:c>
      <x:c r="J5" s="83" t="str">
        <x:v>Skill ID</x:v>
      </x:c>
      <x:c r="K5" s="83" t="str">
        <x:v>Skill Name</x:v>
      </x:c>
      <x:c r="L5" s="83" t="str">
        <x:v>Current Level</x:v>
      </x:c>
      <x:c r="M5" s="83" t="str">
        <x:v>Target Level</x:v>
      </x:c>
      <x:c r="N5" s="83" t="str">
        <x:v>Gap</x:v>
      </x:c>
      <x:c r="O5" s="83" t="str">
        <x:v>Need / Problem</x:v>
      </x:c>
      <x:c r="P5" s="83" t="str">
        <x:v>Learning Objective</x:v>
      </x:c>
      <x:c r="Q5" s="83" t="str">
        <x:v>Expected Job / KPI Result</x:v>
      </x:c>
      <x:c r="R5" s="83" t="str">
        <x:v>Delivery Method</x:v>
      </x:c>
      <x:c r="S5" s="83" t="str">
        <x:v>Trainer / Provider</x:v>
      </x:c>
      <x:c r="T5" s="83" t="str">
        <x:v>Proposed Start</x:v>
      </x:c>
      <x:c r="U5" s="83" t="str">
        <x:v>Proposed End</x:v>
      </x:c>
      <x:c r="V5" s="83" t="str">
        <x:v>Estimated Cost (RM)</x:v>
      </x:c>
      <x:c r="W5" s="83" t="str">
        <x:v>HOD Recommendation</x:v>
      </x:c>
      <x:c r="X5" s="83" t="str">
        <x:v>HR Review</x:v>
      </x:c>
      <x:c r="Y5" s="83" t="str">
        <x:v>Approval Status</x:v>
      </x:c>
      <x:c r="Z5" s="83" t="str">
        <x:v>Approver</x:v>
      </x:c>
      <x:c r="AA5" s="83" t="str">
        <x:v>Approval Date</x:v>
      </x:c>
      <x:c r="AB5" s="83" t="str">
        <x:v>Approved Budget (RM)</x:v>
      </x:c>
      <x:c r="AC5" s="83" t="str">
        <x:v>Priority</x:v>
      </x:c>
      <x:c r="AD5" s="83" t="str">
        <x:v>Linked Training ID</x:v>
      </x:c>
      <x:c r="AE5" s="83" t="str">
        <x:v>Workflow Status</x:v>
      </x:c>
      <x:c r="AF5" s="83" t="str">
        <x:v>Notes</x:v>
      </x:c>
    </x:row>
    <x:row r="6">
      <x:c r="A6" s="92"/>
      <x:c r="B6" s="93"/>
      <x:c r="C6" s="92"/>
      <x:c r="D6" s="92"/>
      <x:c r="E6" s="92"/>
      <x:c r="F6" s="92"/>
      <x:c r="G6" s="92"/>
      <x:c r="H6" s="94" t="str">
        <x:f>IFERROR(VLOOKUP(G6,'01 Staff Master'!$A$6:$M$105,2,FALSE),"")</x:f>
      </x:c>
      <x:c r="I6" s="94" t="str">
        <x:f>IFERROR(VLOOKUP(G6,'01 Staff Master'!$A$6:$M$105,5,FALSE),"")</x:f>
      </x:c>
      <x:c r="J6" s="92"/>
      <x:c r="K6" s="94" t="str">
        <x:f>IFERROR(VLOOKUP(J6,'02 Skill Catalogue'!$A$6:$K$95,4,FALSE),"")</x:f>
      </x:c>
      <x:c r="L6" s="94" t="str">
        <x:f>IF(OR(G6="",J6=""),"",IF(COUNTIFS('04 Assessment Log'!$D$6:$D$155,G6,'04 Assessment Log'!$J$6:$J$155,J6,'04 Assessment Log'!$AA$6:$AA$155,"Yes")=0,"",SUMIFS('04 Assessment Log'!$O$6:$O$155,'04 Assessment Log'!$D$6:$D$155,G6,'04 Assessment Log'!$J$6:$J$155,J6,'04 Assessment Log'!$AA$6:$AA$155,"Yes")))</x:f>
      </x:c>
      <x:c r="M6" s="92"/>
      <x:c r="N6" s="94" t="str">
        <x:f>IF(OR(L6="",M6=""),"",MAX(M6-L6,0))</x:f>
      </x:c>
      <x:c r="O6" s="92"/>
      <x:c r="P6" s="92"/>
      <x:c r="Q6" s="92"/>
      <x:c r="R6" s="92"/>
      <x:c r="S6" s="92"/>
      <x:c r="T6" s="93"/>
      <x:c r="U6" s="93"/>
      <x:c r="V6" s="95"/>
      <x:c r="W6" s="92"/>
      <x:c r="X6" s="92"/>
      <x:c r="Y6" s="92"/>
      <x:c r="Z6" s="92"/>
      <x:c r="AA6" s="93"/>
      <x:c r="AB6" s="95"/>
      <x:c r="AC6" s="92"/>
      <x:c r="AD6" s="92"/>
      <x:c r="AE6" s="94" t="str">
        <x:f>IF(A6="","",IF(Y6="Approved",IF(AD6="","Approved — Schedule","Scheduled / Linked"),IF(Y6="Rejected","Closed — Rejected",IF(Y6="Cancelled","Closed — Cancelled","Pending Approval"))))</x:f>
      </x:c>
      <x:c r="AF6" s="92"/>
    </x:row>
    <x:row r="7">
      <x:c r="A7" s="92"/>
      <x:c r="B7" s="93"/>
      <x:c r="C7" s="92"/>
      <x:c r="D7" s="92"/>
      <x:c r="E7" s="92"/>
      <x:c r="F7" s="92"/>
      <x:c r="G7" s="92"/>
      <x:c r="H7" s="94" t="str">
        <x:f>IFERROR(VLOOKUP(G7,'01 Staff Master'!$A$6:$M$105,2,FALSE),"")</x:f>
      </x:c>
      <x:c r="I7" s="94" t="str">
        <x:f>IFERROR(VLOOKUP(G7,'01 Staff Master'!$A$6:$M$105,5,FALSE),"")</x:f>
      </x:c>
      <x:c r="J7" s="92"/>
      <x:c r="K7" s="94" t="str">
        <x:f>IFERROR(VLOOKUP(J7,'02 Skill Catalogue'!$A$6:$K$95,4,FALSE),"")</x:f>
      </x:c>
      <x:c r="L7" s="94" t="str">
        <x:f>IF(OR(G7="",J7=""),"",IF(COUNTIFS('04 Assessment Log'!$D$6:$D$155,G7,'04 Assessment Log'!$J$6:$J$155,J7,'04 Assessment Log'!$AA$6:$AA$155,"Yes")=0,"",SUMIFS('04 Assessment Log'!$O$6:$O$155,'04 Assessment Log'!$D$6:$D$155,G7,'04 Assessment Log'!$J$6:$J$155,J7,'04 Assessment Log'!$AA$6:$AA$155,"Yes")))</x:f>
      </x:c>
      <x:c r="M7" s="92"/>
      <x:c r="N7" s="94" t="str">
        <x:f>IF(OR(L7="",M7=""),"",MAX(M7-L7,0))</x:f>
      </x:c>
      <x:c r="O7" s="92"/>
      <x:c r="P7" s="92"/>
      <x:c r="Q7" s="92"/>
      <x:c r="R7" s="92"/>
      <x:c r="S7" s="92"/>
      <x:c r="T7" s="93"/>
      <x:c r="U7" s="93"/>
      <x:c r="V7" s="95"/>
      <x:c r="W7" s="92"/>
      <x:c r="X7" s="92"/>
      <x:c r="Y7" s="92"/>
      <x:c r="Z7" s="92"/>
      <x:c r="AA7" s="93"/>
      <x:c r="AB7" s="95"/>
      <x:c r="AC7" s="92"/>
      <x:c r="AD7" s="92"/>
      <x:c r="AE7" s="94" t="str">
        <x:f>IF(A7="","",IF(Y7="Approved",IF(AD7="","Approved — Schedule","Scheduled / Linked"),IF(Y7="Rejected","Closed — Rejected",IF(Y7="Cancelled","Closed — Cancelled","Pending Approval"))))</x:f>
      </x:c>
      <x:c r="AF7" s="92"/>
    </x:row>
    <x:row r="8">
      <x:c r="A8" s="92"/>
      <x:c r="B8" s="93"/>
      <x:c r="C8" s="92"/>
      <x:c r="D8" s="92"/>
      <x:c r="E8" s="92"/>
      <x:c r="F8" s="92"/>
      <x:c r="G8" s="92"/>
      <x:c r="H8" s="94" t="str">
        <x:f>IFERROR(VLOOKUP(G8,'01 Staff Master'!$A$6:$M$105,2,FALSE),"")</x:f>
      </x:c>
      <x:c r="I8" s="94" t="str">
        <x:f>IFERROR(VLOOKUP(G8,'01 Staff Master'!$A$6:$M$105,5,FALSE),"")</x:f>
      </x:c>
      <x:c r="J8" s="92"/>
      <x:c r="K8" s="94" t="str">
        <x:f>IFERROR(VLOOKUP(J8,'02 Skill Catalogue'!$A$6:$K$95,4,FALSE),"")</x:f>
      </x:c>
      <x:c r="L8" s="94" t="str">
        <x:f>IF(OR(G8="",J8=""),"",IF(COUNTIFS('04 Assessment Log'!$D$6:$D$155,G8,'04 Assessment Log'!$J$6:$J$155,J8,'04 Assessment Log'!$AA$6:$AA$155,"Yes")=0,"",SUMIFS('04 Assessment Log'!$O$6:$O$155,'04 Assessment Log'!$D$6:$D$155,G8,'04 Assessment Log'!$J$6:$J$155,J8,'04 Assessment Log'!$AA$6:$AA$155,"Yes")))</x:f>
      </x:c>
      <x:c r="M8" s="92"/>
      <x:c r="N8" s="94" t="str">
        <x:f>IF(OR(L8="",M8=""),"",MAX(M8-L8,0))</x:f>
      </x:c>
      <x:c r="O8" s="92"/>
      <x:c r="P8" s="92"/>
      <x:c r="Q8" s="92"/>
      <x:c r="R8" s="92"/>
      <x:c r="S8" s="92"/>
      <x:c r="T8" s="93"/>
      <x:c r="U8" s="93"/>
      <x:c r="V8" s="95"/>
      <x:c r="W8" s="92"/>
      <x:c r="X8" s="92"/>
      <x:c r="Y8" s="92"/>
      <x:c r="Z8" s="92"/>
      <x:c r="AA8" s="93"/>
      <x:c r="AB8" s="95"/>
      <x:c r="AC8" s="92"/>
      <x:c r="AD8" s="92"/>
      <x:c r="AE8" s="94" t="str">
        <x:f>IF(A8="","",IF(Y8="Approved",IF(AD8="","Approved — Schedule","Scheduled / Linked"),IF(Y8="Rejected","Closed — Rejected",IF(Y8="Cancelled","Closed — Cancelled","Pending Approval"))))</x:f>
      </x:c>
      <x:c r="AF8" s="92"/>
    </x:row>
    <x:row r="9">
      <x:c r="A9" s="92"/>
      <x:c r="B9" s="93"/>
      <x:c r="C9" s="92"/>
      <x:c r="D9" s="92"/>
      <x:c r="E9" s="92"/>
      <x:c r="F9" s="92"/>
      <x:c r="G9" s="92"/>
      <x:c r="H9" s="94" t="str">
        <x:f>IFERROR(VLOOKUP(G9,'01 Staff Master'!$A$6:$M$105,2,FALSE),"")</x:f>
      </x:c>
      <x:c r="I9" s="94" t="str">
        <x:f>IFERROR(VLOOKUP(G9,'01 Staff Master'!$A$6:$M$105,5,FALSE),"")</x:f>
      </x:c>
      <x:c r="J9" s="92"/>
      <x:c r="K9" s="94" t="str">
        <x:f>IFERROR(VLOOKUP(J9,'02 Skill Catalogue'!$A$6:$K$95,4,FALSE),"")</x:f>
      </x:c>
      <x:c r="L9" s="94" t="str">
        <x:f>IF(OR(G9="",J9=""),"",IF(COUNTIFS('04 Assessment Log'!$D$6:$D$155,G9,'04 Assessment Log'!$J$6:$J$155,J9,'04 Assessment Log'!$AA$6:$AA$155,"Yes")=0,"",SUMIFS('04 Assessment Log'!$O$6:$O$155,'04 Assessment Log'!$D$6:$D$155,G9,'04 Assessment Log'!$J$6:$J$155,J9,'04 Assessment Log'!$AA$6:$AA$155,"Yes")))</x:f>
      </x:c>
      <x:c r="M9" s="92"/>
      <x:c r="N9" s="94" t="str">
        <x:f>IF(OR(L9="",M9=""),"",MAX(M9-L9,0))</x:f>
      </x:c>
      <x:c r="O9" s="92"/>
      <x:c r="P9" s="92"/>
      <x:c r="Q9" s="92"/>
      <x:c r="R9" s="92"/>
      <x:c r="S9" s="92"/>
      <x:c r="T9" s="93"/>
      <x:c r="U9" s="93"/>
      <x:c r="V9" s="95"/>
      <x:c r="W9" s="92"/>
      <x:c r="X9" s="92"/>
      <x:c r="Y9" s="92"/>
      <x:c r="Z9" s="92"/>
      <x:c r="AA9" s="93"/>
      <x:c r="AB9" s="95"/>
      <x:c r="AC9" s="92"/>
      <x:c r="AD9" s="92"/>
      <x:c r="AE9" s="94" t="str">
        <x:f>IF(A9="","",IF(Y9="Approved",IF(AD9="","Approved — Schedule","Scheduled / Linked"),IF(Y9="Rejected","Closed — Rejected",IF(Y9="Cancelled","Closed — Cancelled","Pending Approval"))))</x:f>
      </x:c>
      <x:c r="AF9" s="92"/>
    </x:row>
    <x:row r="10">
      <x:c r="A10" s="92"/>
      <x:c r="B10" s="93"/>
      <x:c r="C10" s="92"/>
      <x:c r="D10" s="92"/>
      <x:c r="E10" s="92"/>
      <x:c r="F10" s="92"/>
      <x:c r="G10" s="92"/>
      <x:c r="H10" s="94" t="str">
        <x:f>IFERROR(VLOOKUP(G10,'01 Staff Master'!$A$6:$M$105,2,FALSE),"")</x:f>
      </x:c>
      <x:c r="I10" s="94" t="str">
        <x:f>IFERROR(VLOOKUP(G10,'01 Staff Master'!$A$6:$M$105,5,FALSE),"")</x:f>
      </x:c>
      <x:c r="J10" s="92"/>
      <x:c r="K10" s="94" t="str">
        <x:f>IFERROR(VLOOKUP(J10,'02 Skill Catalogue'!$A$6:$K$95,4,FALSE),"")</x:f>
      </x:c>
      <x:c r="L10" s="94" t="str">
        <x:f>IF(OR(G10="",J10=""),"",IF(COUNTIFS('04 Assessment Log'!$D$6:$D$155,G10,'04 Assessment Log'!$J$6:$J$155,J10,'04 Assessment Log'!$AA$6:$AA$155,"Yes")=0,"",SUMIFS('04 Assessment Log'!$O$6:$O$155,'04 Assessment Log'!$D$6:$D$155,G10,'04 Assessment Log'!$J$6:$J$155,J10,'04 Assessment Log'!$AA$6:$AA$155,"Yes")))</x:f>
      </x:c>
      <x:c r="M10" s="92"/>
      <x:c r="N10" s="94" t="str">
        <x:f>IF(OR(L10="",M10=""),"",MAX(M10-L10,0))</x:f>
      </x:c>
      <x:c r="O10" s="92"/>
      <x:c r="P10" s="92"/>
      <x:c r="Q10" s="92"/>
      <x:c r="R10" s="92"/>
      <x:c r="S10" s="92"/>
      <x:c r="T10" s="93"/>
      <x:c r="U10" s="93"/>
      <x:c r="V10" s="95"/>
      <x:c r="W10" s="92"/>
      <x:c r="X10" s="92"/>
      <x:c r="Y10" s="92"/>
      <x:c r="Z10" s="92"/>
      <x:c r="AA10" s="93"/>
      <x:c r="AB10" s="95"/>
      <x:c r="AC10" s="92"/>
      <x:c r="AD10" s="92"/>
      <x:c r="AE10" s="94" t="str">
        <x:f>IF(A10="","",IF(Y10="Approved",IF(AD10="","Approved — Schedule","Scheduled / Linked"),IF(Y10="Rejected","Closed — Rejected",IF(Y10="Cancelled","Closed — Cancelled","Pending Approval"))))</x:f>
      </x:c>
      <x:c r="AF10" s="92"/>
    </x:row>
    <x:row r="11">
      <x:c r="A11" s="92"/>
      <x:c r="B11" s="93"/>
      <x:c r="C11" s="92"/>
      <x:c r="D11" s="92"/>
      <x:c r="E11" s="92"/>
      <x:c r="F11" s="92"/>
      <x:c r="G11" s="92"/>
      <x:c r="H11" s="94" t="str">
        <x:f>IFERROR(VLOOKUP(G11,'01 Staff Master'!$A$6:$M$105,2,FALSE),"")</x:f>
      </x:c>
      <x:c r="I11" s="94" t="str">
        <x:f>IFERROR(VLOOKUP(G11,'01 Staff Master'!$A$6:$M$105,5,FALSE),"")</x:f>
      </x:c>
      <x:c r="J11" s="92"/>
      <x:c r="K11" s="94" t="str">
        <x:f>IFERROR(VLOOKUP(J11,'02 Skill Catalogue'!$A$6:$K$95,4,FALSE),"")</x:f>
      </x:c>
      <x:c r="L11" s="94" t="str">
        <x:f>IF(OR(G11="",J11=""),"",IF(COUNTIFS('04 Assessment Log'!$D$6:$D$155,G11,'04 Assessment Log'!$J$6:$J$155,J11,'04 Assessment Log'!$AA$6:$AA$155,"Yes")=0,"",SUMIFS('04 Assessment Log'!$O$6:$O$155,'04 Assessment Log'!$D$6:$D$155,G11,'04 Assessment Log'!$J$6:$J$155,J11,'04 Assessment Log'!$AA$6:$AA$155,"Yes")))</x:f>
      </x:c>
      <x:c r="M11" s="92"/>
      <x:c r="N11" s="94" t="str">
        <x:f>IF(OR(L11="",M11=""),"",MAX(M11-L11,0))</x:f>
      </x:c>
      <x:c r="O11" s="92"/>
      <x:c r="P11" s="92"/>
      <x:c r="Q11" s="92"/>
      <x:c r="R11" s="92"/>
      <x:c r="S11" s="92"/>
      <x:c r="T11" s="93"/>
      <x:c r="U11" s="93"/>
      <x:c r="V11" s="95"/>
      <x:c r="W11" s="92"/>
      <x:c r="X11" s="92"/>
      <x:c r="Y11" s="92"/>
      <x:c r="Z11" s="92"/>
      <x:c r="AA11" s="93"/>
      <x:c r="AB11" s="95"/>
      <x:c r="AC11" s="92"/>
      <x:c r="AD11" s="92"/>
      <x:c r="AE11" s="94" t="str">
        <x:f>IF(A11="","",IF(Y11="Approved",IF(AD11="","Approved — Schedule","Scheduled / Linked"),IF(Y11="Rejected","Closed — Rejected",IF(Y11="Cancelled","Closed — Cancelled","Pending Approval"))))</x:f>
      </x:c>
      <x:c r="AF11" s="92"/>
    </x:row>
    <x:row r="12">
      <x:c r="A12" s="92"/>
      <x:c r="B12" s="93"/>
      <x:c r="C12" s="92"/>
      <x:c r="D12" s="92"/>
      <x:c r="E12" s="92"/>
      <x:c r="F12" s="92"/>
      <x:c r="G12" s="92"/>
      <x:c r="H12" s="94" t="str">
        <x:f>IFERROR(VLOOKUP(G12,'01 Staff Master'!$A$6:$M$105,2,FALSE),"")</x:f>
      </x:c>
      <x:c r="I12" s="94" t="str">
        <x:f>IFERROR(VLOOKUP(G12,'01 Staff Master'!$A$6:$M$105,5,FALSE),"")</x:f>
      </x:c>
      <x:c r="J12" s="92"/>
      <x:c r="K12" s="94" t="str">
        <x:f>IFERROR(VLOOKUP(J12,'02 Skill Catalogue'!$A$6:$K$95,4,FALSE),"")</x:f>
      </x:c>
      <x:c r="L12" s="94" t="str">
        <x:f>IF(OR(G12="",J12=""),"",IF(COUNTIFS('04 Assessment Log'!$D$6:$D$155,G12,'04 Assessment Log'!$J$6:$J$155,J12,'04 Assessment Log'!$AA$6:$AA$155,"Yes")=0,"",SUMIFS('04 Assessment Log'!$O$6:$O$155,'04 Assessment Log'!$D$6:$D$155,G12,'04 Assessment Log'!$J$6:$J$155,J12,'04 Assessment Log'!$AA$6:$AA$155,"Yes")))</x:f>
      </x:c>
      <x:c r="M12" s="92"/>
      <x:c r="N12" s="94" t="str">
        <x:f>IF(OR(L12="",M12=""),"",MAX(M12-L12,0))</x:f>
      </x:c>
      <x:c r="O12" s="92"/>
      <x:c r="P12" s="92"/>
      <x:c r="Q12" s="92"/>
      <x:c r="R12" s="92"/>
      <x:c r="S12" s="92"/>
      <x:c r="T12" s="93"/>
      <x:c r="U12" s="93"/>
      <x:c r="V12" s="95"/>
      <x:c r="W12" s="92"/>
      <x:c r="X12" s="92"/>
      <x:c r="Y12" s="92"/>
      <x:c r="Z12" s="92"/>
      <x:c r="AA12" s="93"/>
      <x:c r="AB12" s="95"/>
      <x:c r="AC12" s="92"/>
      <x:c r="AD12" s="92"/>
      <x:c r="AE12" s="94" t="str">
        <x:f>IF(A12="","",IF(Y12="Approved",IF(AD12="","Approved — Schedule","Scheduled / Linked"),IF(Y12="Rejected","Closed — Rejected",IF(Y12="Cancelled","Closed — Cancelled","Pending Approval"))))</x:f>
      </x:c>
      <x:c r="AF12" s="92"/>
    </x:row>
    <x:row r="13">
      <x:c r="A13" s="92"/>
      <x:c r="B13" s="93"/>
      <x:c r="C13" s="92"/>
      <x:c r="D13" s="92"/>
      <x:c r="E13" s="92"/>
      <x:c r="F13" s="92"/>
      <x:c r="G13" s="92"/>
      <x:c r="H13" s="94" t="str">
        <x:f>IFERROR(VLOOKUP(G13,'01 Staff Master'!$A$6:$M$105,2,FALSE),"")</x:f>
      </x:c>
      <x:c r="I13" s="94" t="str">
        <x:f>IFERROR(VLOOKUP(G13,'01 Staff Master'!$A$6:$M$105,5,FALSE),"")</x:f>
      </x:c>
      <x:c r="J13" s="92"/>
      <x:c r="K13" s="94" t="str">
        <x:f>IFERROR(VLOOKUP(J13,'02 Skill Catalogue'!$A$6:$K$95,4,FALSE),"")</x:f>
      </x:c>
      <x:c r="L13" s="94" t="str">
        <x:f>IF(OR(G13="",J13=""),"",IF(COUNTIFS('04 Assessment Log'!$D$6:$D$155,G13,'04 Assessment Log'!$J$6:$J$155,J13,'04 Assessment Log'!$AA$6:$AA$155,"Yes")=0,"",SUMIFS('04 Assessment Log'!$O$6:$O$155,'04 Assessment Log'!$D$6:$D$155,G13,'04 Assessment Log'!$J$6:$J$155,J13,'04 Assessment Log'!$AA$6:$AA$155,"Yes")))</x:f>
      </x:c>
      <x:c r="M13" s="92"/>
      <x:c r="N13" s="94" t="str">
        <x:f>IF(OR(L13="",M13=""),"",MAX(M13-L13,0))</x:f>
      </x:c>
      <x:c r="O13" s="92"/>
      <x:c r="P13" s="92"/>
      <x:c r="Q13" s="92"/>
      <x:c r="R13" s="92"/>
      <x:c r="S13" s="92"/>
      <x:c r="T13" s="93"/>
      <x:c r="U13" s="93"/>
      <x:c r="V13" s="95"/>
      <x:c r="W13" s="92"/>
      <x:c r="X13" s="92"/>
      <x:c r="Y13" s="92"/>
      <x:c r="Z13" s="92"/>
      <x:c r="AA13" s="93"/>
      <x:c r="AB13" s="95"/>
      <x:c r="AC13" s="92"/>
      <x:c r="AD13" s="92"/>
      <x:c r="AE13" s="94" t="str">
        <x:f>IF(A13="","",IF(Y13="Approved",IF(AD13="","Approved — Schedule","Scheduled / Linked"),IF(Y13="Rejected","Closed — Rejected",IF(Y13="Cancelled","Closed — Cancelled","Pending Approval"))))</x:f>
      </x:c>
      <x:c r="AF13" s="92"/>
    </x:row>
    <x:row r="14">
      <x:c r="A14" s="92"/>
      <x:c r="B14" s="93"/>
      <x:c r="C14" s="92"/>
      <x:c r="D14" s="92"/>
      <x:c r="E14" s="92"/>
      <x:c r="F14" s="92"/>
      <x:c r="G14" s="92"/>
      <x:c r="H14" s="94" t="str">
        <x:f>IFERROR(VLOOKUP(G14,'01 Staff Master'!$A$6:$M$105,2,FALSE),"")</x:f>
      </x:c>
      <x:c r="I14" s="94" t="str">
        <x:f>IFERROR(VLOOKUP(G14,'01 Staff Master'!$A$6:$M$105,5,FALSE),"")</x:f>
      </x:c>
      <x:c r="J14" s="92"/>
      <x:c r="K14" s="94" t="str">
        <x:f>IFERROR(VLOOKUP(J14,'02 Skill Catalogue'!$A$6:$K$95,4,FALSE),"")</x:f>
      </x:c>
      <x:c r="L14" s="94" t="str">
        <x:f>IF(OR(G14="",J14=""),"",IF(COUNTIFS('04 Assessment Log'!$D$6:$D$155,G14,'04 Assessment Log'!$J$6:$J$155,J14,'04 Assessment Log'!$AA$6:$AA$155,"Yes")=0,"",SUMIFS('04 Assessment Log'!$O$6:$O$155,'04 Assessment Log'!$D$6:$D$155,G14,'04 Assessment Log'!$J$6:$J$155,J14,'04 Assessment Log'!$AA$6:$AA$155,"Yes")))</x:f>
      </x:c>
      <x:c r="M14" s="92"/>
      <x:c r="N14" s="94" t="str">
        <x:f>IF(OR(L14="",M14=""),"",MAX(M14-L14,0))</x:f>
      </x:c>
      <x:c r="O14" s="92"/>
      <x:c r="P14" s="92"/>
      <x:c r="Q14" s="92"/>
      <x:c r="R14" s="92"/>
      <x:c r="S14" s="92"/>
      <x:c r="T14" s="93"/>
      <x:c r="U14" s="93"/>
      <x:c r="V14" s="95"/>
      <x:c r="W14" s="92"/>
      <x:c r="X14" s="92"/>
      <x:c r="Y14" s="92"/>
      <x:c r="Z14" s="92"/>
      <x:c r="AA14" s="93"/>
      <x:c r="AB14" s="95"/>
      <x:c r="AC14" s="92"/>
      <x:c r="AD14" s="92"/>
      <x:c r="AE14" s="94" t="str">
        <x:f>IF(A14="","",IF(Y14="Approved",IF(AD14="","Approved — Schedule","Scheduled / Linked"),IF(Y14="Rejected","Closed — Rejected",IF(Y14="Cancelled","Closed — Cancelled","Pending Approval"))))</x:f>
      </x:c>
      <x:c r="AF14" s="92"/>
    </x:row>
    <x:row r="15">
      <x:c r="A15" s="92"/>
      <x:c r="B15" s="93"/>
      <x:c r="C15" s="92"/>
      <x:c r="D15" s="92"/>
      <x:c r="E15" s="92"/>
      <x:c r="F15" s="92"/>
      <x:c r="G15" s="92"/>
      <x:c r="H15" s="94" t="str">
        <x:f>IFERROR(VLOOKUP(G15,'01 Staff Master'!$A$6:$M$105,2,FALSE),"")</x:f>
      </x:c>
      <x:c r="I15" s="94" t="str">
        <x:f>IFERROR(VLOOKUP(G15,'01 Staff Master'!$A$6:$M$105,5,FALSE),"")</x:f>
      </x:c>
      <x:c r="J15" s="92"/>
      <x:c r="K15" s="94" t="str">
        <x:f>IFERROR(VLOOKUP(J15,'02 Skill Catalogue'!$A$6:$K$95,4,FALSE),"")</x:f>
      </x:c>
      <x:c r="L15" s="94" t="str">
        <x:f>IF(OR(G15="",J15=""),"",IF(COUNTIFS('04 Assessment Log'!$D$6:$D$155,G15,'04 Assessment Log'!$J$6:$J$155,J15,'04 Assessment Log'!$AA$6:$AA$155,"Yes")=0,"",SUMIFS('04 Assessment Log'!$O$6:$O$155,'04 Assessment Log'!$D$6:$D$155,G15,'04 Assessment Log'!$J$6:$J$155,J15,'04 Assessment Log'!$AA$6:$AA$155,"Yes")))</x:f>
      </x:c>
      <x:c r="M15" s="92"/>
      <x:c r="N15" s="94" t="str">
        <x:f>IF(OR(L15="",M15=""),"",MAX(M15-L15,0))</x:f>
      </x:c>
      <x:c r="O15" s="92"/>
      <x:c r="P15" s="92"/>
      <x:c r="Q15" s="92"/>
      <x:c r="R15" s="92"/>
      <x:c r="S15" s="92"/>
      <x:c r="T15" s="93"/>
      <x:c r="U15" s="93"/>
      <x:c r="V15" s="95"/>
      <x:c r="W15" s="92"/>
      <x:c r="X15" s="92"/>
      <x:c r="Y15" s="92"/>
      <x:c r="Z15" s="92"/>
      <x:c r="AA15" s="93"/>
      <x:c r="AB15" s="95"/>
      <x:c r="AC15" s="92"/>
      <x:c r="AD15" s="92"/>
      <x:c r="AE15" s="94" t="str">
        <x:f>IF(A15="","",IF(Y15="Approved",IF(AD15="","Approved — Schedule","Scheduled / Linked"),IF(Y15="Rejected","Closed — Rejected",IF(Y15="Cancelled","Closed — Cancelled","Pending Approval"))))</x:f>
      </x:c>
      <x:c r="AF15" s="92"/>
    </x:row>
    <x:row r="16">
      <x:c r="A16" s="92"/>
      <x:c r="B16" s="93"/>
      <x:c r="C16" s="92"/>
      <x:c r="D16" s="92"/>
      <x:c r="E16" s="92"/>
      <x:c r="F16" s="92"/>
      <x:c r="G16" s="92"/>
      <x:c r="H16" s="94" t="str">
        <x:f>IFERROR(VLOOKUP(G16,'01 Staff Master'!$A$6:$M$105,2,FALSE),"")</x:f>
      </x:c>
      <x:c r="I16" s="94" t="str">
        <x:f>IFERROR(VLOOKUP(G16,'01 Staff Master'!$A$6:$M$105,5,FALSE),"")</x:f>
      </x:c>
      <x:c r="J16" s="92"/>
      <x:c r="K16" s="94" t="str">
        <x:f>IFERROR(VLOOKUP(J16,'02 Skill Catalogue'!$A$6:$K$95,4,FALSE),"")</x:f>
      </x:c>
      <x:c r="L16" s="94" t="str">
        <x:f>IF(OR(G16="",J16=""),"",IF(COUNTIFS('04 Assessment Log'!$D$6:$D$155,G16,'04 Assessment Log'!$J$6:$J$155,J16,'04 Assessment Log'!$AA$6:$AA$155,"Yes")=0,"",SUMIFS('04 Assessment Log'!$O$6:$O$155,'04 Assessment Log'!$D$6:$D$155,G16,'04 Assessment Log'!$J$6:$J$155,J16,'04 Assessment Log'!$AA$6:$AA$155,"Yes")))</x:f>
      </x:c>
      <x:c r="M16" s="92"/>
      <x:c r="N16" s="94" t="str">
        <x:f>IF(OR(L16="",M16=""),"",MAX(M16-L16,0))</x:f>
      </x:c>
      <x:c r="O16" s="92"/>
      <x:c r="P16" s="92"/>
      <x:c r="Q16" s="92"/>
      <x:c r="R16" s="92"/>
      <x:c r="S16" s="92"/>
      <x:c r="T16" s="93"/>
      <x:c r="U16" s="93"/>
      <x:c r="V16" s="95"/>
      <x:c r="W16" s="92"/>
      <x:c r="X16" s="92"/>
      <x:c r="Y16" s="92"/>
      <x:c r="Z16" s="92"/>
      <x:c r="AA16" s="93"/>
      <x:c r="AB16" s="95"/>
      <x:c r="AC16" s="92"/>
      <x:c r="AD16" s="92"/>
      <x:c r="AE16" s="94" t="str">
        <x:f>IF(A16="","",IF(Y16="Approved",IF(AD16="","Approved — Schedule","Scheduled / Linked"),IF(Y16="Rejected","Closed — Rejected",IF(Y16="Cancelled","Closed — Cancelled","Pending Approval"))))</x:f>
      </x:c>
      <x:c r="AF16" s="92"/>
    </x:row>
    <x:row r="17">
      <x:c r="A17" s="92"/>
      <x:c r="B17" s="93"/>
      <x:c r="C17" s="92"/>
      <x:c r="D17" s="92"/>
      <x:c r="E17" s="92"/>
      <x:c r="F17" s="92"/>
      <x:c r="G17" s="92"/>
      <x:c r="H17" s="94" t="str">
        <x:f>IFERROR(VLOOKUP(G17,'01 Staff Master'!$A$6:$M$105,2,FALSE),"")</x:f>
      </x:c>
      <x:c r="I17" s="94" t="str">
        <x:f>IFERROR(VLOOKUP(G17,'01 Staff Master'!$A$6:$M$105,5,FALSE),"")</x:f>
      </x:c>
      <x:c r="J17" s="92"/>
      <x:c r="K17" s="94" t="str">
        <x:f>IFERROR(VLOOKUP(J17,'02 Skill Catalogue'!$A$6:$K$95,4,FALSE),"")</x:f>
      </x:c>
      <x:c r="L17" s="94" t="str">
        <x:f>IF(OR(G17="",J17=""),"",IF(COUNTIFS('04 Assessment Log'!$D$6:$D$155,G17,'04 Assessment Log'!$J$6:$J$155,J17,'04 Assessment Log'!$AA$6:$AA$155,"Yes")=0,"",SUMIFS('04 Assessment Log'!$O$6:$O$155,'04 Assessment Log'!$D$6:$D$155,G17,'04 Assessment Log'!$J$6:$J$155,J17,'04 Assessment Log'!$AA$6:$AA$155,"Yes")))</x:f>
      </x:c>
      <x:c r="M17" s="92"/>
      <x:c r="N17" s="94" t="str">
        <x:f>IF(OR(L17="",M17=""),"",MAX(M17-L17,0))</x:f>
      </x:c>
      <x:c r="O17" s="92"/>
      <x:c r="P17" s="92"/>
      <x:c r="Q17" s="92"/>
      <x:c r="R17" s="92"/>
      <x:c r="S17" s="92"/>
      <x:c r="T17" s="93"/>
      <x:c r="U17" s="93"/>
      <x:c r="V17" s="95"/>
      <x:c r="W17" s="92"/>
      <x:c r="X17" s="92"/>
      <x:c r="Y17" s="92"/>
      <x:c r="Z17" s="92"/>
      <x:c r="AA17" s="93"/>
      <x:c r="AB17" s="95"/>
      <x:c r="AC17" s="92"/>
      <x:c r="AD17" s="92"/>
      <x:c r="AE17" s="94" t="str">
        <x:f>IF(A17="","",IF(Y17="Approved",IF(AD17="","Approved — Schedule","Scheduled / Linked"),IF(Y17="Rejected","Closed — Rejected",IF(Y17="Cancelled","Closed — Cancelled","Pending Approval"))))</x:f>
      </x:c>
      <x:c r="AF17" s="92"/>
    </x:row>
    <x:row r="18">
      <x:c r="A18" s="92"/>
      <x:c r="B18" s="93"/>
      <x:c r="C18" s="92"/>
      <x:c r="D18" s="92"/>
      <x:c r="E18" s="92"/>
      <x:c r="F18" s="92"/>
      <x:c r="G18" s="92"/>
      <x:c r="H18" s="94" t="str">
        <x:f>IFERROR(VLOOKUP(G18,'01 Staff Master'!$A$6:$M$105,2,FALSE),"")</x:f>
      </x:c>
      <x:c r="I18" s="94" t="str">
        <x:f>IFERROR(VLOOKUP(G18,'01 Staff Master'!$A$6:$M$105,5,FALSE),"")</x:f>
      </x:c>
      <x:c r="J18" s="92"/>
      <x:c r="K18" s="94" t="str">
        <x:f>IFERROR(VLOOKUP(J18,'02 Skill Catalogue'!$A$6:$K$95,4,FALSE),"")</x:f>
      </x:c>
      <x:c r="L18" s="94" t="str">
        <x:f>IF(OR(G18="",J18=""),"",IF(COUNTIFS('04 Assessment Log'!$D$6:$D$155,G18,'04 Assessment Log'!$J$6:$J$155,J18,'04 Assessment Log'!$AA$6:$AA$155,"Yes")=0,"",SUMIFS('04 Assessment Log'!$O$6:$O$155,'04 Assessment Log'!$D$6:$D$155,G18,'04 Assessment Log'!$J$6:$J$155,J18,'04 Assessment Log'!$AA$6:$AA$155,"Yes")))</x:f>
      </x:c>
      <x:c r="M18" s="92"/>
      <x:c r="N18" s="94" t="str">
        <x:f>IF(OR(L18="",M18=""),"",MAX(M18-L18,0))</x:f>
      </x:c>
      <x:c r="O18" s="92"/>
      <x:c r="P18" s="92"/>
      <x:c r="Q18" s="92"/>
      <x:c r="R18" s="92"/>
      <x:c r="S18" s="92"/>
      <x:c r="T18" s="93"/>
      <x:c r="U18" s="93"/>
      <x:c r="V18" s="95"/>
      <x:c r="W18" s="92"/>
      <x:c r="X18" s="92"/>
      <x:c r="Y18" s="92"/>
      <x:c r="Z18" s="92"/>
      <x:c r="AA18" s="93"/>
      <x:c r="AB18" s="95"/>
      <x:c r="AC18" s="92"/>
      <x:c r="AD18" s="92"/>
      <x:c r="AE18" s="94" t="str">
        <x:f>IF(A18="","",IF(Y18="Approved",IF(AD18="","Approved — Schedule","Scheduled / Linked"),IF(Y18="Rejected","Closed — Rejected",IF(Y18="Cancelled","Closed — Cancelled","Pending Approval"))))</x:f>
      </x:c>
      <x:c r="AF18" s="92"/>
    </x:row>
    <x:row r="19">
      <x:c r="A19" s="92"/>
      <x:c r="B19" s="93"/>
      <x:c r="C19" s="92"/>
      <x:c r="D19" s="92"/>
      <x:c r="E19" s="92"/>
      <x:c r="F19" s="92"/>
      <x:c r="G19" s="92"/>
      <x:c r="H19" s="94" t="str">
        <x:f>IFERROR(VLOOKUP(G19,'01 Staff Master'!$A$6:$M$105,2,FALSE),"")</x:f>
      </x:c>
      <x:c r="I19" s="94" t="str">
        <x:f>IFERROR(VLOOKUP(G19,'01 Staff Master'!$A$6:$M$105,5,FALSE),"")</x:f>
      </x:c>
      <x:c r="J19" s="92"/>
      <x:c r="K19" s="94" t="str">
        <x:f>IFERROR(VLOOKUP(J19,'02 Skill Catalogue'!$A$6:$K$95,4,FALSE),"")</x:f>
      </x:c>
      <x:c r="L19" s="94" t="str">
        <x:f>IF(OR(G19="",J19=""),"",IF(COUNTIFS('04 Assessment Log'!$D$6:$D$155,G19,'04 Assessment Log'!$J$6:$J$155,J19,'04 Assessment Log'!$AA$6:$AA$155,"Yes")=0,"",SUMIFS('04 Assessment Log'!$O$6:$O$155,'04 Assessment Log'!$D$6:$D$155,G19,'04 Assessment Log'!$J$6:$J$155,J19,'04 Assessment Log'!$AA$6:$AA$155,"Yes")))</x:f>
      </x:c>
      <x:c r="M19" s="92"/>
      <x:c r="N19" s="94" t="str">
        <x:f>IF(OR(L19="",M19=""),"",MAX(M19-L19,0))</x:f>
      </x:c>
      <x:c r="O19" s="92"/>
      <x:c r="P19" s="92"/>
      <x:c r="Q19" s="92"/>
      <x:c r="R19" s="92"/>
      <x:c r="S19" s="92"/>
      <x:c r="T19" s="93"/>
      <x:c r="U19" s="93"/>
      <x:c r="V19" s="95"/>
      <x:c r="W19" s="92"/>
      <x:c r="X19" s="92"/>
      <x:c r="Y19" s="92"/>
      <x:c r="Z19" s="92"/>
      <x:c r="AA19" s="93"/>
      <x:c r="AB19" s="95"/>
      <x:c r="AC19" s="92"/>
      <x:c r="AD19" s="92"/>
      <x:c r="AE19" s="94" t="str">
        <x:f>IF(A19="","",IF(Y19="Approved",IF(AD19="","Approved — Schedule","Scheduled / Linked"),IF(Y19="Rejected","Closed — Rejected",IF(Y19="Cancelled","Closed — Cancelled","Pending Approval"))))</x:f>
      </x:c>
      <x:c r="AF19" s="92"/>
    </x:row>
    <x:row r="20">
      <x:c r="A20" s="92"/>
      <x:c r="B20" s="93"/>
      <x:c r="C20" s="92"/>
      <x:c r="D20" s="92"/>
      <x:c r="E20" s="92"/>
      <x:c r="F20" s="92"/>
      <x:c r="G20" s="92"/>
      <x:c r="H20" s="94" t="str">
        <x:f>IFERROR(VLOOKUP(G20,'01 Staff Master'!$A$6:$M$105,2,FALSE),"")</x:f>
      </x:c>
      <x:c r="I20" s="94" t="str">
        <x:f>IFERROR(VLOOKUP(G20,'01 Staff Master'!$A$6:$M$105,5,FALSE),"")</x:f>
      </x:c>
      <x:c r="J20" s="92"/>
      <x:c r="K20" s="94" t="str">
        <x:f>IFERROR(VLOOKUP(J20,'02 Skill Catalogue'!$A$6:$K$95,4,FALSE),"")</x:f>
      </x:c>
      <x:c r="L20" s="94" t="str">
        <x:f>IF(OR(G20="",J20=""),"",IF(COUNTIFS('04 Assessment Log'!$D$6:$D$155,G20,'04 Assessment Log'!$J$6:$J$155,J20,'04 Assessment Log'!$AA$6:$AA$155,"Yes")=0,"",SUMIFS('04 Assessment Log'!$O$6:$O$155,'04 Assessment Log'!$D$6:$D$155,G20,'04 Assessment Log'!$J$6:$J$155,J20,'04 Assessment Log'!$AA$6:$AA$155,"Yes")))</x:f>
      </x:c>
      <x:c r="M20" s="92"/>
      <x:c r="N20" s="94" t="str">
        <x:f>IF(OR(L20="",M20=""),"",MAX(M20-L20,0))</x:f>
      </x:c>
      <x:c r="O20" s="92"/>
      <x:c r="P20" s="92"/>
      <x:c r="Q20" s="92"/>
      <x:c r="R20" s="92"/>
      <x:c r="S20" s="92"/>
      <x:c r="T20" s="93"/>
      <x:c r="U20" s="93"/>
      <x:c r="V20" s="95"/>
      <x:c r="W20" s="92"/>
      <x:c r="X20" s="92"/>
      <x:c r="Y20" s="92"/>
      <x:c r="Z20" s="92"/>
      <x:c r="AA20" s="93"/>
      <x:c r="AB20" s="95"/>
      <x:c r="AC20" s="92"/>
      <x:c r="AD20" s="92"/>
      <x:c r="AE20" s="94" t="str">
        <x:f>IF(A20="","",IF(Y20="Approved",IF(AD20="","Approved — Schedule","Scheduled / Linked"),IF(Y20="Rejected","Closed — Rejected",IF(Y20="Cancelled","Closed — Cancelled","Pending Approval"))))</x:f>
      </x:c>
      <x:c r="AF20" s="92"/>
    </x:row>
    <x:row r="21">
      <x:c r="A21" s="92"/>
      <x:c r="B21" s="93"/>
      <x:c r="C21" s="92"/>
      <x:c r="D21" s="92"/>
      <x:c r="E21" s="92"/>
      <x:c r="F21" s="92"/>
      <x:c r="G21" s="92"/>
      <x:c r="H21" s="94" t="str">
        <x:f>IFERROR(VLOOKUP(G21,'01 Staff Master'!$A$6:$M$105,2,FALSE),"")</x:f>
      </x:c>
      <x:c r="I21" s="94" t="str">
        <x:f>IFERROR(VLOOKUP(G21,'01 Staff Master'!$A$6:$M$105,5,FALSE),"")</x:f>
      </x:c>
      <x:c r="J21" s="92"/>
      <x:c r="K21" s="94" t="str">
        <x:f>IFERROR(VLOOKUP(J21,'02 Skill Catalogue'!$A$6:$K$95,4,FALSE),"")</x:f>
      </x:c>
      <x:c r="L21" s="94" t="str">
        <x:f>IF(OR(G21="",J21=""),"",IF(COUNTIFS('04 Assessment Log'!$D$6:$D$155,G21,'04 Assessment Log'!$J$6:$J$155,J21,'04 Assessment Log'!$AA$6:$AA$155,"Yes")=0,"",SUMIFS('04 Assessment Log'!$O$6:$O$155,'04 Assessment Log'!$D$6:$D$155,G21,'04 Assessment Log'!$J$6:$J$155,J21,'04 Assessment Log'!$AA$6:$AA$155,"Yes")))</x:f>
      </x:c>
      <x:c r="M21" s="92"/>
      <x:c r="N21" s="94" t="str">
        <x:f>IF(OR(L21="",M21=""),"",MAX(M21-L21,0))</x:f>
      </x:c>
      <x:c r="O21" s="92"/>
      <x:c r="P21" s="92"/>
      <x:c r="Q21" s="92"/>
      <x:c r="R21" s="92"/>
      <x:c r="S21" s="92"/>
      <x:c r="T21" s="93"/>
      <x:c r="U21" s="93"/>
      <x:c r="V21" s="95"/>
      <x:c r="W21" s="92"/>
      <x:c r="X21" s="92"/>
      <x:c r="Y21" s="92"/>
      <x:c r="Z21" s="92"/>
      <x:c r="AA21" s="93"/>
      <x:c r="AB21" s="95"/>
      <x:c r="AC21" s="92"/>
      <x:c r="AD21" s="92"/>
      <x:c r="AE21" s="94" t="str">
        <x:f>IF(A21="","",IF(Y21="Approved",IF(AD21="","Approved — Schedule","Scheduled / Linked"),IF(Y21="Rejected","Closed — Rejected",IF(Y21="Cancelled","Closed — Cancelled","Pending Approval"))))</x:f>
      </x:c>
      <x:c r="AF21" s="92"/>
    </x:row>
    <x:row r="22">
      <x:c r="A22" s="92"/>
      <x:c r="B22" s="93"/>
      <x:c r="C22" s="92"/>
      <x:c r="D22" s="92"/>
      <x:c r="E22" s="92"/>
      <x:c r="F22" s="92"/>
      <x:c r="G22" s="92"/>
      <x:c r="H22" s="94" t="str">
        <x:f>IFERROR(VLOOKUP(G22,'01 Staff Master'!$A$6:$M$105,2,FALSE),"")</x:f>
      </x:c>
      <x:c r="I22" s="94" t="str">
        <x:f>IFERROR(VLOOKUP(G22,'01 Staff Master'!$A$6:$M$105,5,FALSE),"")</x:f>
      </x:c>
      <x:c r="J22" s="92"/>
      <x:c r="K22" s="94" t="str">
        <x:f>IFERROR(VLOOKUP(J22,'02 Skill Catalogue'!$A$6:$K$95,4,FALSE),"")</x:f>
      </x:c>
      <x:c r="L22" s="94" t="str">
        <x:f>IF(OR(G22="",J22=""),"",IF(COUNTIFS('04 Assessment Log'!$D$6:$D$155,G22,'04 Assessment Log'!$J$6:$J$155,J22,'04 Assessment Log'!$AA$6:$AA$155,"Yes")=0,"",SUMIFS('04 Assessment Log'!$O$6:$O$155,'04 Assessment Log'!$D$6:$D$155,G22,'04 Assessment Log'!$J$6:$J$155,J22,'04 Assessment Log'!$AA$6:$AA$155,"Yes")))</x:f>
      </x:c>
      <x:c r="M22" s="92"/>
      <x:c r="N22" s="94" t="str">
        <x:f>IF(OR(L22="",M22=""),"",MAX(M22-L22,0))</x:f>
      </x:c>
      <x:c r="O22" s="92"/>
      <x:c r="P22" s="92"/>
      <x:c r="Q22" s="92"/>
      <x:c r="R22" s="92"/>
      <x:c r="S22" s="92"/>
      <x:c r="T22" s="93"/>
      <x:c r="U22" s="93"/>
      <x:c r="V22" s="95"/>
      <x:c r="W22" s="92"/>
      <x:c r="X22" s="92"/>
      <x:c r="Y22" s="92"/>
      <x:c r="Z22" s="92"/>
      <x:c r="AA22" s="93"/>
      <x:c r="AB22" s="95"/>
      <x:c r="AC22" s="92"/>
      <x:c r="AD22" s="92"/>
      <x:c r="AE22" s="94" t="str">
        <x:f>IF(A22="","",IF(Y22="Approved",IF(AD22="","Approved — Schedule","Scheduled / Linked"),IF(Y22="Rejected","Closed — Rejected",IF(Y22="Cancelled","Closed — Cancelled","Pending Approval"))))</x:f>
      </x:c>
      <x:c r="AF22" s="92"/>
    </x:row>
    <x:row r="23">
      <x:c r="A23" s="92"/>
      <x:c r="B23" s="93"/>
      <x:c r="C23" s="92"/>
      <x:c r="D23" s="92"/>
      <x:c r="E23" s="92"/>
      <x:c r="F23" s="92"/>
      <x:c r="G23" s="92"/>
      <x:c r="H23" s="94" t="str">
        <x:f>IFERROR(VLOOKUP(G23,'01 Staff Master'!$A$6:$M$105,2,FALSE),"")</x:f>
      </x:c>
      <x:c r="I23" s="94" t="str">
        <x:f>IFERROR(VLOOKUP(G23,'01 Staff Master'!$A$6:$M$105,5,FALSE),"")</x:f>
      </x:c>
      <x:c r="J23" s="92"/>
      <x:c r="K23" s="94" t="str">
        <x:f>IFERROR(VLOOKUP(J23,'02 Skill Catalogue'!$A$6:$K$95,4,FALSE),"")</x:f>
      </x:c>
      <x:c r="L23" s="94" t="str">
        <x:f>IF(OR(G23="",J23=""),"",IF(COUNTIFS('04 Assessment Log'!$D$6:$D$155,G23,'04 Assessment Log'!$J$6:$J$155,J23,'04 Assessment Log'!$AA$6:$AA$155,"Yes")=0,"",SUMIFS('04 Assessment Log'!$O$6:$O$155,'04 Assessment Log'!$D$6:$D$155,G23,'04 Assessment Log'!$J$6:$J$155,J23,'04 Assessment Log'!$AA$6:$AA$155,"Yes")))</x:f>
      </x:c>
      <x:c r="M23" s="92"/>
      <x:c r="N23" s="94" t="str">
        <x:f>IF(OR(L23="",M23=""),"",MAX(M23-L23,0))</x:f>
      </x:c>
      <x:c r="O23" s="92"/>
      <x:c r="P23" s="92"/>
      <x:c r="Q23" s="92"/>
      <x:c r="R23" s="92"/>
      <x:c r="S23" s="92"/>
      <x:c r="T23" s="93"/>
      <x:c r="U23" s="93"/>
      <x:c r="V23" s="95"/>
      <x:c r="W23" s="92"/>
      <x:c r="X23" s="92"/>
      <x:c r="Y23" s="92"/>
      <x:c r="Z23" s="92"/>
      <x:c r="AA23" s="93"/>
      <x:c r="AB23" s="95"/>
      <x:c r="AC23" s="92"/>
      <x:c r="AD23" s="92"/>
      <x:c r="AE23" s="94" t="str">
        <x:f>IF(A23="","",IF(Y23="Approved",IF(AD23="","Approved — Schedule","Scheduled / Linked"),IF(Y23="Rejected","Closed — Rejected",IF(Y23="Cancelled","Closed — Cancelled","Pending Approval"))))</x:f>
      </x:c>
      <x:c r="AF23" s="92"/>
    </x:row>
    <x:row r="24">
      <x:c r="A24" s="92"/>
      <x:c r="B24" s="93"/>
      <x:c r="C24" s="92"/>
      <x:c r="D24" s="92"/>
      <x:c r="E24" s="92"/>
      <x:c r="F24" s="92"/>
      <x:c r="G24" s="92"/>
      <x:c r="H24" s="94" t="str">
        <x:f>IFERROR(VLOOKUP(G24,'01 Staff Master'!$A$6:$M$105,2,FALSE),"")</x:f>
      </x:c>
      <x:c r="I24" s="94" t="str">
        <x:f>IFERROR(VLOOKUP(G24,'01 Staff Master'!$A$6:$M$105,5,FALSE),"")</x:f>
      </x:c>
      <x:c r="J24" s="92"/>
      <x:c r="K24" s="94" t="str">
        <x:f>IFERROR(VLOOKUP(J24,'02 Skill Catalogue'!$A$6:$K$95,4,FALSE),"")</x:f>
      </x:c>
      <x:c r="L24" s="94" t="str">
        <x:f>IF(OR(G24="",J24=""),"",IF(COUNTIFS('04 Assessment Log'!$D$6:$D$155,G24,'04 Assessment Log'!$J$6:$J$155,J24,'04 Assessment Log'!$AA$6:$AA$155,"Yes")=0,"",SUMIFS('04 Assessment Log'!$O$6:$O$155,'04 Assessment Log'!$D$6:$D$155,G24,'04 Assessment Log'!$J$6:$J$155,J24,'04 Assessment Log'!$AA$6:$AA$155,"Yes")))</x:f>
      </x:c>
      <x:c r="M24" s="92"/>
      <x:c r="N24" s="94" t="str">
        <x:f>IF(OR(L24="",M24=""),"",MAX(M24-L24,0))</x:f>
      </x:c>
      <x:c r="O24" s="92"/>
      <x:c r="P24" s="92"/>
      <x:c r="Q24" s="92"/>
      <x:c r="R24" s="92"/>
      <x:c r="S24" s="92"/>
      <x:c r="T24" s="93"/>
      <x:c r="U24" s="93"/>
      <x:c r="V24" s="95"/>
      <x:c r="W24" s="92"/>
      <x:c r="X24" s="92"/>
      <x:c r="Y24" s="92"/>
      <x:c r="Z24" s="92"/>
      <x:c r="AA24" s="93"/>
      <x:c r="AB24" s="95"/>
      <x:c r="AC24" s="92"/>
      <x:c r="AD24" s="92"/>
      <x:c r="AE24" s="94" t="str">
        <x:f>IF(A24="","",IF(Y24="Approved",IF(AD24="","Approved — Schedule","Scheduled / Linked"),IF(Y24="Rejected","Closed — Rejected",IF(Y24="Cancelled","Closed — Cancelled","Pending Approval"))))</x:f>
      </x:c>
      <x:c r="AF24" s="92"/>
    </x:row>
    <x:row r="25">
      <x:c r="A25" s="92"/>
      <x:c r="B25" s="93"/>
      <x:c r="C25" s="92"/>
      <x:c r="D25" s="92"/>
      <x:c r="E25" s="92"/>
      <x:c r="F25" s="92"/>
      <x:c r="G25" s="92"/>
      <x:c r="H25" s="94" t="str">
        <x:f>IFERROR(VLOOKUP(G25,'01 Staff Master'!$A$6:$M$105,2,FALSE),"")</x:f>
      </x:c>
      <x:c r="I25" s="94" t="str">
        <x:f>IFERROR(VLOOKUP(G25,'01 Staff Master'!$A$6:$M$105,5,FALSE),"")</x:f>
      </x:c>
      <x:c r="J25" s="92"/>
      <x:c r="K25" s="94" t="str">
        <x:f>IFERROR(VLOOKUP(J25,'02 Skill Catalogue'!$A$6:$K$95,4,FALSE),"")</x:f>
      </x:c>
      <x:c r="L25" s="94" t="str">
        <x:f>IF(OR(G25="",J25=""),"",IF(COUNTIFS('04 Assessment Log'!$D$6:$D$155,G25,'04 Assessment Log'!$J$6:$J$155,J25,'04 Assessment Log'!$AA$6:$AA$155,"Yes")=0,"",SUMIFS('04 Assessment Log'!$O$6:$O$155,'04 Assessment Log'!$D$6:$D$155,G25,'04 Assessment Log'!$J$6:$J$155,J25,'04 Assessment Log'!$AA$6:$AA$155,"Yes")))</x:f>
      </x:c>
      <x:c r="M25" s="92"/>
      <x:c r="N25" s="94" t="str">
        <x:f>IF(OR(L25="",M25=""),"",MAX(M25-L25,0))</x:f>
      </x:c>
      <x:c r="O25" s="92"/>
      <x:c r="P25" s="92"/>
      <x:c r="Q25" s="92"/>
      <x:c r="R25" s="92"/>
      <x:c r="S25" s="92"/>
      <x:c r="T25" s="93"/>
      <x:c r="U25" s="93"/>
      <x:c r="V25" s="95"/>
      <x:c r="W25" s="92"/>
      <x:c r="X25" s="92"/>
      <x:c r="Y25" s="92"/>
      <x:c r="Z25" s="92"/>
      <x:c r="AA25" s="93"/>
      <x:c r="AB25" s="95"/>
      <x:c r="AC25" s="92"/>
      <x:c r="AD25" s="92"/>
      <x:c r="AE25" s="94" t="str">
        <x:f>IF(A25="","",IF(Y25="Approved",IF(AD25="","Approved — Schedule","Scheduled / Linked"),IF(Y25="Rejected","Closed — Rejected",IF(Y25="Cancelled","Closed — Cancelled","Pending Approval"))))</x:f>
      </x:c>
      <x:c r="AF25" s="92"/>
    </x:row>
    <x:row r="26">
      <x:c r="A26" s="92"/>
      <x:c r="B26" s="93"/>
      <x:c r="C26" s="92"/>
      <x:c r="D26" s="92"/>
      <x:c r="E26" s="92"/>
      <x:c r="F26" s="92"/>
      <x:c r="G26" s="92"/>
      <x:c r="H26" s="94" t="str">
        <x:f>IFERROR(VLOOKUP(G26,'01 Staff Master'!$A$6:$M$105,2,FALSE),"")</x:f>
      </x:c>
      <x:c r="I26" s="94" t="str">
        <x:f>IFERROR(VLOOKUP(G26,'01 Staff Master'!$A$6:$M$105,5,FALSE),"")</x:f>
      </x:c>
      <x:c r="J26" s="92"/>
      <x:c r="K26" s="94" t="str">
        <x:f>IFERROR(VLOOKUP(J26,'02 Skill Catalogue'!$A$6:$K$95,4,FALSE),"")</x:f>
      </x:c>
      <x:c r="L26" s="94" t="str">
        <x:f>IF(OR(G26="",J26=""),"",IF(COUNTIFS('04 Assessment Log'!$D$6:$D$155,G26,'04 Assessment Log'!$J$6:$J$155,J26,'04 Assessment Log'!$AA$6:$AA$155,"Yes")=0,"",SUMIFS('04 Assessment Log'!$O$6:$O$155,'04 Assessment Log'!$D$6:$D$155,G26,'04 Assessment Log'!$J$6:$J$155,J26,'04 Assessment Log'!$AA$6:$AA$155,"Yes")))</x:f>
      </x:c>
      <x:c r="M26" s="92"/>
      <x:c r="N26" s="94" t="str">
        <x:f>IF(OR(L26="",M26=""),"",MAX(M26-L26,0))</x:f>
      </x:c>
      <x:c r="O26" s="92"/>
      <x:c r="P26" s="92"/>
      <x:c r="Q26" s="92"/>
      <x:c r="R26" s="92"/>
      <x:c r="S26" s="92"/>
      <x:c r="T26" s="93"/>
      <x:c r="U26" s="93"/>
      <x:c r="V26" s="95"/>
      <x:c r="W26" s="92"/>
      <x:c r="X26" s="92"/>
      <x:c r="Y26" s="92"/>
      <x:c r="Z26" s="92"/>
      <x:c r="AA26" s="93"/>
      <x:c r="AB26" s="95"/>
      <x:c r="AC26" s="92"/>
      <x:c r="AD26" s="92"/>
      <x:c r="AE26" s="94" t="str">
        <x:f>IF(A26="","",IF(Y26="Approved",IF(AD26="","Approved — Schedule","Scheduled / Linked"),IF(Y26="Rejected","Closed — Rejected",IF(Y26="Cancelled","Closed — Cancelled","Pending Approval"))))</x:f>
      </x:c>
      <x:c r="AF26" s="92"/>
    </x:row>
    <x:row r="27">
      <x:c r="A27" s="92"/>
      <x:c r="B27" s="93"/>
      <x:c r="C27" s="92"/>
      <x:c r="D27" s="92"/>
      <x:c r="E27" s="92"/>
      <x:c r="F27" s="92"/>
      <x:c r="G27" s="92"/>
      <x:c r="H27" s="94" t="str">
        <x:f>IFERROR(VLOOKUP(G27,'01 Staff Master'!$A$6:$M$105,2,FALSE),"")</x:f>
      </x:c>
      <x:c r="I27" s="94" t="str">
        <x:f>IFERROR(VLOOKUP(G27,'01 Staff Master'!$A$6:$M$105,5,FALSE),"")</x:f>
      </x:c>
      <x:c r="J27" s="92"/>
      <x:c r="K27" s="94" t="str">
        <x:f>IFERROR(VLOOKUP(J27,'02 Skill Catalogue'!$A$6:$K$95,4,FALSE),"")</x:f>
      </x:c>
      <x:c r="L27" s="94" t="str">
        <x:f>IF(OR(G27="",J27=""),"",IF(COUNTIFS('04 Assessment Log'!$D$6:$D$155,G27,'04 Assessment Log'!$J$6:$J$155,J27,'04 Assessment Log'!$AA$6:$AA$155,"Yes")=0,"",SUMIFS('04 Assessment Log'!$O$6:$O$155,'04 Assessment Log'!$D$6:$D$155,G27,'04 Assessment Log'!$J$6:$J$155,J27,'04 Assessment Log'!$AA$6:$AA$155,"Yes")))</x:f>
      </x:c>
      <x:c r="M27" s="92"/>
      <x:c r="N27" s="94" t="str">
        <x:f>IF(OR(L27="",M27=""),"",MAX(M27-L27,0))</x:f>
      </x:c>
      <x:c r="O27" s="92"/>
      <x:c r="P27" s="92"/>
      <x:c r="Q27" s="92"/>
      <x:c r="R27" s="92"/>
      <x:c r="S27" s="92"/>
      <x:c r="T27" s="93"/>
      <x:c r="U27" s="93"/>
      <x:c r="V27" s="95"/>
      <x:c r="W27" s="92"/>
      <x:c r="X27" s="92"/>
      <x:c r="Y27" s="92"/>
      <x:c r="Z27" s="92"/>
      <x:c r="AA27" s="93"/>
      <x:c r="AB27" s="95"/>
      <x:c r="AC27" s="92"/>
      <x:c r="AD27" s="92"/>
      <x:c r="AE27" s="94" t="str">
        <x:f>IF(A27="","",IF(Y27="Approved",IF(AD27="","Approved — Schedule","Scheduled / Linked"),IF(Y27="Rejected","Closed — Rejected",IF(Y27="Cancelled","Closed — Cancelled","Pending Approval"))))</x:f>
      </x:c>
      <x:c r="AF27" s="92"/>
    </x:row>
    <x:row r="28">
      <x:c r="A28" s="92"/>
      <x:c r="B28" s="93"/>
      <x:c r="C28" s="92"/>
      <x:c r="D28" s="92"/>
      <x:c r="E28" s="92"/>
      <x:c r="F28" s="92"/>
      <x:c r="G28" s="92"/>
      <x:c r="H28" s="94" t="str">
        <x:f>IFERROR(VLOOKUP(G28,'01 Staff Master'!$A$6:$M$105,2,FALSE),"")</x:f>
      </x:c>
      <x:c r="I28" s="94" t="str">
        <x:f>IFERROR(VLOOKUP(G28,'01 Staff Master'!$A$6:$M$105,5,FALSE),"")</x:f>
      </x:c>
      <x:c r="J28" s="92"/>
      <x:c r="K28" s="94" t="str">
        <x:f>IFERROR(VLOOKUP(J28,'02 Skill Catalogue'!$A$6:$K$95,4,FALSE),"")</x:f>
      </x:c>
      <x:c r="L28" s="94" t="str">
        <x:f>IF(OR(G28="",J28=""),"",IF(COUNTIFS('04 Assessment Log'!$D$6:$D$155,G28,'04 Assessment Log'!$J$6:$J$155,J28,'04 Assessment Log'!$AA$6:$AA$155,"Yes")=0,"",SUMIFS('04 Assessment Log'!$O$6:$O$155,'04 Assessment Log'!$D$6:$D$155,G28,'04 Assessment Log'!$J$6:$J$155,J28,'04 Assessment Log'!$AA$6:$AA$155,"Yes")))</x:f>
      </x:c>
      <x:c r="M28" s="92"/>
      <x:c r="N28" s="94" t="str">
        <x:f>IF(OR(L28="",M28=""),"",MAX(M28-L28,0))</x:f>
      </x:c>
      <x:c r="O28" s="92"/>
      <x:c r="P28" s="92"/>
      <x:c r="Q28" s="92"/>
      <x:c r="R28" s="92"/>
      <x:c r="S28" s="92"/>
      <x:c r="T28" s="93"/>
      <x:c r="U28" s="93"/>
      <x:c r="V28" s="95"/>
      <x:c r="W28" s="92"/>
      <x:c r="X28" s="92"/>
      <x:c r="Y28" s="92"/>
      <x:c r="Z28" s="92"/>
      <x:c r="AA28" s="93"/>
      <x:c r="AB28" s="95"/>
      <x:c r="AC28" s="92"/>
      <x:c r="AD28" s="92"/>
      <x:c r="AE28" s="94" t="str">
        <x:f>IF(A28="","",IF(Y28="Approved",IF(AD28="","Approved — Schedule","Scheduled / Linked"),IF(Y28="Rejected","Closed — Rejected",IF(Y28="Cancelled","Closed — Cancelled","Pending Approval"))))</x:f>
      </x:c>
      <x:c r="AF28" s="92"/>
    </x:row>
    <x:row r="29">
      <x:c r="A29" s="92"/>
      <x:c r="B29" s="93"/>
      <x:c r="C29" s="92"/>
      <x:c r="D29" s="92"/>
      <x:c r="E29" s="92"/>
      <x:c r="F29" s="92"/>
      <x:c r="G29" s="92"/>
      <x:c r="H29" s="94" t="str">
        <x:f>IFERROR(VLOOKUP(G29,'01 Staff Master'!$A$6:$M$105,2,FALSE),"")</x:f>
      </x:c>
      <x:c r="I29" s="94" t="str">
        <x:f>IFERROR(VLOOKUP(G29,'01 Staff Master'!$A$6:$M$105,5,FALSE),"")</x:f>
      </x:c>
      <x:c r="J29" s="92"/>
      <x:c r="K29" s="94" t="str">
        <x:f>IFERROR(VLOOKUP(J29,'02 Skill Catalogue'!$A$6:$K$95,4,FALSE),"")</x:f>
      </x:c>
      <x:c r="L29" s="94" t="str">
        <x:f>IF(OR(G29="",J29=""),"",IF(COUNTIFS('04 Assessment Log'!$D$6:$D$155,G29,'04 Assessment Log'!$J$6:$J$155,J29,'04 Assessment Log'!$AA$6:$AA$155,"Yes")=0,"",SUMIFS('04 Assessment Log'!$O$6:$O$155,'04 Assessment Log'!$D$6:$D$155,G29,'04 Assessment Log'!$J$6:$J$155,J29,'04 Assessment Log'!$AA$6:$AA$155,"Yes")))</x:f>
      </x:c>
      <x:c r="M29" s="92"/>
      <x:c r="N29" s="94" t="str">
        <x:f>IF(OR(L29="",M29=""),"",MAX(M29-L29,0))</x:f>
      </x:c>
      <x:c r="O29" s="92"/>
      <x:c r="P29" s="92"/>
      <x:c r="Q29" s="92"/>
      <x:c r="R29" s="92"/>
      <x:c r="S29" s="92"/>
      <x:c r="T29" s="93"/>
      <x:c r="U29" s="93"/>
      <x:c r="V29" s="95"/>
      <x:c r="W29" s="92"/>
      <x:c r="X29" s="92"/>
      <x:c r="Y29" s="92"/>
      <x:c r="Z29" s="92"/>
      <x:c r="AA29" s="93"/>
      <x:c r="AB29" s="95"/>
      <x:c r="AC29" s="92"/>
      <x:c r="AD29" s="92"/>
      <x:c r="AE29" s="94" t="str">
        <x:f>IF(A29="","",IF(Y29="Approved",IF(AD29="","Approved — Schedule","Scheduled / Linked"),IF(Y29="Rejected","Closed — Rejected",IF(Y29="Cancelled","Closed — Cancelled","Pending Approval"))))</x:f>
      </x:c>
      <x:c r="AF29" s="92"/>
    </x:row>
    <x:row r="30">
      <x:c r="A30" s="92"/>
      <x:c r="B30" s="93"/>
      <x:c r="C30" s="92"/>
      <x:c r="D30" s="92"/>
      <x:c r="E30" s="92"/>
      <x:c r="F30" s="92"/>
      <x:c r="G30" s="92"/>
      <x:c r="H30" s="94" t="str">
        <x:f>IFERROR(VLOOKUP(G30,'01 Staff Master'!$A$6:$M$105,2,FALSE),"")</x:f>
      </x:c>
      <x:c r="I30" s="94" t="str">
        <x:f>IFERROR(VLOOKUP(G30,'01 Staff Master'!$A$6:$M$105,5,FALSE),"")</x:f>
      </x:c>
      <x:c r="J30" s="92"/>
      <x:c r="K30" s="94" t="str">
        <x:f>IFERROR(VLOOKUP(J30,'02 Skill Catalogue'!$A$6:$K$95,4,FALSE),"")</x:f>
      </x:c>
      <x:c r="L30" s="94" t="str">
        <x:f>IF(OR(G30="",J30=""),"",IF(COUNTIFS('04 Assessment Log'!$D$6:$D$155,G30,'04 Assessment Log'!$J$6:$J$155,J30,'04 Assessment Log'!$AA$6:$AA$155,"Yes")=0,"",SUMIFS('04 Assessment Log'!$O$6:$O$155,'04 Assessment Log'!$D$6:$D$155,G30,'04 Assessment Log'!$J$6:$J$155,J30,'04 Assessment Log'!$AA$6:$AA$155,"Yes")))</x:f>
      </x:c>
      <x:c r="M30" s="92"/>
      <x:c r="N30" s="94" t="str">
        <x:f>IF(OR(L30="",M30=""),"",MAX(M30-L30,0))</x:f>
      </x:c>
      <x:c r="O30" s="92"/>
      <x:c r="P30" s="92"/>
      <x:c r="Q30" s="92"/>
      <x:c r="R30" s="92"/>
      <x:c r="S30" s="92"/>
      <x:c r="T30" s="93"/>
      <x:c r="U30" s="93"/>
      <x:c r="V30" s="95"/>
      <x:c r="W30" s="92"/>
      <x:c r="X30" s="92"/>
      <x:c r="Y30" s="92"/>
      <x:c r="Z30" s="92"/>
      <x:c r="AA30" s="93"/>
      <x:c r="AB30" s="95"/>
      <x:c r="AC30" s="92"/>
      <x:c r="AD30" s="92"/>
      <x:c r="AE30" s="94" t="str">
        <x:f>IF(A30="","",IF(Y30="Approved",IF(AD30="","Approved — Schedule","Scheduled / Linked"),IF(Y30="Rejected","Closed — Rejected",IF(Y30="Cancelled","Closed — Cancelled","Pending Approval"))))</x:f>
      </x:c>
      <x:c r="AF30" s="92"/>
    </x:row>
    <x:row r="31">
      <x:c r="A31" s="92"/>
      <x:c r="B31" s="93"/>
      <x:c r="C31" s="92"/>
      <x:c r="D31" s="92"/>
      <x:c r="E31" s="92"/>
      <x:c r="F31" s="92"/>
      <x:c r="G31" s="92"/>
      <x:c r="H31" s="94" t="str">
        <x:f>IFERROR(VLOOKUP(G31,'01 Staff Master'!$A$6:$M$105,2,FALSE),"")</x:f>
      </x:c>
      <x:c r="I31" s="94" t="str">
        <x:f>IFERROR(VLOOKUP(G31,'01 Staff Master'!$A$6:$M$105,5,FALSE),"")</x:f>
      </x:c>
      <x:c r="J31" s="92"/>
      <x:c r="K31" s="94" t="str">
        <x:f>IFERROR(VLOOKUP(J31,'02 Skill Catalogue'!$A$6:$K$95,4,FALSE),"")</x:f>
      </x:c>
      <x:c r="L31" s="94" t="str">
        <x:f>IF(OR(G31="",J31=""),"",IF(COUNTIFS('04 Assessment Log'!$D$6:$D$155,G31,'04 Assessment Log'!$J$6:$J$155,J31,'04 Assessment Log'!$AA$6:$AA$155,"Yes")=0,"",SUMIFS('04 Assessment Log'!$O$6:$O$155,'04 Assessment Log'!$D$6:$D$155,G31,'04 Assessment Log'!$J$6:$J$155,J31,'04 Assessment Log'!$AA$6:$AA$155,"Yes")))</x:f>
      </x:c>
      <x:c r="M31" s="92"/>
      <x:c r="N31" s="94" t="str">
        <x:f>IF(OR(L31="",M31=""),"",MAX(M31-L31,0))</x:f>
      </x:c>
      <x:c r="O31" s="92"/>
      <x:c r="P31" s="92"/>
      <x:c r="Q31" s="92"/>
      <x:c r="R31" s="92"/>
      <x:c r="S31" s="92"/>
      <x:c r="T31" s="93"/>
      <x:c r="U31" s="93"/>
      <x:c r="V31" s="95"/>
      <x:c r="W31" s="92"/>
      <x:c r="X31" s="92"/>
      <x:c r="Y31" s="92"/>
      <x:c r="Z31" s="92"/>
      <x:c r="AA31" s="93"/>
      <x:c r="AB31" s="95"/>
      <x:c r="AC31" s="92"/>
      <x:c r="AD31" s="92"/>
      <x:c r="AE31" s="94" t="str">
        <x:f>IF(A31="","",IF(Y31="Approved",IF(AD31="","Approved — Schedule","Scheduled / Linked"),IF(Y31="Rejected","Closed — Rejected",IF(Y31="Cancelled","Closed — Cancelled","Pending Approval"))))</x:f>
      </x:c>
      <x:c r="AF31" s="92"/>
    </x:row>
    <x:row r="32">
      <x:c r="A32" s="92"/>
      <x:c r="B32" s="93"/>
      <x:c r="C32" s="92"/>
      <x:c r="D32" s="92"/>
      <x:c r="E32" s="92"/>
      <x:c r="F32" s="92"/>
      <x:c r="G32" s="92"/>
      <x:c r="H32" s="94" t="str">
        <x:f>IFERROR(VLOOKUP(G32,'01 Staff Master'!$A$6:$M$105,2,FALSE),"")</x:f>
      </x:c>
      <x:c r="I32" s="94" t="str">
        <x:f>IFERROR(VLOOKUP(G32,'01 Staff Master'!$A$6:$M$105,5,FALSE),"")</x:f>
      </x:c>
      <x:c r="J32" s="92"/>
      <x:c r="K32" s="94" t="str">
        <x:f>IFERROR(VLOOKUP(J32,'02 Skill Catalogue'!$A$6:$K$95,4,FALSE),"")</x:f>
      </x:c>
      <x:c r="L32" s="94" t="str">
        <x:f>IF(OR(G32="",J32=""),"",IF(COUNTIFS('04 Assessment Log'!$D$6:$D$155,G32,'04 Assessment Log'!$J$6:$J$155,J32,'04 Assessment Log'!$AA$6:$AA$155,"Yes")=0,"",SUMIFS('04 Assessment Log'!$O$6:$O$155,'04 Assessment Log'!$D$6:$D$155,G32,'04 Assessment Log'!$J$6:$J$155,J32,'04 Assessment Log'!$AA$6:$AA$155,"Yes")))</x:f>
      </x:c>
      <x:c r="M32" s="92"/>
      <x:c r="N32" s="94" t="str">
        <x:f>IF(OR(L32="",M32=""),"",MAX(M32-L32,0))</x:f>
      </x:c>
      <x:c r="O32" s="92"/>
      <x:c r="P32" s="92"/>
      <x:c r="Q32" s="92"/>
      <x:c r="R32" s="92"/>
      <x:c r="S32" s="92"/>
      <x:c r="T32" s="93"/>
      <x:c r="U32" s="93"/>
      <x:c r="V32" s="95"/>
      <x:c r="W32" s="92"/>
      <x:c r="X32" s="92"/>
      <x:c r="Y32" s="92"/>
      <x:c r="Z32" s="92"/>
      <x:c r="AA32" s="93"/>
      <x:c r="AB32" s="95"/>
      <x:c r="AC32" s="92"/>
      <x:c r="AD32" s="92"/>
      <x:c r="AE32" s="94" t="str">
        <x:f>IF(A32="","",IF(Y32="Approved",IF(AD32="","Approved — Schedule","Scheduled / Linked"),IF(Y32="Rejected","Closed — Rejected",IF(Y32="Cancelled","Closed — Cancelled","Pending Approval"))))</x:f>
      </x:c>
      <x:c r="AF32" s="92"/>
    </x:row>
    <x:row r="33">
      <x:c r="A33" s="92"/>
      <x:c r="B33" s="93"/>
      <x:c r="C33" s="92"/>
      <x:c r="D33" s="92"/>
      <x:c r="E33" s="92"/>
      <x:c r="F33" s="92"/>
      <x:c r="G33" s="92"/>
      <x:c r="H33" s="94" t="str">
        <x:f>IFERROR(VLOOKUP(G33,'01 Staff Master'!$A$6:$M$105,2,FALSE),"")</x:f>
      </x:c>
      <x:c r="I33" s="94" t="str">
        <x:f>IFERROR(VLOOKUP(G33,'01 Staff Master'!$A$6:$M$105,5,FALSE),"")</x:f>
      </x:c>
      <x:c r="J33" s="92"/>
      <x:c r="K33" s="94" t="str">
        <x:f>IFERROR(VLOOKUP(J33,'02 Skill Catalogue'!$A$6:$K$95,4,FALSE),"")</x:f>
      </x:c>
      <x:c r="L33" s="94" t="str">
        <x:f>IF(OR(G33="",J33=""),"",IF(COUNTIFS('04 Assessment Log'!$D$6:$D$155,G33,'04 Assessment Log'!$J$6:$J$155,J33,'04 Assessment Log'!$AA$6:$AA$155,"Yes")=0,"",SUMIFS('04 Assessment Log'!$O$6:$O$155,'04 Assessment Log'!$D$6:$D$155,G33,'04 Assessment Log'!$J$6:$J$155,J33,'04 Assessment Log'!$AA$6:$AA$155,"Yes")))</x:f>
      </x:c>
      <x:c r="M33" s="92"/>
      <x:c r="N33" s="94" t="str">
        <x:f>IF(OR(L33="",M33=""),"",MAX(M33-L33,0))</x:f>
      </x:c>
      <x:c r="O33" s="92"/>
      <x:c r="P33" s="92"/>
      <x:c r="Q33" s="92"/>
      <x:c r="R33" s="92"/>
      <x:c r="S33" s="92"/>
      <x:c r="T33" s="93"/>
      <x:c r="U33" s="93"/>
      <x:c r="V33" s="95"/>
      <x:c r="W33" s="92"/>
      <x:c r="X33" s="92"/>
      <x:c r="Y33" s="92"/>
      <x:c r="Z33" s="92"/>
      <x:c r="AA33" s="93"/>
      <x:c r="AB33" s="95"/>
      <x:c r="AC33" s="92"/>
      <x:c r="AD33" s="92"/>
      <x:c r="AE33" s="94" t="str">
        <x:f>IF(A33="","",IF(Y33="Approved",IF(AD33="","Approved — Schedule","Scheduled / Linked"),IF(Y33="Rejected","Closed — Rejected",IF(Y33="Cancelled","Closed — Cancelled","Pending Approval"))))</x:f>
      </x:c>
      <x:c r="AF33" s="92"/>
    </x:row>
    <x:row r="34">
      <x:c r="A34" s="92"/>
      <x:c r="B34" s="93"/>
      <x:c r="C34" s="92"/>
      <x:c r="D34" s="92"/>
      <x:c r="E34" s="92"/>
      <x:c r="F34" s="92"/>
      <x:c r="G34" s="92"/>
      <x:c r="H34" s="94" t="str">
        <x:f>IFERROR(VLOOKUP(G34,'01 Staff Master'!$A$6:$M$105,2,FALSE),"")</x:f>
      </x:c>
      <x:c r="I34" s="94" t="str">
        <x:f>IFERROR(VLOOKUP(G34,'01 Staff Master'!$A$6:$M$105,5,FALSE),"")</x:f>
      </x:c>
      <x:c r="J34" s="92"/>
      <x:c r="K34" s="94" t="str">
        <x:f>IFERROR(VLOOKUP(J34,'02 Skill Catalogue'!$A$6:$K$95,4,FALSE),"")</x:f>
      </x:c>
      <x:c r="L34" s="94" t="str">
        <x:f>IF(OR(G34="",J34=""),"",IF(COUNTIFS('04 Assessment Log'!$D$6:$D$155,G34,'04 Assessment Log'!$J$6:$J$155,J34,'04 Assessment Log'!$AA$6:$AA$155,"Yes")=0,"",SUMIFS('04 Assessment Log'!$O$6:$O$155,'04 Assessment Log'!$D$6:$D$155,G34,'04 Assessment Log'!$J$6:$J$155,J34,'04 Assessment Log'!$AA$6:$AA$155,"Yes")))</x:f>
      </x:c>
      <x:c r="M34" s="92"/>
      <x:c r="N34" s="94" t="str">
        <x:f>IF(OR(L34="",M34=""),"",MAX(M34-L34,0))</x:f>
      </x:c>
      <x:c r="O34" s="92"/>
      <x:c r="P34" s="92"/>
      <x:c r="Q34" s="92"/>
      <x:c r="R34" s="92"/>
      <x:c r="S34" s="92"/>
      <x:c r="T34" s="93"/>
      <x:c r="U34" s="93"/>
      <x:c r="V34" s="95"/>
      <x:c r="W34" s="92"/>
      <x:c r="X34" s="92"/>
      <x:c r="Y34" s="92"/>
      <x:c r="Z34" s="92"/>
      <x:c r="AA34" s="93"/>
      <x:c r="AB34" s="95"/>
      <x:c r="AC34" s="92"/>
      <x:c r="AD34" s="92"/>
      <x:c r="AE34" s="94" t="str">
        <x:f>IF(A34="","",IF(Y34="Approved",IF(AD34="","Approved — Schedule","Scheduled / Linked"),IF(Y34="Rejected","Closed — Rejected",IF(Y34="Cancelled","Closed — Cancelled","Pending Approval"))))</x:f>
      </x:c>
      <x:c r="AF34" s="92"/>
    </x:row>
    <x:row r="35">
      <x:c r="A35" s="92"/>
      <x:c r="B35" s="93"/>
      <x:c r="C35" s="92"/>
      <x:c r="D35" s="92"/>
      <x:c r="E35" s="92"/>
      <x:c r="F35" s="92"/>
      <x:c r="G35" s="92"/>
      <x:c r="H35" s="94" t="str">
        <x:f>IFERROR(VLOOKUP(G35,'01 Staff Master'!$A$6:$M$105,2,FALSE),"")</x:f>
      </x:c>
      <x:c r="I35" s="94" t="str">
        <x:f>IFERROR(VLOOKUP(G35,'01 Staff Master'!$A$6:$M$105,5,FALSE),"")</x:f>
      </x:c>
      <x:c r="J35" s="92"/>
      <x:c r="K35" s="94" t="str">
        <x:f>IFERROR(VLOOKUP(J35,'02 Skill Catalogue'!$A$6:$K$95,4,FALSE),"")</x:f>
      </x:c>
      <x:c r="L35" s="94" t="str">
        <x:f>IF(OR(G35="",J35=""),"",IF(COUNTIFS('04 Assessment Log'!$D$6:$D$155,G35,'04 Assessment Log'!$J$6:$J$155,J35,'04 Assessment Log'!$AA$6:$AA$155,"Yes")=0,"",SUMIFS('04 Assessment Log'!$O$6:$O$155,'04 Assessment Log'!$D$6:$D$155,G35,'04 Assessment Log'!$J$6:$J$155,J35,'04 Assessment Log'!$AA$6:$AA$155,"Yes")))</x:f>
      </x:c>
      <x:c r="M35" s="92"/>
      <x:c r="N35" s="94" t="str">
        <x:f>IF(OR(L35="",M35=""),"",MAX(M35-L35,0))</x:f>
      </x:c>
      <x:c r="O35" s="92"/>
      <x:c r="P35" s="92"/>
      <x:c r="Q35" s="92"/>
      <x:c r="R35" s="92"/>
      <x:c r="S35" s="92"/>
      <x:c r="T35" s="93"/>
      <x:c r="U35" s="93"/>
      <x:c r="V35" s="95"/>
      <x:c r="W35" s="92"/>
      <x:c r="X35" s="92"/>
      <x:c r="Y35" s="92"/>
      <x:c r="Z35" s="92"/>
      <x:c r="AA35" s="93"/>
      <x:c r="AB35" s="95"/>
      <x:c r="AC35" s="92"/>
      <x:c r="AD35" s="92"/>
      <x:c r="AE35" s="94" t="str">
        <x:f>IF(A35="","",IF(Y35="Approved",IF(AD35="","Approved — Schedule","Scheduled / Linked"),IF(Y35="Rejected","Closed — Rejected",IF(Y35="Cancelled","Closed — Cancelled","Pending Approval"))))</x:f>
      </x:c>
      <x:c r="AF35" s="92"/>
    </x:row>
    <x:row r="36">
      <x:c r="A36" s="92"/>
      <x:c r="B36" s="93"/>
      <x:c r="C36" s="92"/>
      <x:c r="D36" s="92"/>
      <x:c r="E36" s="92"/>
      <x:c r="F36" s="92"/>
      <x:c r="G36" s="92"/>
      <x:c r="H36" s="94" t="str">
        <x:f>IFERROR(VLOOKUP(G36,'01 Staff Master'!$A$6:$M$105,2,FALSE),"")</x:f>
      </x:c>
      <x:c r="I36" s="94" t="str">
        <x:f>IFERROR(VLOOKUP(G36,'01 Staff Master'!$A$6:$M$105,5,FALSE),"")</x:f>
      </x:c>
      <x:c r="J36" s="92"/>
      <x:c r="K36" s="94" t="str">
        <x:f>IFERROR(VLOOKUP(J36,'02 Skill Catalogue'!$A$6:$K$95,4,FALSE),"")</x:f>
      </x:c>
      <x:c r="L36" s="94" t="str">
        <x:f>IF(OR(G36="",J36=""),"",IF(COUNTIFS('04 Assessment Log'!$D$6:$D$155,G36,'04 Assessment Log'!$J$6:$J$155,J36,'04 Assessment Log'!$AA$6:$AA$155,"Yes")=0,"",SUMIFS('04 Assessment Log'!$O$6:$O$155,'04 Assessment Log'!$D$6:$D$155,G36,'04 Assessment Log'!$J$6:$J$155,J36,'04 Assessment Log'!$AA$6:$AA$155,"Yes")))</x:f>
      </x:c>
      <x:c r="M36" s="92"/>
      <x:c r="N36" s="94" t="str">
        <x:f>IF(OR(L36="",M36=""),"",MAX(M36-L36,0))</x:f>
      </x:c>
      <x:c r="O36" s="92"/>
      <x:c r="P36" s="92"/>
      <x:c r="Q36" s="92"/>
      <x:c r="R36" s="92"/>
      <x:c r="S36" s="92"/>
      <x:c r="T36" s="93"/>
      <x:c r="U36" s="93"/>
      <x:c r="V36" s="95"/>
      <x:c r="W36" s="92"/>
      <x:c r="X36" s="92"/>
      <x:c r="Y36" s="92"/>
      <x:c r="Z36" s="92"/>
      <x:c r="AA36" s="93"/>
      <x:c r="AB36" s="95"/>
      <x:c r="AC36" s="92"/>
      <x:c r="AD36" s="92"/>
      <x:c r="AE36" s="94" t="str">
        <x:f>IF(A36="","",IF(Y36="Approved",IF(AD36="","Approved — Schedule","Scheduled / Linked"),IF(Y36="Rejected","Closed — Rejected",IF(Y36="Cancelled","Closed — Cancelled","Pending Approval"))))</x:f>
      </x:c>
      <x:c r="AF36" s="92"/>
    </x:row>
    <x:row r="37">
      <x:c r="A37" s="92"/>
      <x:c r="B37" s="93"/>
      <x:c r="C37" s="92"/>
      <x:c r="D37" s="92"/>
      <x:c r="E37" s="92"/>
      <x:c r="F37" s="92"/>
      <x:c r="G37" s="92"/>
      <x:c r="H37" s="94" t="str">
        <x:f>IFERROR(VLOOKUP(G37,'01 Staff Master'!$A$6:$M$105,2,FALSE),"")</x:f>
      </x:c>
      <x:c r="I37" s="94" t="str">
        <x:f>IFERROR(VLOOKUP(G37,'01 Staff Master'!$A$6:$M$105,5,FALSE),"")</x:f>
      </x:c>
      <x:c r="J37" s="92"/>
      <x:c r="K37" s="94" t="str">
        <x:f>IFERROR(VLOOKUP(J37,'02 Skill Catalogue'!$A$6:$K$95,4,FALSE),"")</x:f>
      </x:c>
      <x:c r="L37" s="94" t="str">
        <x:f>IF(OR(G37="",J37=""),"",IF(COUNTIFS('04 Assessment Log'!$D$6:$D$155,G37,'04 Assessment Log'!$J$6:$J$155,J37,'04 Assessment Log'!$AA$6:$AA$155,"Yes")=0,"",SUMIFS('04 Assessment Log'!$O$6:$O$155,'04 Assessment Log'!$D$6:$D$155,G37,'04 Assessment Log'!$J$6:$J$155,J37,'04 Assessment Log'!$AA$6:$AA$155,"Yes")))</x:f>
      </x:c>
      <x:c r="M37" s="92"/>
      <x:c r="N37" s="94" t="str">
        <x:f>IF(OR(L37="",M37=""),"",MAX(M37-L37,0))</x:f>
      </x:c>
      <x:c r="O37" s="92"/>
      <x:c r="P37" s="92"/>
      <x:c r="Q37" s="92"/>
      <x:c r="R37" s="92"/>
      <x:c r="S37" s="92"/>
      <x:c r="T37" s="93"/>
      <x:c r="U37" s="93"/>
      <x:c r="V37" s="95"/>
      <x:c r="W37" s="92"/>
      <x:c r="X37" s="92"/>
      <x:c r="Y37" s="92"/>
      <x:c r="Z37" s="92"/>
      <x:c r="AA37" s="93"/>
      <x:c r="AB37" s="95"/>
      <x:c r="AC37" s="92"/>
      <x:c r="AD37" s="92"/>
      <x:c r="AE37" s="94" t="str">
        <x:f>IF(A37="","",IF(Y37="Approved",IF(AD37="","Approved — Schedule","Scheduled / Linked"),IF(Y37="Rejected","Closed — Rejected",IF(Y37="Cancelled","Closed — Cancelled","Pending Approval"))))</x:f>
      </x:c>
      <x:c r="AF37" s="92"/>
    </x:row>
    <x:row r="38">
      <x:c r="A38" s="92"/>
      <x:c r="B38" s="93"/>
      <x:c r="C38" s="92"/>
      <x:c r="D38" s="92"/>
      <x:c r="E38" s="92"/>
      <x:c r="F38" s="92"/>
      <x:c r="G38" s="92"/>
      <x:c r="H38" s="94" t="str">
        <x:f>IFERROR(VLOOKUP(G38,'01 Staff Master'!$A$6:$M$105,2,FALSE),"")</x:f>
      </x:c>
      <x:c r="I38" s="94" t="str">
        <x:f>IFERROR(VLOOKUP(G38,'01 Staff Master'!$A$6:$M$105,5,FALSE),"")</x:f>
      </x:c>
      <x:c r="J38" s="92"/>
      <x:c r="K38" s="94" t="str">
        <x:f>IFERROR(VLOOKUP(J38,'02 Skill Catalogue'!$A$6:$K$95,4,FALSE),"")</x:f>
      </x:c>
      <x:c r="L38" s="94" t="str">
        <x:f>IF(OR(G38="",J38=""),"",IF(COUNTIFS('04 Assessment Log'!$D$6:$D$155,G38,'04 Assessment Log'!$J$6:$J$155,J38,'04 Assessment Log'!$AA$6:$AA$155,"Yes")=0,"",SUMIFS('04 Assessment Log'!$O$6:$O$155,'04 Assessment Log'!$D$6:$D$155,G38,'04 Assessment Log'!$J$6:$J$155,J38,'04 Assessment Log'!$AA$6:$AA$155,"Yes")))</x:f>
      </x:c>
      <x:c r="M38" s="92"/>
      <x:c r="N38" s="94" t="str">
        <x:f>IF(OR(L38="",M38=""),"",MAX(M38-L38,0))</x:f>
      </x:c>
      <x:c r="O38" s="92"/>
      <x:c r="P38" s="92"/>
      <x:c r="Q38" s="92"/>
      <x:c r="R38" s="92"/>
      <x:c r="S38" s="92"/>
      <x:c r="T38" s="93"/>
      <x:c r="U38" s="93"/>
      <x:c r="V38" s="95"/>
      <x:c r="W38" s="92"/>
      <x:c r="X38" s="92"/>
      <x:c r="Y38" s="92"/>
      <x:c r="Z38" s="92"/>
      <x:c r="AA38" s="93"/>
      <x:c r="AB38" s="95"/>
      <x:c r="AC38" s="92"/>
      <x:c r="AD38" s="92"/>
      <x:c r="AE38" s="94" t="str">
        <x:f>IF(A38="","",IF(Y38="Approved",IF(AD38="","Approved — Schedule","Scheduled / Linked"),IF(Y38="Rejected","Closed — Rejected",IF(Y38="Cancelled","Closed — Cancelled","Pending Approval"))))</x:f>
      </x:c>
      <x:c r="AF38" s="92"/>
    </x:row>
    <x:row r="39">
      <x:c r="A39" s="92"/>
      <x:c r="B39" s="93"/>
      <x:c r="C39" s="92"/>
      <x:c r="D39" s="92"/>
      <x:c r="E39" s="92"/>
      <x:c r="F39" s="92"/>
      <x:c r="G39" s="92"/>
      <x:c r="H39" s="94" t="str">
        <x:f>IFERROR(VLOOKUP(G39,'01 Staff Master'!$A$6:$M$105,2,FALSE),"")</x:f>
      </x:c>
      <x:c r="I39" s="94" t="str">
        <x:f>IFERROR(VLOOKUP(G39,'01 Staff Master'!$A$6:$M$105,5,FALSE),"")</x:f>
      </x:c>
      <x:c r="J39" s="92"/>
      <x:c r="K39" s="94" t="str">
        <x:f>IFERROR(VLOOKUP(J39,'02 Skill Catalogue'!$A$6:$K$95,4,FALSE),"")</x:f>
      </x:c>
      <x:c r="L39" s="94" t="str">
        <x:f>IF(OR(G39="",J39=""),"",IF(COUNTIFS('04 Assessment Log'!$D$6:$D$155,G39,'04 Assessment Log'!$J$6:$J$155,J39,'04 Assessment Log'!$AA$6:$AA$155,"Yes")=0,"",SUMIFS('04 Assessment Log'!$O$6:$O$155,'04 Assessment Log'!$D$6:$D$155,G39,'04 Assessment Log'!$J$6:$J$155,J39,'04 Assessment Log'!$AA$6:$AA$155,"Yes")))</x:f>
      </x:c>
      <x:c r="M39" s="92"/>
      <x:c r="N39" s="94" t="str">
        <x:f>IF(OR(L39="",M39=""),"",MAX(M39-L39,0))</x:f>
      </x:c>
      <x:c r="O39" s="92"/>
      <x:c r="P39" s="92"/>
      <x:c r="Q39" s="92"/>
      <x:c r="R39" s="92"/>
      <x:c r="S39" s="92"/>
      <x:c r="T39" s="93"/>
      <x:c r="U39" s="93"/>
      <x:c r="V39" s="95"/>
      <x:c r="W39" s="92"/>
      <x:c r="X39" s="92"/>
      <x:c r="Y39" s="92"/>
      <x:c r="Z39" s="92"/>
      <x:c r="AA39" s="93"/>
      <x:c r="AB39" s="95"/>
      <x:c r="AC39" s="92"/>
      <x:c r="AD39" s="92"/>
      <x:c r="AE39" s="94" t="str">
        <x:f>IF(A39="","",IF(Y39="Approved",IF(AD39="","Approved — Schedule","Scheduled / Linked"),IF(Y39="Rejected","Closed — Rejected",IF(Y39="Cancelled","Closed — Cancelled","Pending Approval"))))</x:f>
      </x:c>
      <x:c r="AF39" s="92"/>
    </x:row>
    <x:row r="40">
      <x:c r="A40" s="92"/>
      <x:c r="B40" s="93"/>
      <x:c r="C40" s="92"/>
      <x:c r="D40" s="92"/>
      <x:c r="E40" s="92"/>
      <x:c r="F40" s="92"/>
      <x:c r="G40" s="92"/>
      <x:c r="H40" s="94" t="str">
        <x:f>IFERROR(VLOOKUP(G40,'01 Staff Master'!$A$6:$M$105,2,FALSE),"")</x:f>
      </x:c>
      <x:c r="I40" s="94" t="str">
        <x:f>IFERROR(VLOOKUP(G40,'01 Staff Master'!$A$6:$M$105,5,FALSE),"")</x:f>
      </x:c>
      <x:c r="J40" s="92"/>
      <x:c r="K40" s="94" t="str">
        <x:f>IFERROR(VLOOKUP(J40,'02 Skill Catalogue'!$A$6:$K$95,4,FALSE),"")</x:f>
      </x:c>
      <x:c r="L40" s="94" t="str">
        <x:f>IF(OR(G40="",J40=""),"",IF(COUNTIFS('04 Assessment Log'!$D$6:$D$155,G40,'04 Assessment Log'!$J$6:$J$155,J40,'04 Assessment Log'!$AA$6:$AA$155,"Yes")=0,"",SUMIFS('04 Assessment Log'!$O$6:$O$155,'04 Assessment Log'!$D$6:$D$155,G40,'04 Assessment Log'!$J$6:$J$155,J40,'04 Assessment Log'!$AA$6:$AA$155,"Yes")))</x:f>
      </x:c>
      <x:c r="M40" s="92"/>
      <x:c r="N40" s="94" t="str">
        <x:f>IF(OR(L40="",M40=""),"",MAX(M40-L40,0))</x:f>
      </x:c>
      <x:c r="O40" s="92"/>
      <x:c r="P40" s="92"/>
      <x:c r="Q40" s="92"/>
      <x:c r="R40" s="92"/>
      <x:c r="S40" s="92"/>
      <x:c r="T40" s="93"/>
      <x:c r="U40" s="93"/>
      <x:c r="V40" s="95"/>
      <x:c r="W40" s="92"/>
      <x:c r="X40" s="92"/>
      <x:c r="Y40" s="92"/>
      <x:c r="Z40" s="92"/>
      <x:c r="AA40" s="93"/>
      <x:c r="AB40" s="95"/>
      <x:c r="AC40" s="92"/>
      <x:c r="AD40" s="92"/>
      <x:c r="AE40" s="94" t="str">
        <x:f>IF(A40="","",IF(Y40="Approved",IF(AD40="","Approved — Schedule","Scheduled / Linked"),IF(Y40="Rejected","Closed — Rejected",IF(Y40="Cancelled","Closed — Cancelled","Pending Approval"))))</x:f>
      </x:c>
      <x:c r="AF40" s="92"/>
    </x:row>
    <x:row r="41">
      <x:c r="A41" s="92"/>
      <x:c r="B41" s="93"/>
      <x:c r="C41" s="92"/>
      <x:c r="D41" s="92"/>
      <x:c r="E41" s="92"/>
      <x:c r="F41" s="92"/>
      <x:c r="G41" s="92"/>
      <x:c r="H41" s="94" t="str">
        <x:f>IFERROR(VLOOKUP(G41,'01 Staff Master'!$A$6:$M$105,2,FALSE),"")</x:f>
      </x:c>
      <x:c r="I41" s="94" t="str">
        <x:f>IFERROR(VLOOKUP(G41,'01 Staff Master'!$A$6:$M$105,5,FALSE),"")</x:f>
      </x:c>
      <x:c r="J41" s="92"/>
      <x:c r="K41" s="94" t="str">
        <x:f>IFERROR(VLOOKUP(J41,'02 Skill Catalogue'!$A$6:$K$95,4,FALSE),"")</x:f>
      </x:c>
      <x:c r="L41" s="94" t="str">
        <x:f>IF(OR(G41="",J41=""),"",IF(COUNTIFS('04 Assessment Log'!$D$6:$D$155,G41,'04 Assessment Log'!$J$6:$J$155,J41,'04 Assessment Log'!$AA$6:$AA$155,"Yes")=0,"",SUMIFS('04 Assessment Log'!$O$6:$O$155,'04 Assessment Log'!$D$6:$D$155,G41,'04 Assessment Log'!$J$6:$J$155,J41,'04 Assessment Log'!$AA$6:$AA$155,"Yes")))</x:f>
      </x:c>
      <x:c r="M41" s="92"/>
      <x:c r="N41" s="94" t="str">
        <x:f>IF(OR(L41="",M41=""),"",MAX(M41-L41,0))</x:f>
      </x:c>
      <x:c r="O41" s="92"/>
      <x:c r="P41" s="92"/>
      <x:c r="Q41" s="92"/>
      <x:c r="R41" s="92"/>
      <x:c r="S41" s="92"/>
      <x:c r="T41" s="93"/>
      <x:c r="U41" s="93"/>
      <x:c r="V41" s="95"/>
      <x:c r="W41" s="92"/>
      <x:c r="X41" s="92"/>
      <x:c r="Y41" s="92"/>
      <x:c r="Z41" s="92"/>
      <x:c r="AA41" s="93"/>
      <x:c r="AB41" s="95"/>
      <x:c r="AC41" s="92"/>
      <x:c r="AD41" s="92"/>
      <x:c r="AE41" s="94" t="str">
        <x:f>IF(A41="","",IF(Y41="Approved",IF(AD41="","Approved — Schedule","Scheduled / Linked"),IF(Y41="Rejected","Closed — Rejected",IF(Y41="Cancelled","Closed — Cancelled","Pending Approval"))))</x:f>
      </x:c>
      <x:c r="AF41" s="92"/>
    </x:row>
    <x:row r="42">
      <x:c r="A42" s="92"/>
      <x:c r="B42" s="93"/>
      <x:c r="C42" s="92"/>
      <x:c r="D42" s="92"/>
      <x:c r="E42" s="92"/>
      <x:c r="F42" s="92"/>
      <x:c r="G42" s="92"/>
      <x:c r="H42" s="94" t="str">
        <x:f>IFERROR(VLOOKUP(G42,'01 Staff Master'!$A$6:$M$105,2,FALSE),"")</x:f>
      </x:c>
      <x:c r="I42" s="94" t="str">
        <x:f>IFERROR(VLOOKUP(G42,'01 Staff Master'!$A$6:$M$105,5,FALSE),"")</x:f>
      </x:c>
      <x:c r="J42" s="92"/>
      <x:c r="K42" s="94" t="str">
        <x:f>IFERROR(VLOOKUP(J42,'02 Skill Catalogue'!$A$6:$K$95,4,FALSE),"")</x:f>
      </x:c>
      <x:c r="L42" s="94" t="str">
        <x:f>IF(OR(G42="",J42=""),"",IF(COUNTIFS('04 Assessment Log'!$D$6:$D$155,G42,'04 Assessment Log'!$J$6:$J$155,J42,'04 Assessment Log'!$AA$6:$AA$155,"Yes")=0,"",SUMIFS('04 Assessment Log'!$O$6:$O$155,'04 Assessment Log'!$D$6:$D$155,G42,'04 Assessment Log'!$J$6:$J$155,J42,'04 Assessment Log'!$AA$6:$AA$155,"Yes")))</x:f>
      </x:c>
      <x:c r="M42" s="92"/>
      <x:c r="N42" s="94" t="str">
        <x:f>IF(OR(L42="",M42=""),"",MAX(M42-L42,0))</x:f>
      </x:c>
      <x:c r="O42" s="92"/>
      <x:c r="P42" s="92"/>
      <x:c r="Q42" s="92"/>
      <x:c r="R42" s="92"/>
      <x:c r="S42" s="92"/>
      <x:c r="T42" s="93"/>
      <x:c r="U42" s="93"/>
      <x:c r="V42" s="95"/>
      <x:c r="W42" s="92"/>
      <x:c r="X42" s="92"/>
      <x:c r="Y42" s="92"/>
      <x:c r="Z42" s="92"/>
      <x:c r="AA42" s="93"/>
      <x:c r="AB42" s="95"/>
      <x:c r="AC42" s="92"/>
      <x:c r="AD42" s="92"/>
      <x:c r="AE42" s="94" t="str">
        <x:f>IF(A42="","",IF(Y42="Approved",IF(AD42="","Approved — Schedule","Scheduled / Linked"),IF(Y42="Rejected","Closed — Rejected",IF(Y42="Cancelled","Closed — Cancelled","Pending Approval"))))</x:f>
      </x:c>
      <x:c r="AF42" s="92"/>
    </x:row>
    <x:row r="43">
      <x:c r="A43" s="92"/>
      <x:c r="B43" s="93"/>
      <x:c r="C43" s="92"/>
      <x:c r="D43" s="92"/>
      <x:c r="E43" s="92"/>
      <x:c r="F43" s="92"/>
      <x:c r="G43" s="92"/>
      <x:c r="H43" s="94" t="str">
        <x:f>IFERROR(VLOOKUP(G43,'01 Staff Master'!$A$6:$M$105,2,FALSE),"")</x:f>
      </x:c>
      <x:c r="I43" s="94" t="str">
        <x:f>IFERROR(VLOOKUP(G43,'01 Staff Master'!$A$6:$M$105,5,FALSE),"")</x:f>
      </x:c>
      <x:c r="J43" s="92"/>
      <x:c r="K43" s="94" t="str">
        <x:f>IFERROR(VLOOKUP(J43,'02 Skill Catalogue'!$A$6:$K$95,4,FALSE),"")</x:f>
      </x:c>
      <x:c r="L43" s="94" t="str">
        <x:f>IF(OR(G43="",J43=""),"",IF(COUNTIFS('04 Assessment Log'!$D$6:$D$155,G43,'04 Assessment Log'!$J$6:$J$155,J43,'04 Assessment Log'!$AA$6:$AA$155,"Yes")=0,"",SUMIFS('04 Assessment Log'!$O$6:$O$155,'04 Assessment Log'!$D$6:$D$155,G43,'04 Assessment Log'!$J$6:$J$155,J43,'04 Assessment Log'!$AA$6:$AA$155,"Yes")))</x:f>
      </x:c>
      <x:c r="M43" s="92"/>
      <x:c r="N43" s="94" t="str">
        <x:f>IF(OR(L43="",M43=""),"",MAX(M43-L43,0))</x:f>
      </x:c>
      <x:c r="O43" s="92"/>
      <x:c r="P43" s="92"/>
      <x:c r="Q43" s="92"/>
      <x:c r="R43" s="92"/>
      <x:c r="S43" s="92"/>
      <x:c r="T43" s="93"/>
      <x:c r="U43" s="93"/>
      <x:c r="V43" s="95"/>
      <x:c r="W43" s="92"/>
      <x:c r="X43" s="92"/>
      <x:c r="Y43" s="92"/>
      <x:c r="Z43" s="92"/>
      <x:c r="AA43" s="93"/>
      <x:c r="AB43" s="95"/>
      <x:c r="AC43" s="92"/>
      <x:c r="AD43" s="92"/>
      <x:c r="AE43" s="94" t="str">
        <x:f>IF(A43="","",IF(Y43="Approved",IF(AD43="","Approved — Schedule","Scheduled / Linked"),IF(Y43="Rejected","Closed — Rejected",IF(Y43="Cancelled","Closed — Cancelled","Pending Approval"))))</x:f>
      </x:c>
      <x:c r="AF43" s="92"/>
    </x:row>
    <x:row r="44">
      <x:c r="A44" s="92"/>
      <x:c r="B44" s="93"/>
      <x:c r="C44" s="92"/>
      <x:c r="D44" s="92"/>
      <x:c r="E44" s="92"/>
      <x:c r="F44" s="92"/>
      <x:c r="G44" s="92"/>
      <x:c r="H44" s="94" t="str">
        <x:f>IFERROR(VLOOKUP(G44,'01 Staff Master'!$A$6:$M$105,2,FALSE),"")</x:f>
      </x:c>
      <x:c r="I44" s="94" t="str">
        <x:f>IFERROR(VLOOKUP(G44,'01 Staff Master'!$A$6:$M$105,5,FALSE),"")</x:f>
      </x:c>
      <x:c r="J44" s="92"/>
      <x:c r="K44" s="94" t="str">
        <x:f>IFERROR(VLOOKUP(J44,'02 Skill Catalogue'!$A$6:$K$95,4,FALSE),"")</x:f>
      </x:c>
      <x:c r="L44" s="94" t="str">
        <x:f>IF(OR(G44="",J44=""),"",IF(COUNTIFS('04 Assessment Log'!$D$6:$D$155,G44,'04 Assessment Log'!$J$6:$J$155,J44,'04 Assessment Log'!$AA$6:$AA$155,"Yes")=0,"",SUMIFS('04 Assessment Log'!$O$6:$O$155,'04 Assessment Log'!$D$6:$D$155,G44,'04 Assessment Log'!$J$6:$J$155,J44,'04 Assessment Log'!$AA$6:$AA$155,"Yes")))</x:f>
      </x:c>
      <x:c r="M44" s="92"/>
      <x:c r="N44" s="94" t="str">
        <x:f>IF(OR(L44="",M44=""),"",MAX(M44-L44,0))</x:f>
      </x:c>
      <x:c r="O44" s="92"/>
      <x:c r="P44" s="92"/>
      <x:c r="Q44" s="92"/>
      <x:c r="R44" s="92"/>
      <x:c r="S44" s="92"/>
      <x:c r="T44" s="93"/>
      <x:c r="U44" s="93"/>
      <x:c r="V44" s="95"/>
      <x:c r="W44" s="92"/>
      <x:c r="X44" s="92"/>
      <x:c r="Y44" s="92"/>
      <x:c r="Z44" s="92"/>
      <x:c r="AA44" s="93"/>
      <x:c r="AB44" s="95"/>
      <x:c r="AC44" s="92"/>
      <x:c r="AD44" s="92"/>
      <x:c r="AE44" s="94" t="str">
        <x:f>IF(A44="","",IF(Y44="Approved",IF(AD44="","Approved — Schedule","Scheduled / Linked"),IF(Y44="Rejected","Closed — Rejected",IF(Y44="Cancelled","Closed — Cancelled","Pending Approval"))))</x:f>
      </x:c>
      <x:c r="AF44" s="92"/>
    </x:row>
    <x:row r="45">
      <x:c r="A45" s="92"/>
      <x:c r="B45" s="93"/>
      <x:c r="C45" s="92"/>
      <x:c r="D45" s="92"/>
      <x:c r="E45" s="92"/>
      <x:c r="F45" s="92"/>
      <x:c r="G45" s="92"/>
      <x:c r="H45" s="94" t="str">
        <x:f>IFERROR(VLOOKUP(G45,'01 Staff Master'!$A$6:$M$105,2,FALSE),"")</x:f>
      </x:c>
      <x:c r="I45" s="94" t="str">
        <x:f>IFERROR(VLOOKUP(G45,'01 Staff Master'!$A$6:$M$105,5,FALSE),"")</x:f>
      </x:c>
      <x:c r="J45" s="92"/>
      <x:c r="K45" s="94" t="str">
        <x:f>IFERROR(VLOOKUP(J45,'02 Skill Catalogue'!$A$6:$K$95,4,FALSE),"")</x:f>
      </x:c>
      <x:c r="L45" s="94" t="str">
        <x:f>IF(OR(G45="",J45=""),"",IF(COUNTIFS('04 Assessment Log'!$D$6:$D$155,G45,'04 Assessment Log'!$J$6:$J$155,J45,'04 Assessment Log'!$AA$6:$AA$155,"Yes")=0,"",SUMIFS('04 Assessment Log'!$O$6:$O$155,'04 Assessment Log'!$D$6:$D$155,G45,'04 Assessment Log'!$J$6:$J$155,J45,'04 Assessment Log'!$AA$6:$AA$155,"Yes")))</x:f>
      </x:c>
      <x:c r="M45" s="92"/>
      <x:c r="N45" s="94" t="str">
        <x:f>IF(OR(L45="",M45=""),"",MAX(M45-L45,0))</x:f>
      </x:c>
      <x:c r="O45" s="92"/>
      <x:c r="P45" s="92"/>
      <x:c r="Q45" s="92"/>
      <x:c r="R45" s="92"/>
      <x:c r="S45" s="92"/>
      <x:c r="T45" s="93"/>
      <x:c r="U45" s="93"/>
      <x:c r="V45" s="95"/>
      <x:c r="W45" s="92"/>
      <x:c r="X45" s="92"/>
      <x:c r="Y45" s="92"/>
      <x:c r="Z45" s="92"/>
      <x:c r="AA45" s="93"/>
      <x:c r="AB45" s="95"/>
      <x:c r="AC45" s="92"/>
      <x:c r="AD45" s="92"/>
      <x:c r="AE45" s="94" t="str">
        <x:f>IF(A45="","",IF(Y45="Approved",IF(AD45="","Approved — Schedule","Scheduled / Linked"),IF(Y45="Rejected","Closed — Rejected",IF(Y45="Cancelled","Closed — Cancelled","Pending Approval"))))</x:f>
      </x:c>
      <x:c r="AF45" s="92"/>
    </x:row>
    <x:row r="46">
      <x:c r="A46" s="92"/>
      <x:c r="B46" s="93"/>
      <x:c r="C46" s="92"/>
      <x:c r="D46" s="92"/>
      <x:c r="E46" s="92"/>
      <x:c r="F46" s="92"/>
      <x:c r="G46" s="92"/>
      <x:c r="H46" s="94" t="str">
        <x:f>IFERROR(VLOOKUP(G46,'01 Staff Master'!$A$6:$M$105,2,FALSE),"")</x:f>
      </x:c>
      <x:c r="I46" s="94" t="str">
        <x:f>IFERROR(VLOOKUP(G46,'01 Staff Master'!$A$6:$M$105,5,FALSE),"")</x:f>
      </x:c>
      <x:c r="J46" s="92"/>
      <x:c r="K46" s="94" t="str">
        <x:f>IFERROR(VLOOKUP(J46,'02 Skill Catalogue'!$A$6:$K$95,4,FALSE),"")</x:f>
      </x:c>
      <x:c r="L46" s="94" t="str">
        <x:f>IF(OR(G46="",J46=""),"",IF(COUNTIFS('04 Assessment Log'!$D$6:$D$155,G46,'04 Assessment Log'!$J$6:$J$155,J46,'04 Assessment Log'!$AA$6:$AA$155,"Yes")=0,"",SUMIFS('04 Assessment Log'!$O$6:$O$155,'04 Assessment Log'!$D$6:$D$155,G46,'04 Assessment Log'!$J$6:$J$155,J46,'04 Assessment Log'!$AA$6:$AA$155,"Yes")))</x:f>
      </x:c>
      <x:c r="M46" s="92"/>
      <x:c r="N46" s="94" t="str">
        <x:f>IF(OR(L46="",M46=""),"",MAX(M46-L46,0))</x:f>
      </x:c>
      <x:c r="O46" s="92"/>
      <x:c r="P46" s="92"/>
      <x:c r="Q46" s="92"/>
      <x:c r="R46" s="92"/>
      <x:c r="S46" s="92"/>
      <x:c r="T46" s="93"/>
      <x:c r="U46" s="93"/>
      <x:c r="V46" s="95"/>
      <x:c r="W46" s="92"/>
      <x:c r="X46" s="92"/>
      <x:c r="Y46" s="92"/>
      <x:c r="Z46" s="92"/>
      <x:c r="AA46" s="93"/>
      <x:c r="AB46" s="95"/>
      <x:c r="AC46" s="92"/>
      <x:c r="AD46" s="92"/>
      <x:c r="AE46" s="94" t="str">
        <x:f>IF(A46="","",IF(Y46="Approved",IF(AD46="","Approved — Schedule","Scheduled / Linked"),IF(Y46="Rejected","Closed — Rejected",IF(Y46="Cancelled","Closed — Cancelled","Pending Approval"))))</x:f>
      </x:c>
      <x:c r="AF46" s="92"/>
    </x:row>
    <x:row r="47">
      <x:c r="A47" s="92"/>
      <x:c r="B47" s="93"/>
      <x:c r="C47" s="92"/>
      <x:c r="D47" s="92"/>
      <x:c r="E47" s="92"/>
      <x:c r="F47" s="92"/>
      <x:c r="G47" s="92"/>
      <x:c r="H47" s="94" t="str">
        <x:f>IFERROR(VLOOKUP(G47,'01 Staff Master'!$A$6:$M$105,2,FALSE),"")</x:f>
      </x:c>
      <x:c r="I47" s="94" t="str">
        <x:f>IFERROR(VLOOKUP(G47,'01 Staff Master'!$A$6:$M$105,5,FALSE),"")</x:f>
      </x:c>
      <x:c r="J47" s="92"/>
      <x:c r="K47" s="94" t="str">
        <x:f>IFERROR(VLOOKUP(J47,'02 Skill Catalogue'!$A$6:$K$95,4,FALSE),"")</x:f>
      </x:c>
      <x:c r="L47" s="94" t="str">
        <x:f>IF(OR(G47="",J47=""),"",IF(COUNTIFS('04 Assessment Log'!$D$6:$D$155,G47,'04 Assessment Log'!$J$6:$J$155,J47,'04 Assessment Log'!$AA$6:$AA$155,"Yes")=0,"",SUMIFS('04 Assessment Log'!$O$6:$O$155,'04 Assessment Log'!$D$6:$D$155,G47,'04 Assessment Log'!$J$6:$J$155,J47,'04 Assessment Log'!$AA$6:$AA$155,"Yes")))</x:f>
      </x:c>
      <x:c r="M47" s="92"/>
      <x:c r="N47" s="94" t="str">
        <x:f>IF(OR(L47="",M47=""),"",MAX(M47-L47,0))</x:f>
      </x:c>
      <x:c r="O47" s="92"/>
      <x:c r="P47" s="92"/>
      <x:c r="Q47" s="92"/>
      <x:c r="R47" s="92"/>
      <x:c r="S47" s="92"/>
      <x:c r="T47" s="93"/>
      <x:c r="U47" s="93"/>
      <x:c r="V47" s="95"/>
      <x:c r="W47" s="92"/>
      <x:c r="X47" s="92"/>
      <x:c r="Y47" s="92"/>
      <x:c r="Z47" s="92"/>
      <x:c r="AA47" s="93"/>
      <x:c r="AB47" s="95"/>
      <x:c r="AC47" s="92"/>
      <x:c r="AD47" s="92"/>
      <x:c r="AE47" s="94" t="str">
        <x:f>IF(A47="","",IF(Y47="Approved",IF(AD47="","Approved — Schedule","Scheduled / Linked"),IF(Y47="Rejected","Closed — Rejected",IF(Y47="Cancelled","Closed — Cancelled","Pending Approval"))))</x:f>
      </x:c>
      <x:c r="AF47" s="92"/>
    </x:row>
    <x:row r="48">
      <x:c r="A48" s="92"/>
      <x:c r="B48" s="93"/>
      <x:c r="C48" s="92"/>
      <x:c r="D48" s="92"/>
      <x:c r="E48" s="92"/>
      <x:c r="F48" s="92"/>
      <x:c r="G48" s="92"/>
      <x:c r="H48" s="94" t="str">
        <x:f>IFERROR(VLOOKUP(G48,'01 Staff Master'!$A$6:$M$105,2,FALSE),"")</x:f>
      </x:c>
      <x:c r="I48" s="94" t="str">
        <x:f>IFERROR(VLOOKUP(G48,'01 Staff Master'!$A$6:$M$105,5,FALSE),"")</x:f>
      </x:c>
      <x:c r="J48" s="92"/>
      <x:c r="K48" s="94" t="str">
        <x:f>IFERROR(VLOOKUP(J48,'02 Skill Catalogue'!$A$6:$K$95,4,FALSE),"")</x:f>
      </x:c>
      <x:c r="L48" s="94" t="str">
        <x:f>IF(OR(G48="",J48=""),"",IF(COUNTIFS('04 Assessment Log'!$D$6:$D$155,G48,'04 Assessment Log'!$J$6:$J$155,J48,'04 Assessment Log'!$AA$6:$AA$155,"Yes")=0,"",SUMIFS('04 Assessment Log'!$O$6:$O$155,'04 Assessment Log'!$D$6:$D$155,G48,'04 Assessment Log'!$J$6:$J$155,J48,'04 Assessment Log'!$AA$6:$AA$155,"Yes")))</x:f>
      </x:c>
      <x:c r="M48" s="92"/>
      <x:c r="N48" s="94" t="str">
        <x:f>IF(OR(L48="",M48=""),"",MAX(M48-L48,0))</x:f>
      </x:c>
      <x:c r="O48" s="92"/>
      <x:c r="P48" s="92"/>
      <x:c r="Q48" s="92"/>
      <x:c r="R48" s="92"/>
      <x:c r="S48" s="92"/>
      <x:c r="T48" s="93"/>
      <x:c r="U48" s="93"/>
      <x:c r="V48" s="95"/>
      <x:c r="W48" s="92"/>
      <x:c r="X48" s="92"/>
      <x:c r="Y48" s="92"/>
      <x:c r="Z48" s="92"/>
      <x:c r="AA48" s="93"/>
      <x:c r="AB48" s="95"/>
      <x:c r="AC48" s="92"/>
      <x:c r="AD48" s="92"/>
      <x:c r="AE48" s="94" t="str">
        <x:f>IF(A48="","",IF(Y48="Approved",IF(AD48="","Approved — Schedule","Scheduled / Linked"),IF(Y48="Rejected","Closed — Rejected",IF(Y48="Cancelled","Closed — Cancelled","Pending Approval"))))</x:f>
      </x:c>
      <x:c r="AF48" s="92"/>
    </x:row>
    <x:row r="49">
      <x:c r="A49" s="92"/>
      <x:c r="B49" s="93"/>
      <x:c r="C49" s="92"/>
      <x:c r="D49" s="92"/>
      <x:c r="E49" s="92"/>
      <x:c r="F49" s="92"/>
      <x:c r="G49" s="92"/>
      <x:c r="H49" s="94" t="str">
        <x:f>IFERROR(VLOOKUP(G49,'01 Staff Master'!$A$6:$M$105,2,FALSE),"")</x:f>
      </x:c>
      <x:c r="I49" s="94" t="str">
        <x:f>IFERROR(VLOOKUP(G49,'01 Staff Master'!$A$6:$M$105,5,FALSE),"")</x:f>
      </x:c>
      <x:c r="J49" s="92"/>
      <x:c r="K49" s="94" t="str">
        <x:f>IFERROR(VLOOKUP(J49,'02 Skill Catalogue'!$A$6:$K$95,4,FALSE),"")</x:f>
      </x:c>
      <x:c r="L49" s="94" t="str">
        <x:f>IF(OR(G49="",J49=""),"",IF(COUNTIFS('04 Assessment Log'!$D$6:$D$155,G49,'04 Assessment Log'!$J$6:$J$155,J49,'04 Assessment Log'!$AA$6:$AA$155,"Yes")=0,"",SUMIFS('04 Assessment Log'!$O$6:$O$155,'04 Assessment Log'!$D$6:$D$155,G49,'04 Assessment Log'!$J$6:$J$155,J49,'04 Assessment Log'!$AA$6:$AA$155,"Yes")))</x:f>
      </x:c>
      <x:c r="M49" s="92"/>
      <x:c r="N49" s="94" t="str">
        <x:f>IF(OR(L49="",M49=""),"",MAX(M49-L49,0))</x:f>
      </x:c>
      <x:c r="O49" s="92"/>
      <x:c r="P49" s="92"/>
      <x:c r="Q49" s="92"/>
      <x:c r="R49" s="92"/>
      <x:c r="S49" s="92"/>
      <x:c r="T49" s="93"/>
      <x:c r="U49" s="93"/>
      <x:c r="V49" s="95"/>
      <x:c r="W49" s="92"/>
      <x:c r="X49" s="92"/>
      <x:c r="Y49" s="92"/>
      <x:c r="Z49" s="92"/>
      <x:c r="AA49" s="93"/>
      <x:c r="AB49" s="95"/>
      <x:c r="AC49" s="92"/>
      <x:c r="AD49" s="92"/>
      <x:c r="AE49" s="94" t="str">
        <x:f>IF(A49="","",IF(Y49="Approved",IF(AD49="","Approved — Schedule","Scheduled / Linked"),IF(Y49="Rejected","Closed — Rejected",IF(Y49="Cancelled","Closed — Cancelled","Pending Approval"))))</x:f>
      </x:c>
      <x:c r="AF49" s="92"/>
    </x:row>
    <x:row r="50">
      <x:c r="A50" s="92"/>
      <x:c r="B50" s="93"/>
      <x:c r="C50" s="92"/>
      <x:c r="D50" s="92"/>
      <x:c r="E50" s="92"/>
      <x:c r="F50" s="92"/>
      <x:c r="G50" s="92"/>
      <x:c r="H50" s="94" t="str">
        <x:f>IFERROR(VLOOKUP(G50,'01 Staff Master'!$A$6:$M$105,2,FALSE),"")</x:f>
      </x:c>
      <x:c r="I50" s="94" t="str">
        <x:f>IFERROR(VLOOKUP(G50,'01 Staff Master'!$A$6:$M$105,5,FALSE),"")</x:f>
      </x:c>
      <x:c r="J50" s="92"/>
      <x:c r="K50" s="94" t="str">
        <x:f>IFERROR(VLOOKUP(J50,'02 Skill Catalogue'!$A$6:$K$95,4,FALSE),"")</x:f>
      </x:c>
      <x:c r="L50" s="94" t="str">
        <x:f>IF(OR(G50="",J50=""),"",IF(COUNTIFS('04 Assessment Log'!$D$6:$D$155,G50,'04 Assessment Log'!$J$6:$J$155,J50,'04 Assessment Log'!$AA$6:$AA$155,"Yes")=0,"",SUMIFS('04 Assessment Log'!$O$6:$O$155,'04 Assessment Log'!$D$6:$D$155,G50,'04 Assessment Log'!$J$6:$J$155,J50,'04 Assessment Log'!$AA$6:$AA$155,"Yes")))</x:f>
      </x:c>
      <x:c r="M50" s="92"/>
      <x:c r="N50" s="94" t="str">
        <x:f>IF(OR(L50="",M50=""),"",MAX(M50-L50,0))</x:f>
      </x:c>
      <x:c r="O50" s="92"/>
      <x:c r="P50" s="92"/>
      <x:c r="Q50" s="92"/>
      <x:c r="R50" s="92"/>
      <x:c r="S50" s="92"/>
      <x:c r="T50" s="93"/>
      <x:c r="U50" s="93"/>
      <x:c r="V50" s="95"/>
      <x:c r="W50" s="92"/>
      <x:c r="X50" s="92"/>
      <x:c r="Y50" s="92"/>
      <x:c r="Z50" s="92"/>
      <x:c r="AA50" s="93"/>
      <x:c r="AB50" s="95"/>
      <x:c r="AC50" s="92"/>
      <x:c r="AD50" s="92"/>
      <x:c r="AE50" s="94" t="str">
        <x:f>IF(A50="","",IF(Y50="Approved",IF(AD50="","Approved — Schedule","Scheduled / Linked"),IF(Y50="Rejected","Closed — Rejected",IF(Y50="Cancelled","Closed — Cancelled","Pending Approval"))))</x:f>
      </x:c>
      <x:c r="AF50" s="92"/>
    </x:row>
    <x:row r="51">
      <x:c r="A51" s="92"/>
      <x:c r="B51" s="93"/>
      <x:c r="C51" s="92"/>
      <x:c r="D51" s="92"/>
      <x:c r="E51" s="92"/>
      <x:c r="F51" s="92"/>
      <x:c r="G51" s="92"/>
      <x:c r="H51" s="94" t="str">
        <x:f>IFERROR(VLOOKUP(G51,'01 Staff Master'!$A$6:$M$105,2,FALSE),"")</x:f>
      </x:c>
      <x:c r="I51" s="94" t="str">
        <x:f>IFERROR(VLOOKUP(G51,'01 Staff Master'!$A$6:$M$105,5,FALSE),"")</x:f>
      </x:c>
      <x:c r="J51" s="92"/>
      <x:c r="K51" s="94" t="str">
        <x:f>IFERROR(VLOOKUP(J51,'02 Skill Catalogue'!$A$6:$K$95,4,FALSE),"")</x:f>
      </x:c>
      <x:c r="L51" s="94" t="str">
        <x:f>IF(OR(G51="",J51=""),"",IF(COUNTIFS('04 Assessment Log'!$D$6:$D$155,G51,'04 Assessment Log'!$J$6:$J$155,J51,'04 Assessment Log'!$AA$6:$AA$155,"Yes")=0,"",SUMIFS('04 Assessment Log'!$O$6:$O$155,'04 Assessment Log'!$D$6:$D$155,G51,'04 Assessment Log'!$J$6:$J$155,J51,'04 Assessment Log'!$AA$6:$AA$155,"Yes")))</x:f>
      </x:c>
      <x:c r="M51" s="92"/>
      <x:c r="N51" s="94" t="str">
        <x:f>IF(OR(L51="",M51=""),"",MAX(M51-L51,0))</x:f>
      </x:c>
      <x:c r="O51" s="92"/>
      <x:c r="P51" s="92"/>
      <x:c r="Q51" s="92"/>
      <x:c r="R51" s="92"/>
      <x:c r="S51" s="92"/>
      <x:c r="T51" s="93"/>
      <x:c r="U51" s="93"/>
      <x:c r="V51" s="95"/>
      <x:c r="W51" s="92"/>
      <x:c r="X51" s="92"/>
      <x:c r="Y51" s="92"/>
      <x:c r="Z51" s="92"/>
      <x:c r="AA51" s="93"/>
      <x:c r="AB51" s="95"/>
      <x:c r="AC51" s="92"/>
      <x:c r="AD51" s="92"/>
      <x:c r="AE51" s="94" t="str">
        <x:f>IF(A51="","",IF(Y51="Approved",IF(AD51="","Approved — Schedule","Scheduled / Linked"),IF(Y51="Rejected","Closed — Rejected",IF(Y51="Cancelled","Closed — Cancelled","Pending Approval"))))</x:f>
      </x:c>
      <x:c r="AF51" s="92"/>
    </x:row>
    <x:row r="52">
      <x:c r="A52" s="92"/>
      <x:c r="B52" s="93"/>
      <x:c r="C52" s="92"/>
      <x:c r="D52" s="92"/>
      <x:c r="E52" s="92"/>
      <x:c r="F52" s="92"/>
      <x:c r="G52" s="92"/>
      <x:c r="H52" s="94" t="str">
        <x:f>IFERROR(VLOOKUP(G52,'01 Staff Master'!$A$6:$M$105,2,FALSE),"")</x:f>
      </x:c>
      <x:c r="I52" s="94" t="str">
        <x:f>IFERROR(VLOOKUP(G52,'01 Staff Master'!$A$6:$M$105,5,FALSE),"")</x:f>
      </x:c>
      <x:c r="J52" s="92"/>
      <x:c r="K52" s="94" t="str">
        <x:f>IFERROR(VLOOKUP(J52,'02 Skill Catalogue'!$A$6:$K$95,4,FALSE),"")</x:f>
      </x:c>
      <x:c r="L52" s="94" t="str">
        <x:f>IF(OR(G52="",J52=""),"",IF(COUNTIFS('04 Assessment Log'!$D$6:$D$155,G52,'04 Assessment Log'!$J$6:$J$155,J52,'04 Assessment Log'!$AA$6:$AA$155,"Yes")=0,"",SUMIFS('04 Assessment Log'!$O$6:$O$155,'04 Assessment Log'!$D$6:$D$155,G52,'04 Assessment Log'!$J$6:$J$155,J52,'04 Assessment Log'!$AA$6:$AA$155,"Yes")))</x:f>
      </x:c>
      <x:c r="M52" s="92"/>
      <x:c r="N52" s="94" t="str">
        <x:f>IF(OR(L52="",M52=""),"",MAX(M52-L52,0))</x:f>
      </x:c>
      <x:c r="O52" s="92"/>
      <x:c r="P52" s="92"/>
      <x:c r="Q52" s="92"/>
      <x:c r="R52" s="92"/>
      <x:c r="S52" s="92"/>
      <x:c r="T52" s="93"/>
      <x:c r="U52" s="93"/>
      <x:c r="V52" s="95"/>
      <x:c r="W52" s="92"/>
      <x:c r="X52" s="92"/>
      <x:c r="Y52" s="92"/>
      <x:c r="Z52" s="92"/>
      <x:c r="AA52" s="93"/>
      <x:c r="AB52" s="95"/>
      <x:c r="AC52" s="92"/>
      <x:c r="AD52" s="92"/>
      <x:c r="AE52" s="94" t="str">
        <x:f>IF(A52="","",IF(Y52="Approved",IF(AD52="","Approved — Schedule","Scheduled / Linked"),IF(Y52="Rejected","Closed — Rejected",IF(Y52="Cancelled","Closed — Cancelled","Pending Approval"))))</x:f>
      </x:c>
      <x:c r="AF52" s="92"/>
    </x:row>
    <x:row r="53">
      <x:c r="A53" s="92"/>
      <x:c r="B53" s="93"/>
      <x:c r="C53" s="92"/>
      <x:c r="D53" s="92"/>
      <x:c r="E53" s="92"/>
      <x:c r="F53" s="92"/>
      <x:c r="G53" s="92"/>
      <x:c r="H53" s="94" t="str">
        <x:f>IFERROR(VLOOKUP(G53,'01 Staff Master'!$A$6:$M$105,2,FALSE),"")</x:f>
      </x:c>
      <x:c r="I53" s="94" t="str">
        <x:f>IFERROR(VLOOKUP(G53,'01 Staff Master'!$A$6:$M$105,5,FALSE),"")</x:f>
      </x:c>
      <x:c r="J53" s="92"/>
      <x:c r="K53" s="94" t="str">
        <x:f>IFERROR(VLOOKUP(J53,'02 Skill Catalogue'!$A$6:$K$95,4,FALSE),"")</x:f>
      </x:c>
      <x:c r="L53" s="94" t="str">
        <x:f>IF(OR(G53="",J53=""),"",IF(COUNTIFS('04 Assessment Log'!$D$6:$D$155,G53,'04 Assessment Log'!$J$6:$J$155,J53,'04 Assessment Log'!$AA$6:$AA$155,"Yes")=0,"",SUMIFS('04 Assessment Log'!$O$6:$O$155,'04 Assessment Log'!$D$6:$D$155,G53,'04 Assessment Log'!$J$6:$J$155,J53,'04 Assessment Log'!$AA$6:$AA$155,"Yes")))</x:f>
      </x:c>
      <x:c r="M53" s="92"/>
      <x:c r="N53" s="94" t="str">
        <x:f>IF(OR(L53="",M53=""),"",MAX(M53-L53,0))</x:f>
      </x:c>
      <x:c r="O53" s="92"/>
      <x:c r="P53" s="92"/>
      <x:c r="Q53" s="92"/>
      <x:c r="R53" s="92"/>
      <x:c r="S53" s="92"/>
      <x:c r="T53" s="93"/>
      <x:c r="U53" s="93"/>
      <x:c r="V53" s="95"/>
      <x:c r="W53" s="92"/>
      <x:c r="X53" s="92"/>
      <x:c r="Y53" s="92"/>
      <x:c r="Z53" s="92"/>
      <x:c r="AA53" s="93"/>
      <x:c r="AB53" s="95"/>
      <x:c r="AC53" s="92"/>
      <x:c r="AD53" s="92"/>
      <x:c r="AE53" s="94" t="str">
        <x:f>IF(A53="","",IF(Y53="Approved",IF(AD53="","Approved — Schedule","Scheduled / Linked"),IF(Y53="Rejected","Closed — Rejected",IF(Y53="Cancelled","Closed — Cancelled","Pending Approval"))))</x:f>
      </x:c>
      <x:c r="AF53" s="92"/>
    </x:row>
    <x:row r="54">
      <x:c r="A54" s="92"/>
      <x:c r="B54" s="93"/>
      <x:c r="C54" s="92"/>
      <x:c r="D54" s="92"/>
      <x:c r="E54" s="92"/>
      <x:c r="F54" s="92"/>
      <x:c r="G54" s="92"/>
      <x:c r="H54" s="94" t="str">
        <x:f>IFERROR(VLOOKUP(G54,'01 Staff Master'!$A$6:$M$105,2,FALSE),"")</x:f>
      </x:c>
      <x:c r="I54" s="94" t="str">
        <x:f>IFERROR(VLOOKUP(G54,'01 Staff Master'!$A$6:$M$105,5,FALSE),"")</x:f>
      </x:c>
      <x:c r="J54" s="92"/>
      <x:c r="K54" s="94" t="str">
        <x:f>IFERROR(VLOOKUP(J54,'02 Skill Catalogue'!$A$6:$K$95,4,FALSE),"")</x:f>
      </x:c>
      <x:c r="L54" s="94" t="str">
        <x:f>IF(OR(G54="",J54=""),"",IF(COUNTIFS('04 Assessment Log'!$D$6:$D$155,G54,'04 Assessment Log'!$J$6:$J$155,J54,'04 Assessment Log'!$AA$6:$AA$155,"Yes")=0,"",SUMIFS('04 Assessment Log'!$O$6:$O$155,'04 Assessment Log'!$D$6:$D$155,G54,'04 Assessment Log'!$J$6:$J$155,J54,'04 Assessment Log'!$AA$6:$AA$155,"Yes")))</x:f>
      </x:c>
      <x:c r="M54" s="92"/>
      <x:c r="N54" s="94" t="str">
        <x:f>IF(OR(L54="",M54=""),"",MAX(M54-L54,0))</x:f>
      </x:c>
      <x:c r="O54" s="92"/>
      <x:c r="P54" s="92"/>
      <x:c r="Q54" s="92"/>
      <x:c r="R54" s="92"/>
      <x:c r="S54" s="92"/>
      <x:c r="T54" s="93"/>
      <x:c r="U54" s="93"/>
      <x:c r="V54" s="95"/>
      <x:c r="W54" s="92"/>
      <x:c r="X54" s="92"/>
      <x:c r="Y54" s="92"/>
      <x:c r="Z54" s="92"/>
      <x:c r="AA54" s="93"/>
      <x:c r="AB54" s="95"/>
      <x:c r="AC54" s="92"/>
      <x:c r="AD54" s="92"/>
      <x:c r="AE54" s="94" t="str">
        <x:f>IF(A54="","",IF(Y54="Approved",IF(AD54="","Approved — Schedule","Scheduled / Linked"),IF(Y54="Rejected","Closed — Rejected",IF(Y54="Cancelled","Closed — Cancelled","Pending Approval"))))</x:f>
      </x:c>
      <x:c r="AF54" s="92"/>
    </x:row>
    <x:row r="55">
      <x:c r="A55" s="92"/>
      <x:c r="B55" s="93"/>
      <x:c r="C55" s="92"/>
      <x:c r="D55" s="92"/>
      <x:c r="E55" s="92"/>
      <x:c r="F55" s="92"/>
      <x:c r="G55" s="92"/>
      <x:c r="H55" s="94" t="str">
        <x:f>IFERROR(VLOOKUP(G55,'01 Staff Master'!$A$6:$M$105,2,FALSE),"")</x:f>
      </x:c>
      <x:c r="I55" s="94" t="str">
        <x:f>IFERROR(VLOOKUP(G55,'01 Staff Master'!$A$6:$M$105,5,FALSE),"")</x:f>
      </x:c>
      <x:c r="J55" s="92"/>
      <x:c r="K55" s="94" t="str">
        <x:f>IFERROR(VLOOKUP(J55,'02 Skill Catalogue'!$A$6:$K$95,4,FALSE),"")</x:f>
      </x:c>
      <x:c r="L55" s="94" t="str">
        <x:f>IF(OR(G55="",J55=""),"",IF(COUNTIFS('04 Assessment Log'!$D$6:$D$155,G55,'04 Assessment Log'!$J$6:$J$155,J55,'04 Assessment Log'!$AA$6:$AA$155,"Yes")=0,"",SUMIFS('04 Assessment Log'!$O$6:$O$155,'04 Assessment Log'!$D$6:$D$155,G55,'04 Assessment Log'!$J$6:$J$155,J55,'04 Assessment Log'!$AA$6:$AA$155,"Yes")))</x:f>
      </x:c>
      <x:c r="M55" s="92"/>
      <x:c r="N55" s="94" t="str">
        <x:f>IF(OR(L55="",M55=""),"",MAX(M55-L55,0))</x:f>
      </x:c>
      <x:c r="O55" s="92"/>
      <x:c r="P55" s="92"/>
      <x:c r="Q55" s="92"/>
      <x:c r="R55" s="92"/>
      <x:c r="S55" s="92"/>
      <x:c r="T55" s="93"/>
      <x:c r="U55" s="93"/>
      <x:c r="V55" s="95"/>
      <x:c r="W55" s="92"/>
      <x:c r="X55" s="92"/>
      <x:c r="Y55" s="92"/>
      <x:c r="Z55" s="92"/>
      <x:c r="AA55" s="93"/>
      <x:c r="AB55" s="95"/>
      <x:c r="AC55" s="92"/>
      <x:c r="AD55" s="92"/>
      <x:c r="AE55" s="94" t="str">
        <x:f>IF(A55="","",IF(Y55="Approved",IF(AD55="","Approved — Schedule","Scheduled / Linked"),IF(Y55="Rejected","Closed — Rejected",IF(Y55="Cancelled","Closed — Cancelled","Pending Approval"))))</x:f>
      </x:c>
      <x:c r="AF55" s="92"/>
    </x:row>
    <x:row r="56">
      <x:c r="A56" s="92"/>
      <x:c r="B56" s="93"/>
      <x:c r="C56" s="92"/>
      <x:c r="D56" s="92"/>
      <x:c r="E56" s="92"/>
      <x:c r="F56" s="92"/>
      <x:c r="G56" s="92"/>
      <x:c r="H56" s="94" t="str">
        <x:f>IFERROR(VLOOKUP(G56,'01 Staff Master'!$A$6:$M$105,2,FALSE),"")</x:f>
      </x:c>
      <x:c r="I56" s="94" t="str">
        <x:f>IFERROR(VLOOKUP(G56,'01 Staff Master'!$A$6:$M$105,5,FALSE),"")</x:f>
      </x:c>
      <x:c r="J56" s="92"/>
      <x:c r="K56" s="94" t="str">
        <x:f>IFERROR(VLOOKUP(J56,'02 Skill Catalogue'!$A$6:$K$95,4,FALSE),"")</x:f>
      </x:c>
      <x:c r="L56" s="94" t="str">
        <x:f>IF(OR(G56="",J56=""),"",IF(COUNTIFS('04 Assessment Log'!$D$6:$D$155,G56,'04 Assessment Log'!$J$6:$J$155,J56,'04 Assessment Log'!$AA$6:$AA$155,"Yes")=0,"",SUMIFS('04 Assessment Log'!$O$6:$O$155,'04 Assessment Log'!$D$6:$D$155,G56,'04 Assessment Log'!$J$6:$J$155,J56,'04 Assessment Log'!$AA$6:$AA$155,"Yes")))</x:f>
      </x:c>
      <x:c r="M56" s="92"/>
      <x:c r="N56" s="94" t="str">
        <x:f>IF(OR(L56="",M56=""),"",MAX(M56-L56,0))</x:f>
      </x:c>
      <x:c r="O56" s="92"/>
      <x:c r="P56" s="92"/>
      <x:c r="Q56" s="92"/>
      <x:c r="R56" s="92"/>
      <x:c r="S56" s="92"/>
      <x:c r="T56" s="93"/>
      <x:c r="U56" s="93"/>
      <x:c r="V56" s="95"/>
      <x:c r="W56" s="92"/>
      <x:c r="X56" s="92"/>
      <x:c r="Y56" s="92"/>
      <x:c r="Z56" s="92"/>
      <x:c r="AA56" s="93"/>
      <x:c r="AB56" s="95"/>
      <x:c r="AC56" s="92"/>
      <x:c r="AD56" s="92"/>
      <x:c r="AE56" s="94" t="str">
        <x:f>IF(A56="","",IF(Y56="Approved",IF(AD56="","Approved — Schedule","Scheduled / Linked"),IF(Y56="Rejected","Closed — Rejected",IF(Y56="Cancelled","Closed — Cancelled","Pending Approval"))))</x:f>
      </x:c>
      <x:c r="AF56" s="92"/>
    </x:row>
    <x:row r="57">
      <x:c r="A57" s="92"/>
      <x:c r="B57" s="93"/>
      <x:c r="C57" s="92"/>
      <x:c r="D57" s="92"/>
      <x:c r="E57" s="92"/>
      <x:c r="F57" s="92"/>
      <x:c r="G57" s="92"/>
      <x:c r="H57" s="94" t="str">
        <x:f>IFERROR(VLOOKUP(G57,'01 Staff Master'!$A$6:$M$105,2,FALSE),"")</x:f>
      </x:c>
      <x:c r="I57" s="94" t="str">
        <x:f>IFERROR(VLOOKUP(G57,'01 Staff Master'!$A$6:$M$105,5,FALSE),"")</x:f>
      </x:c>
      <x:c r="J57" s="92"/>
      <x:c r="K57" s="94" t="str">
        <x:f>IFERROR(VLOOKUP(J57,'02 Skill Catalogue'!$A$6:$K$95,4,FALSE),"")</x:f>
      </x:c>
      <x:c r="L57" s="94" t="str">
        <x:f>IF(OR(G57="",J57=""),"",IF(COUNTIFS('04 Assessment Log'!$D$6:$D$155,G57,'04 Assessment Log'!$J$6:$J$155,J57,'04 Assessment Log'!$AA$6:$AA$155,"Yes")=0,"",SUMIFS('04 Assessment Log'!$O$6:$O$155,'04 Assessment Log'!$D$6:$D$155,G57,'04 Assessment Log'!$J$6:$J$155,J57,'04 Assessment Log'!$AA$6:$AA$155,"Yes")))</x:f>
      </x:c>
      <x:c r="M57" s="92"/>
      <x:c r="N57" s="94" t="str">
        <x:f>IF(OR(L57="",M57=""),"",MAX(M57-L57,0))</x:f>
      </x:c>
      <x:c r="O57" s="92"/>
      <x:c r="P57" s="92"/>
      <x:c r="Q57" s="92"/>
      <x:c r="R57" s="92"/>
      <x:c r="S57" s="92"/>
      <x:c r="T57" s="93"/>
      <x:c r="U57" s="93"/>
      <x:c r="V57" s="95"/>
      <x:c r="W57" s="92"/>
      <x:c r="X57" s="92"/>
      <x:c r="Y57" s="92"/>
      <x:c r="Z57" s="92"/>
      <x:c r="AA57" s="93"/>
      <x:c r="AB57" s="95"/>
      <x:c r="AC57" s="92"/>
      <x:c r="AD57" s="92"/>
      <x:c r="AE57" s="94" t="str">
        <x:f>IF(A57="","",IF(Y57="Approved",IF(AD57="","Approved — Schedule","Scheduled / Linked"),IF(Y57="Rejected","Closed — Rejected",IF(Y57="Cancelled","Closed — Cancelled","Pending Approval"))))</x:f>
      </x:c>
      <x:c r="AF57" s="92"/>
    </x:row>
    <x:row r="58">
      <x:c r="A58" s="92"/>
      <x:c r="B58" s="93"/>
      <x:c r="C58" s="92"/>
      <x:c r="D58" s="92"/>
      <x:c r="E58" s="92"/>
      <x:c r="F58" s="92"/>
      <x:c r="G58" s="92"/>
      <x:c r="H58" s="94" t="str">
        <x:f>IFERROR(VLOOKUP(G58,'01 Staff Master'!$A$6:$M$105,2,FALSE),"")</x:f>
      </x:c>
      <x:c r="I58" s="94" t="str">
        <x:f>IFERROR(VLOOKUP(G58,'01 Staff Master'!$A$6:$M$105,5,FALSE),"")</x:f>
      </x:c>
      <x:c r="J58" s="92"/>
      <x:c r="K58" s="94" t="str">
        <x:f>IFERROR(VLOOKUP(J58,'02 Skill Catalogue'!$A$6:$K$95,4,FALSE),"")</x:f>
      </x:c>
      <x:c r="L58" s="94" t="str">
        <x:f>IF(OR(G58="",J58=""),"",IF(COUNTIFS('04 Assessment Log'!$D$6:$D$155,G58,'04 Assessment Log'!$J$6:$J$155,J58,'04 Assessment Log'!$AA$6:$AA$155,"Yes")=0,"",SUMIFS('04 Assessment Log'!$O$6:$O$155,'04 Assessment Log'!$D$6:$D$155,G58,'04 Assessment Log'!$J$6:$J$155,J58,'04 Assessment Log'!$AA$6:$AA$155,"Yes")))</x:f>
      </x:c>
      <x:c r="M58" s="92"/>
      <x:c r="N58" s="94" t="str">
        <x:f>IF(OR(L58="",M58=""),"",MAX(M58-L58,0))</x:f>
      </x:c>
      <x:c r="O58" s="92"/>
      <x:c r="P58" s="92"/>
      <x:c r="Q58" s="92"/>
      <x:c r="R58" s="92"/>
      <x:c r="S58" s="92"/>
      <x:c r="T58" s="93"/>
      <x:c r="U58" s="93"/>
      <x:c r="V58" s="95"/>
      <x:c r="W58" s="92"/>
      <x:c r="X58" s="92"/>
      <x:c r="Y58" s="92"/>
      <x:c r="Z58" s="92"/>
      <x:c r="AA58" s="93"/>
      <x:c r="AB58" s="95"/>
      <x:c r="AC58" s="92"/>
      <x:c r="AD58" s="92"/>
      <x:c r="AE58" s="94" t="str">
        <x:f>IF(A58="","",IF(Y58="Approved",IF(AD58="","Approved — Schedule","Scheduled / Linked"),IF(Y58="Rejected","Closed — Rejected",IF(Y58="Cancelled","Closed — Cancelled","Pending Approval"))))</x:f>
      </x:c>
      <x:c r="AF58" s="92"/>
    </x:row>
    <x:row r="59">
      <x:c r="A59" s="92"/>
      <x:c r="B59" s="93"/>
      <x:c r="C59" s="92"/>
      <x:c r="D59" s="92"/>
      <x:c r="E59" s="92"/>
      <x:c r="F59" s="92"/>
      <x:c r="G59" s="92"/>
      <x:c r="H59" s="94" t="str">
        <x:f>IFERROR(VLOOKUP(G59,'01 Staff Master'!$A$6:$M$105,2,FALSE),"")</x:f>
      </x:c>
      <x:c r="I59" s="94" t="str">
        <x:f>IFERROR(VLOOKUP(G59,'01 Staff Master'!$A$6:$M$105,5,FALSE),"")</x:f>
      </x:c>
      <x:c r="J59" s="92"/>
      <x:c r="K59" s="94" t="str">
        <x:f>IFERROR(VLOOKUP(J59,'02 Skill Catalogue'!$A$6:$K$95,4,FALSE),"")</x:f>
      </x:c>
      <x:c r="L59" s="94" t="str">
        <x:f>IF(OR(G59="",J59=""),"",IF(COUNTIFS('04 Assessment Log'!$D$6:$D$155,G59,'04 Assessment Log'!$J$6:$J$155,J59,'04 Assessment Log'!$AA$6:$AA$155,"Yes")=0,"",SUMIFS('04 Assessment Log'!$O$6:$O$155,'04 Assessment Log'!$D$6:$D$155,G59,'04 Assessment Log'!$J$6:$J$155,J59,'04 Assessment Log'!$AA$6:$AA$155,"Yes")))</x:f>
      </x:c>
      <x:c r="M59" s="92"/>
      <x:c r="N59" s="94" t="str">
        <x:f>IF(OR(L59="",M59=""),"",MAX(M59-L59,0))</x:f>
      </x:c>
      <x:c r="O59" s="92"/>
      <x:c r="P59" s="92"/>
      <x:c r="Q59" s="92"/>
      <x:c r="R59" s="92"/>
      <x:c r="S59" s="92"/>
      <x:c r="T59" s="93"/>
      <x:c r="U59" s="93"/>
      <x:c r="V59" s="95"/>
      <x:c r="W59" s="92"/>
      <x:c r="X59" s="92"/>
      <x:c r="Y59" s="92"/>
      <x:c r="Z59" s="92"/>
      <x:c r="AA59" s="93"/>
      <x:c r="AB59" s="95"/>
      <x:c r="AC59" s="92"/>
      <x:c r="AD59" s="92"/>
      <x:c r="AE59" s="94" t="str">
        <x:f>IF(A59="","",IF(Y59="Approved",IF(AD59="","Approved — Schedule","Scheduled / Linked"),IF(Y59="Rejected","Closed — Rejected",IF(Y59="Cancelled","Closed — Cancelled","Pending Approval"))))</x:f>
      </x:c>
      <x:c r="AF59" s="92"/>
    </x:row>
    <x:row r="60">
      <x:c r="A60" s="92"/>
      <x:c r="B60" s="93"/>
      <x:c r="C60" s="92"/>
      <x:c r="D60" s="92"/>
      <x:c r="E60" s="92"/>
      <x:c r="F60" s="92"/>
      <x:c r="G60" s="92"/>
      <x:c r="H60" s="94" t="str">
        <x:f>IFERROR(VLOOKUP(G60,'01 Staff Master'!$A$6:$M$105,2,FALSE),"")</x:f>
      </x:c>
      <x:c r="I60" s="94" t="str">
        <x:f>IFERROR(VLOOKUP(G60,'01 Staff Master'!$A$6:$M$105,5,FALSE),"")</x:f>
      </x:c>
      <x:c r="J60" s="92"/>
      <x:c r="K60" s="94" t="str">
        <x:f>IFERROR(VLOOKUP(J60,'02 Skill Catalogue'!$A$6:$K$95,4,FALSE),"")</x:f>
      </x:c>
      <x:c r="L60" s="94" t="str">
        <x:f>IF(OR(G60="",J60=""),"",IF(COUNTIFS('04 Assessment Log'!$D$6:$D$155,G60,'04 Assessment Log'!$J$6:$J$155,J60,'04 Assessment Log'!$AA$6:$AA$155,"Yes")=0,"",SUMIFS('04 Assessment Log'!$O$6:$O$155,'04 Assessment Log'!$D$6:$D$155,G60,'04 Assessment Log'!$J$6:$J$155,J60,'04 Assessment Log'!$AA$6:$AA$155,"Yes")))</x:f>
      </x:c>
      <x:c r="M60" s="92"/>
      <x:c r="N60" s="94" t="str">
        <x:f>IF(OR(L60="",M60=""),"",MAX(M60-L60,0))</x:f>
      </x:c>
      <x:c r="O60" s="92"/>
      <x:c r="P60" s="92"/>
      <x:c r="Q60" s="92"/>
      <x:c r="R60" s="92"/>
      <x:c r="S60" s="92"/>
      <x:c r="T60" s="93"/>
      <x:c r="U60" s="93"/>
      <x:c r="V60" s="95"/>
      <x:c r="W60" s="92"/>
      <x:c r="X60" s="92"/>
      <x:c r="Y60" s="92"/>
      <x:c r="Z60" s="92"/>
      <x:c r="AA60" s="93"/>
      <x:c r="AB60" s="95"/>
      <x:c r="AC60" s="92"/>
      <x:c r="AD60" s="92"/>
      <x:c r="AE60" s="94" t="str">
        <x:f>IF(A60="","",IF(Y60="Approved",IF(AD60="","Approved — Schedule","Scheduled / Linked"),IF(Y60="Rejected","Closed — Rejected",IF(Y60="Cancelled","Closed — Cancelled","Pending Approval"))))</x:f>
      </x:c>
      <x:c r="AF60" s="92"/>
    </x:row>
    <x:row r="61">
      <x:c r="A61" s="92"/>
      <x:c r="B61" s="93"/>
      <x:c r="C61" s="92"/>
      <x:c r="D61" s="92"/>
      <x:c r="E61" s="92"/>
      <x:c r="F61" s="92"/>
      <x:c r="G61" s="92"/>
      <x:c r="H61" s="94" t="str">
        <x:f>IFERROR(VLOOKUP(G61,'01 Staff Master'!$A$6:$M$105,2,FALSE),"")</x:f>
      </x:c>
      <x:c r="I61" s="94" t="str">
        <x:f>IFERROR(VLOOKUP(G61,'01 Staff Master'!$A$6:$M$105,5,FALSE),"")</x:f>
      </x:c>
      <x:c r="J61" s="92"/>
      <x:c r="K61" s="94" t="str">
        <x:f>IFERROR(VLOOKUP(J61,'02 Skill Catalogue'!$A$6:$K$95,4,FALSE),"")</x:f>
      </x:c>
      <x:c r="L61" s="94" t="str">
        <x:f>IF(OR(G61="",J61=""),"",IF(COUNTIFS('04 Assessment Log'!$D$6:$D$155,G61,'04 Assessment Log'!$J$6:$J$155,J61,'04 Assessment Log'!$AA$6:$AA$155,"Yes")=0,"",SUMIFS('04 Assessment Log'!$O$6:$O$155,'04 Assessment Log'!$D$6:$D$155,G61,'04 Assessment Log'!$J$6:$J$155,J61,'04 Assessment Log'!$AA$6:$AA$155,"Yes")))</x:f>
      </x:c>
      <x:c r="M61" s="92"/>
      <x:c r="N61" s="94" t="str">
        <x:f>IF(OR(L61="",M61=""),"",MAX(M61-L61,0))</x:f>
      </x:c>
      <x:c r="O61" s="92"/>
      <x:c r="P61" s="92"/>
      <x:c r="Q61" s="92"/>
      <x:c r="R61" s="92"/>
      <x:c r="S61" s="92"/>
      <x:c r="T61" s="93"/>
      <x:c r="U61" s="93"/>
      <x:c r="V61" s="95"/>
      <x:c r="W61" s="92"/>
      <x:c r="X61" s="92"/>
      <x:c r="Y61" s="92"/>
      <x:c r="Z61" s="92"/>
      <x:c r="AA61" s="93"/>
      <x:c r="AB61" s="95"/>
      <x:c r="AC61" s="92"/>
      <x:c r="AD61" s="92"/>
      <x:c r="AE61" s="94" t="str">
        <x:f>IF(A61="","",IF(Y61="Approved",IF(AD61="","Approved — Schedule","Scheduled / Linked"),IF(Y61="Rejected","Closed — Rejected",IF(Y61="Cancelled","Closed — Cancelled","Pending Approval"))))</x:f>
      </x:c>
      <x:c r="AF61" s="92"/>
    </x:row>
    <x:row r="62">
      <x:c r="A62" s="92"/>
      <x:c r="B62" s="93"/>
      <x:c r="C62" s="92"/>
      <x:c r="D62" s="92"/>
      <x:c r="E62" s="92"/>
      <x:c r="F62" s="92"/>
      <x:c r="G62" s="92"/>
      <x:c r="H62" s="94" t="str">
        <x:f>IFERROR(VLOOKUP(G62,'01 Staff Master'!$A$6:$M$105,2,FALSE),"")</x:f>
      </x:c>
      <x:c r="I62" s="94" t="str">
        <x:f>IFERROR(VLOOKUP(G62,'01 Staff Master'!$A$6:$M$105,5,FALSE),"")</x:f>
      </x:c>
      <x:c r="J62" s="92"/>
      <x:c r="K62" s="94" t="str">
        <x:f>IFERROR(VLOOKUP(J62,'02 Skill Catalogue'!$A$6:$K$95,4,FALSE),"")</x:f>
      </x:c>
      <x:c r="L62" s="94" t="str">
        <x:f>IF(OR(G62="",J62=""),"",IF(COUNTIFS('04 Assessment Log'!$D$6:$D$155,G62,'04 Assessment Log'!$J$6:$J$155,J62,'04 Assessment Log'!$AA$6:$AA$155,"Yes")=0,"",SUMIFS('04 Assessment Log'!$O$6:$O$155,'04 Assessment Log'!$D$6:$D$155,G62,'04 Assessment Log'!$J$6:$J$155,J62,'04 Assessment Log'!$AA$6:$AA$155,"Yes")))</x:f>
      </x:c>
      <x:c r="M62" s="92"/>
      <x:c r="N62" s="94" t="str">
        <x:f>IF(OR(L62="",M62=""),"",MAX(M62-L62,0))</x:f>
      </x:c>
      <x:c r="O62" s="92"/>
      <x:c r="P62" s="92"/>
      <x:c r="Q62" s="92"/>
      <x:c r="R62" s="92"/>
      <x:c r="S62" s="92"/>
      <x:c r="T62" s="93"/>
      <x:c r="U62" s="93"/>
      <x:c r="V62" s="95"/>
      <x:c r="W62" s="92"/>
      <x:c r="X62" s="92"/>
      <x:c r="Y62" s="92"/>
      <x:c r="Z62" s="92"/>
      <x:c r="AA62" s="93"/>
      <x:c r="AB62" s="95"/>
      <x:c r="AC62" s="92"/>
      <x:c r="AD62" s="92"/>
      <x:c r="AE62" s="94" t="str">
        <x:f>IF(A62="","",IF(Y62="Approved",IF(AD62="","Approved — Schedule","Scheduled / Linked"),IF(Y62="Rejected","Closed — Rejected",IF(Y62="Cancelled","Closed — Cancelled","Pending Approval"))))</x:f>
      </x:c>
      <x:c r="AF62" s="92"/>
    </x:row>
    <x:row r="63">
      <x:c r="A63" s="92"/>
      <x:c r="B63" s="93"/>
      <x:c r="C63" s="92"/>
      <x:c r="D63" s="92"/>
      <x:c r="E63" s="92"/>
      <x:c r="F63" s="92"/>
      <x:c r="G63" s="92"/>
      <x:c r="H63" s="94" t="str">
        <x:f>IFERROR(VLOOKUP(G63,'01 Staff Master'!$A$6:$M$105,2,FALSE),"")</x:f>
      </x:c>
      <x:c r="I63" s="94" t="str">
        <x:f>IFERROR(VLOOKUP(G63,'01 Staff Master'!$A$6:$M$105,5,FALSE),"")</x:f>
      </x:c>
      <x:c r="J63" s="92"/>
      <x:c r="K63" s="94" t="str">
        <x:f>IFERROR(VLOOKUP(J63,'02 Skill Catalogue'!$A$6:$K$95,4,FALSE),"")</x:f>
      </x:c>
      <x:c r="L63" s="94" t="str">
        <x:f>IF(OR(G63="",J63=""),"",IF(COUNTIFS('04 Assessment Log'!$D$6:$D$155,G63,'04 Assessment Log'!$J$6:$J$155,J63,'04 Assessment Log'!$AA$6:$AA$155,"Yes")=0,"",SUMIFS('04 Assessment Log'!$O$6:$O$155,'04 Assessment Log'!$D$6:$D$155,G63,'04 Assessment Log'!$J$6:$J$155,J63,'04 Assessment Log'!$AA$6:$AA$155,"Yes")))</x:f>
      </x:c>
      <x:c r="M63" s="92"/>
      <x:c r="N63" s="94" t="str">
        <x:f>IF(OR(L63="",M63=""),"",MAX(M63-L63,0))</x:f>
      </x:c>
      <x:c r="O63" s="92"/>
      <x:c r="P63" s="92"/>
      <x:c r="Q63" s="92"/>
      <x:c r="R63" s="92"/>
      <x:c r="S63" s="92"/>
      <x:c r="T63" s="93"/>
      <x:c r="U63" s="93"/>
      <x:c r="V63" s="95"/>
      <x:c r="W63" s="92"/>
      <x:c r="X63" s="92"/>
      <x:c r="Y63" s="92"/>
      <x:c r="Z63" s="92"/>
      <x:c r="AA63" s="93"/>
      <x:c r="AB63" s="95"/>
      <x:c r="AC63" s="92"/>
      <x:c r="AD63" s="92"/>
      <x:c r="AE63" s="94" t="str">
        <x:f>IF(A63="","",IF(Y63="Approved",IF(AD63="","Approved — Schedule","Scheduled / Linked"),IF(Y63="Rejected","Closed — Rejected",IF(Y63="Cancelled","Closed — Cancelled","Pending Approval"))))</x:f>
      </x:c>
      <x:c r="AF63" s="92"/>
    </x:row>
    <x:row r="64">
      <x:c r="A64" s="92"/>
      <x:c r="B64" s="93"/>
      <x:c r="C64" s="92"/>
      <x:c r="D64" s="92"/>
      <x:c r="E64" s="92"/>
      <x:c r="F64" s="92"/>
      <x:c r="G64" s="92"/>
      <x:c r="H64" s="94" t="str">
        <x:f>IFERROR(VLOOKUP(G64,'01 Staff Master'!$A$6:$M$105,2,FALSE),"")</x:f>
      </x:c>
      <x:c r="I64" s="94" t="str">
        <x:f>IFERROR(VLOOKUP(G64,'01 Staff Master'!$A$6:$M$105,5,FALSE),"")</x:f>
      </x:c>
      <x:c r="J64" s="92"/>
      <x:c r="K64" s="94" t="str">
        <x:f>IFERROR(VLOOKUP(J64,'02 Skill Catalogue'!$A$6:$K$95,4,FALSE),"")</x:f>
      </x:c>
      <x:c r="L64" s="94" t="str">
        <x:f>IF(OR(G64="",J64=""),"",IF(COUNTIFS('04 Assessment Log'!$D$6:$D$155,G64,'04 Assessment Log'!$J$6:$J$155,J64,'04 Assessment Log'!$AA$6:$AA$155,"Yes")=0,"",SUMIFS('04 Assessment Log'!$O$6:$O$155,'04 Assessment Log'!$D$6:$D$155,G64,'04 Assessment Log'!$J$6:$J$155,J64,'04 Assessment Log'!$AA$6:$AA$155,"Yes")))</x:f>
      </x:c>
      <x:c r="M64" s="92"/>
      <x:c r="N64" s="94" t="str">
        <x:f>IF(OR(L64="",M64=""),"",MAX(M64-L64,0))</x:f>
      </x:c>
      <x:c r="O64" s="92"/>
      <x:c r="P64" s="92"/>
      <x:c r="Q64" s="92"/>
      <x:c r="R64" s="92"/>
      <x:c r="S64" s="92"/>
      <x:c r="T64" s="93"/>
      <x:c r="U64" s="93"/>
      <x:c r="V64" s="95"/>
      <x:c r="W64" s="92"/>
      <x:c r="X64" s="92"/>
      <x:c r="Y64" s="92"/>
      <x:c r="Z64" s="92"/>
      <x:c r="AA64" s="93"/>
      <x:c r="AB64" s="95"/>
      <x:c r="AC64" s="92"/>
      <x:c r="AD64" s="92"/>
      <x:c r="AE64" s="94" t="str">
        <x:f>IF(A64="","",IF(Y64="Approved",IF(AD64="","Approved — Schedule","Scheduled / Linked"),IF(Y64="Rejected","Closed — Rejected",IF(Y64="Cancelled","Closed — Cancelled","Pending Approval"))))</x:f>
      </x:c>
      <x:c r="AF64" s="92"/>
    </x:row>
    <x:row r="65">
      <x:c r="A65" s="92"/>
      <x:c r="B65" s="93"/>
      <x:c r="C65" s="92"/>
      <x:c r="D65" s="92"/>
      <x:c r="E65" s="92"/>
      <x:c r="F65" s="92"/>
      <x:c r="G65" s="92"/>
      <x:c r="H65" s="94" t="str">
        <x:f>IFERROR(VLOOKUP(G65,'01 Staff Master'!$A$6:$M$105,2,FALSE),"")</x:f>
      </x:c>
      <x:c r="I65" s="94" t="str">
        <x:f>IFERROR(VLOOKUP(G65,'01 Staff Master'!$A$6:$M$105,5,FALSE),"")</x:f>
      </x:c>
      <x:c r="J65" s="92"/>
      <x:c r="K65" s="94" t="str">
        <x:f>IFERROR(VLOOKUP(J65,'02 Skill Catalogue'!$A$6:$K$95,4,FALSE),"")</x:f>
      </x:c>
      <x:c r="L65" s="94" t="str">
        <x:f>IF(OR(G65="",J65=""),"",IF(COUNTIFS('04 Assessment Log'!$D$6:$D$155,G65,'04 Assessment Log'!$J$6:$J$155,J65,'04 Assessment Log'!$AA$6:$AA$155,"Yes")=0,"",SUMIFS('04 Assessment Log'!$O$6:$O$155,'04 Assessment Log'!$D$6:$D$155,G65,'04 Assessment Log'!$J$6:$J$155,J65,'04 Assessment Log'!$AA$6:$AA$155,"Yes")))</x:f>
      </x:c>
      <x:c r="M65" s="92"/>
      <x:c r="N65" s="94" t="str">
        <x:f>IF(OR(L65="",M65=""),"",MAX(M65-L65,0))</x:f>
      </x:c>
      <x:c r="O65" s="92"/>
      <x:c r="P65" s="92"/>
      <x:c r="Q65" s="92"/>
      <x:c r="R65" s="92"/>
      <x:c r="S65" s="92"/>
      <x:c r="T65" s="93"/>
      <x:c r="U65" s="93"/>
      <x:c r="V65" s="95"/>
      <x:c r="W65" s="92"/>
      <x:c r="X65" s="92"/>
      <x:c r="Y65" s="92"/>
      <x:c r="Z65" s="92"/>
      <x:c r="AA65" s="93"/>
      <x:c r="AB65" s="95"/>
      <x:c r="AC65" s="92"/>
      <x:c r="AD65" s="92"/>
      <x:c r="AE65" s="94" t="str">
        <x:f>IF(A65="","",IF(Y65="Approved",IF(AD65="","Approved — Schedule","Scheduled / Linked"),IF(Y65="Rejected","Closed — Rejected",IF(Y65="Cancelled","Closed — Cancelled","Pending Approval"))))</x:f>
      </x:c>
      <x:c r="AF65" s="92"/>
    </x:row>
    <x:row r="66">
      <x:c r="A66" s="92"/>
      <x:c r="B66" s="93"/>
      <x:c r="C66" s="92"/>
      <x:c r="D66" s="92"/>
      <x:c r="E66" s="92"/>
      <x:c r="F66" s="92"/>
      <x:c r="G66" s="92"/>
      <x:c r="H66" s="94" t="str">
        <x:f>IFERROR(VLOOKUP(G66,'01 Staff Master'!$A$6:$M$105,2,FALSE),"")</x:f>
      </x:c>
      <x:c r="I66" s="94" t="str">
        <x:f>IFERROR(VLOOKUP(G66,'01 Staff Master'!$A$6:$M$105,5,FALSE),"")</x:f>
      </x:c>
      <x:c r="J66" s="92"/>
      <x:c r="K66" s="94" t="str">
        <x:f>IFERROR(VLOOKUP(J66,'02 Skill Catalogue'!$A$6:$K$95,4,FALSE),"")</x:f>
      </x:c>
      <x:c r="L66" s="94" t="str">
        <x:f>IF(OR(G66="",J66=""),"",IF(COUNTIFS('04 Assessment Log'!$D$6:$D$155,G66,'04 Assessment Log'!$J$6:$J$155,J66,'04 Assessment Log'!$AA$6:$AA$155,"Yes")=0,"",SUMIFS('04 Assessment Log'!$O$6:$O$155,'04 Assessment Log'!$D$6:$D$155,G66,'04 Assessment Log'!$J$6:$J$155,J66,'04 Assessment Log'!$AA$6:$AA$155,"Yes")))</x:f>
      </x:c>
      <x:c r="M66" s="92"/>
      <x:c r="N66" s="94" t="str">
        <x:f>IF(OR(L66="",M66=""),"",MAX(M66-L66,0))</x:f>
      </x:c>
      <x:c r="O66" s="92"/>
      <x:c r="P66" s="92"/>
      <x:c r="Q66" s="92"/>
      <x:c r="R66" s="92"/>
      <x:c r="S66" s="92"/>
      <x:c r="T66" s="93"/>
      <x:c r="U66" s="93"/>
      <x:c r="V66" s="95"/>
      <x:c r="W66" s="92"/>
      <x:c r="X66" s="92"/>
      <x:c r="Y66" s="92"/>
      <x:c r="Z66" s="92"/>
      <x:c r="AA66" s="93"/>
      <x:c r="AB66" s="95"/>
      <x:c r="AC66" s="92"/>
      <x:c r="AD66" s="92"/>
      <x:c r="AE66" s="94" t="str">
        <x:f>IF(A66="","",IF(Y66="Approved",IF(AD66="","Approved — Schedule","Scheduled / Linked"),IF(Y66="Rejected","Closed — Rejected",IF(Y66="Cancelled","Closed — Cancelled","Pending Approval"))))</x:f>
      </x:c>
      <x:c r="AF66" s="92"/>
    </x:row>
    <x:row r="67">
      <x:c r="A67" s="92"/>
      <x:c r="B67" s="93"/>
      <x:c r="C67" s="92"/>
      <x:c r="D67" s="92"/>
      <x:c r="E67" s="92"/>
      <x:c r="F67" s="92"/>
      <x:c r="G67" s="92"/>
      <x:c r="H67" s="94" t="str">
        <x:f>IFERROR(VLOOKUP(G67,'01 Staff Master'!$A$6:$M$105,2,FALSE),"")</x:f>
      </x:c>
      <x:c r="I67" s="94" t="str">
        <x:f>IFERROR(VLOOKUP(G67,'01 Staff Master'!$A$6:$M$105,5,FALSE),"")</x:f>
      </x:c>
      <x:c r="J67" s="92"/>
      <x:c r="K67" s="94" t="str">
        <x:f>IFERROR(VLOOKUP(J67,'02 Skill Catalogue'!$A$6:$K$95,4,FALSE),"")</x:f>
      </x:c>
      <x:c r="L67" s="94" t="str">
        <x:f>IF(OR(G67="",J67=""),"",IF(COUNTIFS('04 Assessment Log'!$D$6:$D$155,G67,'04 Assessment Log'!$J$6:$J$155,J67,'04 Assessment Log'!$AA$6:$AA$155,"Yes")=0,"",SUMIFS('04 Assessment Log'!$O$6:$O$155,'04 Assessment Log'!$D$6:$D$155,G67,'04 Assessment Log'!$J$6:$J$155,J67,'04 Assessment Log'!$AA$6:$AA$155,"Yes")))</x:f>
      </x:c>
      <x:c r="M67" s="92"/>
      <x:c r="N67" s="94" t="str">
        <x:f>IF(OR(L67="",M67=""),"",MAX(M67-L67,0))</x:f>
      </x:c>
      <x:c r="O67" s="92"/>
      <x:c r="P67" s="92"/>
      <x:c r="Q67" s="92"/>
      <x:c r="R67" s="92"/>
      <x:c r="S67" s="92"/>
      <x:c r="T67" s="93"/>
      <x:c r="U67" s="93"/>
      <x:c r="V67" s="95"/>
      <x:c r="W67" s="92"/>
      <x:c r="X67" s="92"/>
      <x:c r="Y67" s="92"/>
      <x:c r="Z67" s="92"/>
      <x:c r="AA67" s="93"/>
      <x:c r="AB67" s="95"/>
      <x:c r="AC67" s="92"/>
      <x:c r="AD67" s="92"/>
      <x:c r="AE67" s="94" t="str">
        <x:f>IF(A67="","",IF(Y67="Approved",IF(AD67="","Approved — Schedule","Scheduled / Linked"),IF(Y67="Rejected","Closed — Rejected",IF(Y67="Cancelled","Closed — Cancelled","Pending Approval"))))</x:f>
      </x:c>
      <x:c r="AF67" s="92"/>
    </x:row>
    <x:row r="68">
      <x:c r="A68" s="92"/>
      <x:c r="B68" s="93"/>
      <x:c r="C68" s="92"/>
      <x:c r="D68" s="92"/>
      <x:c r="E68" s="92"/>
      <x:c r="F68" s="92"/>
      <x:c r="G68" s="92"/>
      <x:c r="H68" s="94" t="str">
        <x:f>IFERROR(VLOOKUP(G68,'01 Staff Master'!$A$6:$M$105,2,FALSE),"")</x:f>
      </x:c>
      <x:c r="I68" s="94" t="str">
        <x:f>IFERROR(VLOOKUP(G68,'01 Staff Master'!$A$6:$M$105,5,FALSE),"")</x:f>
      </x:c>
      <x:c r="J68" s="92"/>
      <x:c r="K68" s="94" t="str">
        <x:f>IFERROR(VLOOKUP(J68,'02 Skill Catalogue'!$A$6:$K$95,4,FALSE),"")</x:f>
      </x:c>
      <x:c r="L68" s="94" t="str">
        <x:f>IF(OR(G68="",J68=""),"",IF(COUNTIFS('04 Assessment Log'!$D$6:$D$155,G68,'04 Assessment Log'!$J$6:$J$155,J68,'04 Assessment Log'!$AA$6:$AA$155,"Yes")=0,"",SUMIFS('04 Assessment Log'!$O$6:$O$155,'04 Assessment Log'!$D$6:$D$155,G68,'04 Assessment Log'!$J$6:$J$155,J68,'04 Assessment Log'!$AA$6:$AA$155,"Yes")))</x:f>
      </x:c>
      <x:c r="M68" s="92"/>
      <x:c r="N68" s="94" t="str">
        <x:f>IF(OR(L68="",M68=""),"",MAX(M68-L68,0))</x:f>
      </x:c>
      <x:c r="O68" s="92"/>
      <x:c r="P68" s="92"/>
      <x:c r="Q68" s="92"/>
      <x:c r="R68" s="92"/>
      <x:c r="S68" s="92"/>
      <x:c r="T68" s="93"/>
      <x:c r="U68" s="93"/>
      <x:c r="V68" s="95"/>
      <x:c r="W68" s="92"/>
      <x:c r="X68" s="92"/>
      <x:c r="Y68" s="92"/>
      <x:c r="Z68" s="92"/>
      <x:c r="AA68" s="93"/>
      <x:c r="AB68" s="95"/>
      <x:c r="AC68" s="92"/>
      <x:c r="AD68" s="92"/>
      <x:c r="AE68" s="94" t="str">
        <x:f>IF(A68="","",IF(Y68="Approved",IF(AD68="","Approved — Schedule","Scheduled / Linked"),IF(Y68="Rejected","Closed — Rejected",IF(Y68="Cancelled","Closed — Cancelled","Pending Approval"))))</x:f>
      </x:c>
      <x:c r="AF68" s="92"/>
    </x:row>
    <x:row r="69">
      <x:c r="A69" s="92"/>
      <x:c r="B69" s="93"/>
      <x:c r="C69" s="92"/>
      <x:c r="D69" s="92"/>
      <x:c r="E69" s="92"/>
      <x:c r="F69" s="92"/>
      <x:c r="G69" s="92"/>
      <x:c r="H69" s="94" t="str">
        <x:f>IFERROR(VLOOKUP(G69,'01 Staff Master'!$A$6:$M$105,2,FALSE),"")</x:f>
      </x:c>
      <x:c r="I69" s="94" t="str">
        <x:f>IFERROR(VLOOKUP(G69,'01 Staff Master'!$A$6:$M$105,5,FALSE),"")</x:f>
      </x:c>
      <x:c r="J69" s="92"/>
      <x:c r="K69" s="94" t="str">
        <x:f>IFERROR(VLOOKUP(J69,'02 Skill Catalogue'!$A$6:$K$95,4,FALSE),"")</x:f>
      </x:c>
      <x:c r="L69" s="94" t="str">
        <x:f>IF(OR(G69="",J69=""),"",IF(COUNTIFS('04 Assessment Log'!$D$6:$D$155,G69,'04 Assessment Log'!$J$6:$J$155,J69,'04 Assessment Log'!$AA$6:$AA$155,"Yes")=0,"",SUMIFS('04 Assessment Log'!$O$6:$O$155,'04 Assessment Log'!$D$6:$D$155,G69,'04 Assessment Log'!$J$6:$J$155,J69,'04 Assessment Log'!$AA$6:$AA$155,"Yes")))</x:f>
      </x:c>
      <x:c r="M69" s="92"/>
      <x:c r="N69" s="94" t="str">
        <x:f>IF(OR(L69="",M69=""),"",MAX(M69-L69,0))</x:f>
      </x:c>
      <x:c r="O69" s="92"/>
      <x:c r="P69" s="92"/>
      <x:c r="Q69" s="92"/>
      <x:c r="R69" s="92"/>
      <x:c r="S69" s="92"/>
      <x:c r="T69" s="93"/>
      <x:c r="U69" s="93"/>
      <x:c r="V69" s="95"/>
      <x:c r="W69" s="92"/>
      <x:c r="X69" s="92"/>
      <x:c r="Y69" s="92"/>
      <x:c r="Z69" s="92"/>
      <x:c r="AA69" s="93"/>
      <x:c r="AB69" s="95"/>
      <x:c r="AC69" s="92"/>
      <x:c r="AD69" s="92"/>
      <x:c r="AE69" s="94" t="str">
        <x:f>IF(A69="","",IF(Y69="Approved",IF(AD69="","Approved — Schedule","Scheduled / Linked"),IF(Y69="Rejected","Closed — Rejected",IF(Y69="Cancelled","Closed — Cancelled","Pending Approval"))))</x:f>
      </x:c>
      <x:c r="AF69" s="92"/>
    </x:row>
    <x:row r="70">
      <x:c r="A70" s="92"/>
      <x:c r="B70" s="93"/>
      <x:c r="C70" s="92"/>
      <x:c r="D70" s="92"/>
      <x:c r="E70" s="92"/>
      <x:c r="F70" s="92"/>
      <x:c r="G70" s="92"/>
      <x:c r="H70" s="94" t="str">
        <x:f>IFERROR(VLOOKUP(G70,'01 Staff Master'!$A$6:$M$105,2,FALSE),"")</x:f>
      </x:c>
      <x:c r="I70" s="94" t="str">
        <x:f>IFERROR(VLOOKUP(G70,'01 Staff Master'!$A$6:$M$105,5,FALSE),"")</x:f>
      </x:c>
      <x:c r="J70" s="92"/>
      <x:c r="K70" s="94" t="str">
        <x:f>IFERROR(VLOOKUP(J70,'02 Skill Catalogue'!$A$6:$K$95,4,FALSE),"")</x:f>
      </x:c>
      <x:c r="L70" s="94" t="str">
        <x:f>IF(OR(G70="",J70=""),"",IF(COUNTIFS('04 Assessment Log'!$D$6:$D$155,G70,'04 Assessment Log'!$J$6:$J$155,J70,'04 Assessment Log'!$AA$6:$AA$155,"Yes")=0,"",SUMIFS('04 Assessment Log'!$O$6:$O$155,'04 Assessment Log'!$D$6:$D$155,G70,'04 Assessment Log'!$J$6:$J$155,J70,'04 Assessment Log'!$AA$6:$AA$155,"Yes")))</x:f>
      </x:c>
      <x:c r="M70" s="92"/>
      <x:c r="N70" s="94" t="str">
        <x:f>IF(OR(L70="",M70=""),"",MAX(M70-L70,0))</x:f>
      </x:c>
      <x:c r="O70" s="92"/>
      <x:c r="P70" s="92"/>
      <x:c r="Q70" s="92"/>
      <x:c r="R70" s="92"/>
      <x:c r="S70" s="92"/>
      <x:c r="T70" s="93"/>
      <x:c r="U70" s="93"/>
      <x:c r="V70" s="95"/>
      <x:c r="W70" s="92"/>
      <x:c r="X70" s="92"/>
      <x:c r="Y70" s="92"/>
      <x:c r="Z70" s="92"/>
      <x:c r="AA70" s="93"/>
      <x:c r="AB70" s="95"/>
      <x:c r="AC70" s="92"/>
      <x:c r="AD70" s="92"/>
      <x:c r="AE70" s="94" t="str">
        <x:f>IF(A70="","",IF(Y70="Approved",IF(AD70="","Approved — Schedule","Scheduled / Linked"),IF(Y70="Rejected","Closed — Rejected",IF(Y70="Cancelled","Closed — Cancelled","Pending Approval"))))</x:f>
      </x:c>
      <x:c r="AF70" s="92"/>
    </x:row>
    <x:row r="71">
      <x:c r="A71" s="92"/>
      <x:c r="B71" s="93"/>
      <x:c r="C71" s="92"/>
      <x:c r="D71" s="92"/>
      <x:c r="E71" s="92"/>
      <x:c r="F71" s="92"/>
      <x:c r="G71" s="92"/>
      <x:c r="H71" s="94" t="str">
        <x:f>IFERROR(VLOOKUP(G71,'01 Staff Master'!$A$6:$M$105,2,FALSE),"")</x:f>
      </x:c>
      <x:c r="I71" s="94" t="str">
        <x:f>IFERROR(VLOOKUP(G71,'01 Staff Master'!$A$6:$M$105,5,FALSE),"")</x:f>
      </x:c>
      <x:c r="J71" s="92"/>
      <x:c r="K71" s="94" t="str">
        <x:f>IFERROR(VLOOKUP(J71,'02 Skill Catalogue'!$A$6:$K$95,4,FALSE),"")</x:f>
      </x:c>
      <x:c r="L71" s="94" t="str">
        <x:f>IF(OR(G71="",J71=""),"",IF(COUNTIFS('04 Assessment Log'!$D$6:$D$155,G71,'04 Assessment Log'!$J$6:$J$155,J71,'04 Assessment Log'!$AA$6:$AA$155,"Yes")=0,"",SUMIFS('04 Assessment Log'!$O$6:$O$155,'04 Assessment Log'!$D$6:$D$155,G71,'04 Assessment Log'!$J$6:$J$155,J71,'04 Assessment Log'!$AA$6:$AA$155,"Yes")))</x:f>
      </x:c>
      <x:c r="M71" s="92"/>
      <x:c r="N71" s="94" t="str">
        <x:f>IF(OR(L71="",M71=""),"",MAX(M71-L71,0))</x:f>
      </x:c>
      <x:c r="O71" s="92"/>
      <x:c r="P71" s="92"/>
      <x:c r="Q71" s="92"/>
      <x:c r="R71" s="92"/>
      <x:c r="S71" s="92"/>
      <x:c r="T71" s="93"/>
      <x:c r="U71" s="93"/>
      <x:c r="V71" s="95"/>
      <x:c r="W71" s="92"/>
      <x:c r="X71" s="92"/>
      <x:c r="Y71" s="92"/>
      <x:c r="Z71" s="92"/>
      <x:c r="AA71" s="93"/>
      <x:c r="AB71" s="95"/>
      <x:c r="AC71" s="92"/>
      <x:c r="AD71" s="92"/>
      <x:c r="AE71" s="94" t="str">
        <x:f>IF(A71="","",IF(Y71="Approved",IF(AD71="","Approved — Schedule","Scheduled / Linked"),IF(Y71="Rejected","Closed — Rejected",IF(Y71="Cancelled","Closed — Cancelled","Pending Approval"))))</x:f>
      </x:c>
      <x:c r="AF71" s="92"/>
    </x:row>
    <x:row r="72">
      <x:c r="A72" s="92"/>
      <x:c r="B72" s="93"/>
      <x:c r="C72" s="92"/>
      <x:c r="D72" s="92"/>
      <x:c r="E72" s="92"/>
      <x:c r="F72" s="92"/>
      <x:c r="G72" s="92"/>
      <x:c r="H72" s="94" t="str">
        <x:f>IFERROR(VLOOKUP(G72,'01 Staff Master'!$A$6:$M$105,2,FALSE),"")</x:f>
      </x:c>
      <x:c r="I72" s="94" t="str">
        <x:f>IFERROR(VLOOKUP(G72,'01 Staff Master'!$A$6:$M$105,5,FALSE),"")</x:f>
      </x:c>
      <x:c r="J72" s="92"/>
      <x:c r="K72" s="94" t="str">
        <x:f>IFERROR(VLOOKUP(J72,'02 Skill Catalogue'!$A$6:$K$95,4,FALSE),"")</x:f>
      </x:c>
      <x:c r="L72" s="94" t="str">
        <x:f>IF(OR(G72="",J72=""),"",IF(COUNTIFS('04 Assessment Log'!$D$6:$D$155,G72,'04 Assessment Log'!$J$6:$J$155,J72,'04 Assessment Log'!$AA$6:$AA$155,"Yes")=0,"",SUMIFS('04 Assessment Log'!$O$6:$O$155,'04 Assessment Log'!$D$6:$D$155,G72,'04 Assessment Log'!$J$6:$J$155,J72,'04 Assessment Log'!$AA$6:$AA$155,"Yes")))</x:f>
      </x:c>
      <x:c r="M72" s="92"/>
      <x:c r="N72" s="94" t="str">
        <x:f>IF(OR(L72="",M72=""),"",MAX(M72-L72,0))</x:f>
      </x:c>
      <x:c r="O72" s="92"/>
      <x:c r="P72" s="92"/>
      <x:c r="Q72" s="92"/>
      <x:c r="R72" s="92"/>
      <x:c r="S72" s="92"/>
      <x:c r="T72" s="93"/>
      <x:c r="U72" s="93"/>
      <x:c r="V72" s="95"/>
      <x:c r="W72" s="92"/>
      <x:c r="X72" s="92"/>
      <x:c r="Y72" s="92"/>
      <x:c r="Z72" s="92"/>
      <x:c r="AA72" s="93"/>
      <x:c r="AB72" s="95"/>
      <x:c r="AC72" s="92"/>
      <x:c r="AD72" s="92"/>
      <x:c r="AE72" s="94" t="str">
        <x:f>IF(A72="","",IF(Y72="Approved",IF(AD72="","Approved — Schedule","Scheduled / Linked"),IF(Y72="Rejected","Closed — Rejected",IF(Y72="Cancelled","Closed — Cancelled","Pending Approval"))))</x:f>
      </x:c>
      <x:c r="AF72" s="92"/>
    </x:row>
    <x:row r="73">
      <x:c r="A73" s="92"/>
      <x:c r="B73" s="93"/>
      <x:c r="C73" s="92"/>
      <x:c r="D73" s="92"/>
      <x:c r="E73" s="92"/>
      <x:c r="F73" s="92"/>
      <x:c r="G73" s="92"/>
      <x:c r="H73" s="94" t="str">
        <x:f>IFERROR(VLOOKUP(G73,'01 Staff Master'!$A$6:$M$105,2,FALSE),"")</x:f>
      </x:c>
      <x:c r="I73" s="94" t="str">
        <x:f>IFERROR(VLOOKUP(G73,'01 Staff Master'!$A$6:$M$105,5,FALSE),"")</x:f>
      </x:c>
      <x:c r="J73" s="92"/>
      <x:c r="K73" s="94" t="str">
        <x:f>IFERROR(VLOOKUP(J73,'02 Skill Catalogue'!$A$6:$K$95,4,FALSE),"")</x:f>
      </x:c>
      <x:c r="L73" s="94" t="str">
        <x:f>IF(OR(G73="",J73=""),"",IF(COUNTIFS('04 Assessment Log'!$D$6:$D$155,G73,'04 Assessment Log'!$J$6:$J$155,J73,'04 Assessment Log'!$AA$6:$AA$155,"Yes")=0,"",SUMIFS('04 Assessment Log'!$O$6:$O$155,'04 Assessment Log'!$D$6:$D$155,G73,'04 Assessment Log'!$J$6:$J$155,J73,'04 Assessment Log'!$AA$6:$AA$155,"Yes")))</x:f>
      </x:c>
      <x:c r="M73" s="92"/>
      <x:c r="N73" s="94" t="str">
        <x:f>IF(OR(L73="",M73=""),"",MAX(M73-L73,0))</x:f>
      </x:c>
      <x:c r="O73" s="92"/>
      <x:c r="P73" s="92"/>
      <x:c r="Q73" s="92"/>
      <x:c r="R73" s="92"/>
      <x:c r="S73" s="92"/>
      <x:c r="T73" s="93"/>
      <x:c r="U73" s="93"/>
      <x:c r="V73" s="95"/>
      <x:c r="W73" s="92"/>
      <x:c r="X73" s="92"/>
      <x:c r="Y73" s="92"/>
      <x:c r="Z73" s="92"/>
      <x:c r="AA73" s="93"/>
      <x:c r="AB73" s="95"/>
      <x:c r="AC73" s="92"/>
      <x:c r="AD73" s="92"/>
      <x:c r="AE73" s="94" t="str">
        <x:f>IF(A73="","",IF(Y73="Approved",IF(AD73="","Approved — Schedule","Scheduled / Linked"),IF(Y73="Rejected","Closed — Rejected",IF(Y73="Cancelled","Closed — Cancelled","Pending Approval"))))</x:f>
      </x:c>
      <x:c r="AF73" s="92"/>
    </x:row>
    <x:row r="74">
      <x:c r="A74" s="92"/>
      <x:c r="B74" s="93"/>
      <x:c r="C74" s="92"/>
      <x:c r="D74" s="92"/>
      <x:c r="E74" s="92"/>
      <x:c r="F74" s="92"/>
      <x:c r="G74" s="92"/>
      <x:c r="H74" s="94" t="str">
        <x:f>IFERROR(VLOOKUP(G74,'01 Staff Master'!$A$6:$M$105,2,FALSE),"")</x:f>
      </x:c>
      <x:c r="I74" s="94" t="str">
        <x:f>IFERROR(VLOOKUP(G74,'01 Staff Master'!$A$6:$M$105,5,FALSE),"")</x:f>
      </x:c>
      <x:c r="J74" s="92"/>
      <x:c r="K74" s="94" t="str">
        <x:f>IFERROR(VLOOKUP(J74,'02 Skill Catalogue'!$A$6:$K$95,4,FALSE),"")</x:f>
      </x:c>
      <x:c r="L74" s="94" t="str">
        <x:f>IF(OR(G74="",J74=""),"",IF(COUNTIFS('04 Assessment Log'!$D$6:$D$155,G74,'04 Assessment Log'!$J$6:$J$155,J74,'04 Assessment Log'!$AA$6:$AA$155,"Yes")=0,"",SUMIFS('04 Assessment Log'!$O$6:$O$155,'04 Assessment Log'!$D$6:$D$155,G74,'04 Assessment Log'!$J$6:$J$155,J74,'04 Assessment Log'!$AA$6:$AA$155,"Yes")))</x:f>
      </x:c>
      <x:c r="M74" s="92"/>
      <x:c r="N74" s="94" t="str">
        <x:f>IF(OR(L74="",M74=""),"",MAX(M74-L74,0))</x:f>
      </x:c>
      <x:c r="O74" s="92"/>
      <x:c r="P74" s="92"/>
      <x:c r="Q74" s="92"/>
      <x:c r="R74" s="92"/>
      <x:c r="S74" s="92"/>
      <x:c r="T74" s="93"/>
      <x:c r="U74" s="93"/>
      <x:c r="V74" s="95"/>
      <x:c r="W74" s="92"/>
      <x:c r="X74" s="92"/>
      <x:c r="Y74" s="92"/>
      <x:c r="Z74" s="92"/>
      <x:c r="AA74" s="93"/>
      <x:c r="AB74" s="95"/>
      <x:c r="AC74" s="92"/>
      <x:c r="AD74" s="92"/>
      <x:c r="AE74" s="94" t="str">
        <x:f>IF(A74="","",IF(Y74="Approved",IF(AD74="","Approved — Schedule","Scheduled / Linked"),IF(Y74="Rejected","Closed — Rejected",IF(Y74="Cancelled","Closed — Cancelled","Pending Approval"))))</x:f>
      </x:c>
      <x:c r="AF74" s="92"/>
    </x:row>
    <x:row r="75">
      <x:c r="A75" s="92"/>
      <x:c r="B75" s="93"/>
      <x:c r="C75" s="92"/>
      <x:c r="D75" s="92"/>
      <x:c r="E75" s="92"/>
      <x:c r="F75" s="92"/>
      <x:c r="G75" s="92"/>
      <x:c r="H75" s="94" t="str">
        <x:f>IFERROR(VLOOKUP(G75,'01 Staff Master'!$A$6:$M$105,2,FALSE),"")</x:f>
      </x:c>
      <x:c r="I75" s="94" t="str">
        <x:f>IFERROR(VLOOKUP(G75,'01 Staff Master'!$A$6:$M$105,5,FALSE),"")</x:f>
      </x:c>
      <x:c r="J75" s="92"/>
      <x:c r="K75" s="94" t="str">
        <x:f>IFERROR(VLOOKUP(J75,'02 Skill Catalogue'!$A$6:$K$95,4,FALSE),"")</x:f>
      </x:c>
      <x:c r="L75" s="94" t="str">
        <x:f>IF(OR(G75="",J75=""),"",IF(COUNTIFS('04 Assessment Log'!$D$6:$D$155,G75,'04 Assessment Log'!$J$6:$J$155,J75,'04 Assessment Log'!$AA$6:$AA$155,"Yes")=0,"",SUMIFS('04 Assessment Log'!$O$6:$O$155,'04 Assessment Log'!$D$6:$D$155,G75,'04 Assessment Log'!$J$6:$J$155,J75,'04 Assessment Log'!$AA$6:$AA$155,"Yes")))</x:f>
      </x:c>
      <x:c r="M75" s="92"/>
      <x:c r="N75" s="94" t="str">
        <x:f>IF(OR(L75="",M75=""),"",MAX(M75-L75,0))</x:f>
      </x:c>
      <x:c r="O75" s="92"/>
      <x:c r="P75" s="92"/>
      <x:c r="Q75" s="92"/>
      <x:c r="R75" s="92"/>
      <x:c r="S75" s="92"/>
      <x:c r="T75" s="93"/>
      <x:c r="U75" s="93"/>
      <x:c r="V75" s="95"/>
      <x:c r="W75" s="92"/>
      <x:c r="X75" s="92"/>
      <x:c r="Y75" s="92"/>
      <x:c r="Z75" s="92"/>
      <x:c r="AA75" s="93"/>
      <x:c r="AB75" s="95"/>
      <x:c r="AC75" s="92"/>
      <x:c r="AD75" s="92"/>
      <x:c r="AE75" s="94" t="str">
        <x:f>IF(A75="","",IF(Y75="Approved",IF(AD75="","Approved — Schedule","Scheduled / Linked"),IF(Y75="Rejected","Closed — Rejected",IF(Y75="Cancelled","Closed — Cancelled","Pending Approval"))))</x:f>
      </x:c>
      <x:c r="AF75" s="92"/>
    </x:row>
    <x:row r="76">
      <x:c r="A76" s="92"/>
      <x:c r="B76" s="93"/>
      <x:c r="C76" s="92"/>
      <x:c r="D76" s="92"/>
      <x:c r="E76" s="92"/>
      <x:c r="F76" s="92"/>
      <x:c r="G76" s="92"/>
      <x:c r="H76" s="94" t="str">
        <x:f>IFERROR(VLOOKUP(G76,'01 Staff Master'!$A$6:$M$105,2,FALSE),"")</x:f>
      </x:c>
      <x:c r="I76" s="94" t="str">
        <x:f>IFERROR(VLOOKUP(G76,'01 Staff Master'!$A$6:$M$105,5,FALSE),"")</x:f>
      </x:c>
      <x:c r="J76" s="92"/>
      <x:c r="K76" s="94" t="str">
        <x:f>IFERROR(VLOOKUP(J76,'02 Skill Catalogue'!$A$6:$K$95,4,FALSE),"")</x:f>
      </x:c>
      <x:c r="L76" s="94" t="str">
        <x:f>IF(OR(G76="",J76=""),"",IF(COUNTIFS('04 Assessment Log'!$D$6:$D$155,G76,'04 Assessment Log'!$J$6:$J$155,J76,'04 Assessment Log'!$AA$6:$AA$155,"Yes")=0,"",SUMIFS('04 Assessment Log'!$O$6:$O$155,'04 Assessment Log'!$D$6:$D$155,G76,'04 Assessment Log'!$J$6:$J$155,J76,'04 Assessment Log'!$AA$6:$AA$155,"Yes")))</x:f>
      </x:c>
      <x:c r="M76" s="92"/>
      <x:c r="N76" s="94" t="str">
        <x:f>IF(OR(L76="",M76=""),"",MAX(M76-L76,0))</x:f>
      </x:c>
      <x:c r="O76" s="92"/>
      <x:c r="P76" s="92"/>
      <x:c r="Q76" s="92"/>
      <x:c r="R76" s="92"/>
      <x:c r="S76" s="92"/>
      <x:c r="T76" s="93"/>
      <x:c r="U76" s="93"/>
      <x:c r="V76" s="95"/>
      <x:c r="W76" s="92"/>
      <x:c r="X76" s="92"/>
      <x:c r="Y76" s="92"/>
      <x:c r="Z76" s="92"/>
      <x:c r="AA76" s="93"/>
      <x:c r="AB76" s="95"/>
      <x:c r="AC76" s="92"/>
      <x:c r="AD76" s="92"/>
      <x:c r="AE76" s="94" t="str">
        <x:f>IF(A76="","",IF(Y76="Approved",IF(AD76="","Approved — Schedule","Scheduled / Linked"),IF(Y76="Rejected","Closed — Rejected",IF(Y76="Cancelled","Closed — Cancelled","Pending Approval"))))</x:f>
      </x:c>
      <x:c r="AF76" s="92"/>
    </x:row>
    <x:row r="77">
      <x:c r="A77" s="92"/>
      <x:c r="B77" s="93"/>
      <x:c r="C77" s="92"/>
      <x:c r="D77" s="92"/>
      <x:c r="E77" s="92"/>
      <x:c r="F77" s="92"/>
      <x:c r="G77" s="92"/>
      <x:c r="H77" s="94" t="str">
        <x:f>IFERROR(VLOOKUP(G77,'01 Staff Master'!$A$6:$M$105,2,FALSE),"")</x:f>
      </x:c>
      <x:c r="I77" s="94" t="str">
        <x:f>IFERROR(VLOOKUP(G77,'01 Staff Master'!$A$6:$M$105,5,FALSE),"")</x:f>
      </x:c>
      <x:c r="J77" s="92"/>
      <x:c r="K77" s="94" t="str">
        <x:f>IFERROR(VLOOKUP(J77,'02 Skill Catalogue'!$A$6:$K$95,4,FALSE),"")</x:f>
      </x:c>
      <x:c r="L77" s="94" t="str">
        <x:f>IF(OR(G77="",J77=""),"",IF(COUNTIFS('04 Assessment Log'!$D$6:$D$155,G77,'04 Assessment Log'!$J$6:$J$155,J77,'04 Assessment Log'!$AA$6:$AA$155,"Yes")=0,"",SUMIFS('04 Assessment Log'!$O$6:$O$155,'04 Assessment Log'!$D$6:$D$155,G77,'04 Assessment Log'!$J$6:$J$155,J77,'04 Assessment Log'!$AA$6:$AA$155,"Yes")))</x:f>
      </x:c>
      <x:c r="M77" s="92"/>
      <x:c r="N77" s="94" t="str">
        <x:f>IF(OR(L77="",M77=""),"",MAX(M77-L77,0))</x:f>
      </x:c>
      <x:c r="O77" s="92"/>
      <x:c r="P77" s="92"/>
      <x:c r="Q77" s="92"/>
      <x:c r="R77" s="92"/>
      <x:c r="S77" s="92"/>
      <x:c r="T77" s="93"/>
      <x:c r="U77" s="93"/>
      <x:c r="V77" s="95"/>
      <x:c r="W77" s="92"/>
      <x:c r="X77" s="92"/>
      <x:c r="Y77" s="92"/>
      <x:c r="Z77" s="92"/>
      <x:c r="AA77" s="93"/>
      <x:c r="AB77" s="95"/>
      <x:c r="AC77" s="92"/>
      <x:c r="AD77" s="92"/>
      <x:c r="AE77" s="94" t="str">
        <x:f>IF(A77="","",IF(Y77="Approved",IF(AD77="","Approved — Schedule","Scheduled / Linked"),IF(Y77="Rejected","Closed — Rejected",IF(Y77="Cancelled","Closed — Cancelled","Pending Approval"))))</x:f>
      </x:c>
      <x:c r="AF77" s="92"/>
    </x:row>
    <x:row r="78">
      <x:c r="A78" s="92"/>
      <x:c r="B78" s="93"/>
      <x:c r="C78" s="92"/>
      <x:c r="D78" s="92"/>
      <x:c r="E78" s="92"/>
      <x:c r="F78" s="92"/>
      <x:c r="G78" s="92"/>
      <x:c r="H78" s="94" t="str">
        <x:f>IFERROR(VLOOKUP(G78,'01 Staff Master'!$A$6:$M$105,2,FALSE),"")</x:f>
      </x:c>
      <x:c r="I78" s="94" t="str">
        <x:f>IFERROR(VLOOKUP(G78,'01 Staff Master'!$A$6:$M$105,5,FALSE),"")</x:f>
      </x:c>
      <x:c r="J78" s="92"/>
      <x:c r="K78" s="94" t="str">
        <x:f>IFERROR(VLOOKUP(J78,'02 Skill Catalogue'!$A$6:$K$95,4,FALSE),"")</x:f>
      </x:c>
      <x:c r="L78" s="94" t="str">
        <x:f>IF(OR(G78="",J78=""),"",IF(COUNTIFS('04 Assessment Log'!$D$6:$D$155,G78,'04 Assessment Log'!$J$6:$J$155,J78,'04 Assessment Log'!$AA$6:$AA$155,"Yes")=0,"",SUMIFS('04 Assessment Log'!$O$6:$O$155,'04 Assessment Log'!$D$6:$D$155,G78,'04 Assessment Log'!$J$6:$J$155,J78,'04 Assessment Log'!$AA$6:$AA$155,"Yes")))</x:f>
      </x:c>
      <x:c r="M78" s="92"/>
      <x:c r="N78" s="94" t="str">
        <x:f>IF(OR(L78="",M78=""),"",MAX(M78-L78,0))</x:f>
      </x:c>
      <x:c r="O78" s="92"/>
      <x:c r="P78" s="92"/>
      <x:c r="Q78" s="92"/>
      <x:c r="R78" s="92"/>
      <x:c r="S78" s="92"/>
      <x:c r="T78" s="93"/>
      <x:c r="U78" s="93"/>
      <x:c r="V78" s="95"/>
      <x:c r="W78" s="92"/>
      <x:c r="X78" s="92"/>
      <x:c r="Y78" s="92"/>
      <x:c r="Z78" s="92"/>
      <x:c r="AA78" s="93"/>
      <x:c r="AB78" s="95"/>
      <x:c r="AC78" s="92"/>
      <x:c r="AD78" s="92"/>
      <x:c r="AE78" s="94" t="str">
        <x:f>IF(A78="","",IF(Y78="Approved",IF(AD78="","Approved — Schedule","Scheduled / Linked"),IF(Y78="Rejected","Closed — Rejected",IF(Y78="Cancelled","Closed — Cancelled","Pending Approval"))))</x:f>
      </x:c>
      <x:c r="AF78" s="92"/>
    </x:row>
    <x:row r="79">
      <x:c r="A79" s="92"/>
      <x:c r="B79" s="93"/>
      <x:c r="C79" s="92"/>
      <x:c r="D79" s="92"/>
      <x:c r="E79" s="92"/>
      <x:c r="F79" s="92"/>
      <x:c r="G79" s="92"/>
      <x:c r="H79" s="94" t="str">
        <x:f>IFERROR(VLOOKUP(G79,'01 Staff Master'!$A$6:$M$105,2,FALSE),"")</x:f>
      </x:c>
      <x:c r="I79" s="94" t="str">
        <x:f>IFERROR(VLOOKUP(G79,'01 Staff Master'!$A$6:$M$105,5,FALSE),"")</x:f>
      </x:c>
      <x:c r="J79" s="92"/>
      <x:c r="K79" s="94" t="str">
        <x:f>IFERROR(VLOOKUP(J79,'02 Skill Catalogue'!$A$6:$K$95,4,FALSE),"")</x:f>
      </x:c>
      <x:c r="L79" s="94" t="str">
        <x:f>IF(OR(G79="",J79=""),"",IF(COUNTIFS('04 Assessment Log'!$D$6:$D$155,G79,'04 Assessment Log'!$J$6:$J$155,J79,'04 Assessment Log'!$AA$6:$AA$155,"Yes")=0,"",SUMIFS('04 Assessment Log'!$O$6:$O$155,'04 Assessment Log'!$D$6:$D$155,G79,'04 Assessment Log'!$J$6:$J$155,J79,'04 Assessment Log'!$AA$6:$AA$155,"Yes")))</x:f>
      </x:c>
      <x:c r="M79" s="92"/>
      <x:c r="N79" s="94" t="str">
        <x:f>IF(OR(L79="",M79=""),"",MAX(M79-L79,0))</x:f>
      </x:c>
      <x:c r="O79" s="92"/>
      <x:c r="P79" s="92"/>
      <x:c r="Q79" s="92"/>
      <x:c r="R79" s="92"/>
      <x:c r="S79" s="92"/>
      <x:c r="T79" s="93"/>
      <x:c r="U79" s="93"/>
      <x:c r="V79" s="95"/>
      <x:c r="W79" s="92"/>
      <x:c r="X79" s="92"/>
      <x:c r="Y79" s="92"/>
      <x:c r="Z79" s="92"/>
      <x:c r="AA79" s="93"/>
      <x:c r="AB79" s="95"/>
      <x:c r="AC79" s="92"/>
      <x:c r="AD79" s="92"/>
      <x:c r="AE79" s="94" t="str">
        <x:f>IF(A79="","",IF(Y79="Approved",IF(AD79="","Approved — Schedule","Scheduled / Linked"),IF(Y79="Rejected","Closed — Rejected",IF(Y79="Cancelled","Closed — Cancelled","Pending Approval"))))</x:f>
      </x:c>
      <x:c r="AF79" s="92"/>
    </x:row>
    <x:row r="80">
      <x:c r="A80" s="92"/>
      <x:c r="B80" s="93"/>
      <x:c r="C80" s="92"/>
      <x:c r="D80" s="92"/>
      <x:c r="E80" s="92"/>
      <x:c r="F80" s="92"/>
      <x:c r="G80" s="92"/>
      <x:c r="H80" s="94" t="str">
        <x:f>IFERROR(VLOOKUP(G80,'01 Staff Master'!$A$6:$M$105,2,FALSE),"")</x:f>
      </x:c>
      <x:c r="I80" s="94" t="str">
        <x:f>IFERROR(VLOOKUP(G80,'01 Staff Master'!$A$6:$M$105,5,FALSE),"")</x:f>
      </x:c>
      <x:c r="J80" s="92"/>
      <x:c r="K80" s="94" t="str">
        <x:f>IFERROR(VLOOKUP(J80,'02 Skill Catalogue'!$A$6:$K$95,4,FALSE),"")</x:f>
      </x:c>
      <x:c r="L80" s="94" t="str">
        <x:f>IF(OR(G80="",J80=""),"",IF(COUNTIFS('04 Assessment Log'!$D$6:$D$155,G80,'04 Assessment Log'!$J$6:$J$155,J80,'04 Assessment Log'!$AA$6:$AA$155,"Yes")=0,"",SUMIFS('04 Assessment Log'!$O$6:$O$155,'04 Assessment Log'!$D$6:$D$155,G80,'04 Assessment Log'!$J$6:$J$155,J80,'04 Assessment Log'!$AA$6:$AA$155,"Yes")))</x:f>
      </x:c>
      <x:c r="M80" s="92"/>
      <x:c r="N80" s="94" t="str">
        <x:f>IF(OR(L80="",M80=""),"",MAX(M80-L80,0))</x:f>
      </x:c>
      <x:c r="O80" s="92"/>
      <x:c r="P80" s="92"/>
      <x:c r="Q80" s="92"/>
      <x:c r="R80" s="92"/>
      <x:c r="S80" s="92"/>
      <x:c r="T80" s="93"/>
      <x:c r="U80" s="93"/>
      <x:c r="V80" s="95"/>
      <x:c r="W80" s="92"/>
      <x:c r="X80" s="92"/>
      <x:c r="Y80" s="92"/>
      <x:c r="Z80" s="92"/>
      <x:c r="AA80" s="93"/>
      <x:c r="AB80" s="95"/>
      <x:c r="AC80" s="92"/>
      <x:c r="AD80" s="92"/>
      <x:c r="AE80" s="94" t="str">
        <x:f>IF(A80="","",IF(Y80="Approved",IF(AD80="","Approved — Schedule","Scheduled / Linked"),IF(Y80="Rejected","Closed — Rejected",IF(Y80="Cancelled","Closed — Cancelled","Pending Approval"))))</x:f>
      </x:c>
      <x:c r="AF80" s="92"/>
    </x:row>
    <x:row r="81">
      <x:c r="A81" s="92"/>
      <x:c r="B81" s="93"/>
      <x:c r="C81" s="92"/>
      <x:c r="D81" s="92"/>
      <x:c r="E81" s="92"/>
      <x:c r="F81" s="92"/>
      <x:c r="G81" s="92"/>
      <x:c r="H81" s="94" t="str">
        <x:f>IFERROR(VLOOKUP(G81,'01 Staff Master'!$A$6:$M$105,2,FALSE),"")</x:f>
      </x:c>
      <x:c r="I81" s="94" t="str">
        <x:f>IFERROR(VLOOKUP(G81,'01 Staff Master'!$A$6:$M$105,5,FALSE),"")</x:f>
      </x:c>
      <x:c r="J81" s="92"/>
      <x:c r="K81" s="94" t="str">
        <x:f>IFERROR(VLOOKUP(J81,'02 Skill Catalogue'!$A$6:$K$95,4,FALSE),"")</x:f>
      </x:c>
      <x:c r="L81" s="94" t="str">
        <x:f>IF(OR(G81="",J81=""),"",IF(COUNTIFS('04 Assessment Log'!$D$6:$D$155,G81,'04 Assessment Log'!$J$6:$J$155,J81,'04 Assessment Log'!$AA$6:$AA$155,"Yes")=0,"",SUMIFS('04 Assessment Log'!$O$6:$O$155,'04 Assessment Log'!$D$6:$D$155,G81,'04 Assessment Log'!$J$6:$J$155,J81,'04 Assessment Log'!$AA$6:$AA$155,"Yes")))</x:f>
      </x:c>
      <x:c r="M81" s="92"/>
      <x:c r="N81" s="94" t="str">
        <x:f>IF(OR(L81="",M81=""),"",MAX(M81-L81,0))</x:f>
      </x:c>
      <x:c r="O81" s="92"/>
      <x:c r="P81" s="92"/>
      <x:c r="Q81" s="92"/>
      <x:c r="R81" s="92"/>
      <x:c r="S81" s="92"/>
      <x:c r="T81" s="93"/>
      <x:c r="U81" s="93"/>
      <x:c r="V81" s="95"/>
      <x:c r="W81" s="92"/>
      <x:c r="X81" s="92"/>
      <x:c r="Y81" s="92"/>
      <x:c r="Z81" s="92"/>
      <x:c r="AA81" s="93"/>
      <x:c r="AB81" s="95"/>
      <x:c r="AC81" s="92"/>
      <x:c r="AD81" s="92"/>
      <x:c r="AE81" s="94" t="str">
        <x:f>IF(A81="","",IF(Y81="Approved",IF(AD81="","Approved — Schedule","Scheduled / Linked"),IF(Y81="Rejected","Closed — Rejected",IF(Y81="Cancelled","Closed — Cancelled","Pending Approval"))))</x:f>
      </x:c>
      <x:c r="AF81" s="92"/>
    </x:row>
    <x:row r="82">
      <x:c r="A82" s="92"/>
      <x:c r="B82" s="93"/>
      <x:c r="C82" s="92"/>
      <x:c r="D82" s="92"/>
      <x:c r="E82" s="92"/>
      <x:c r="F82" s="92"/>
      <x:c r="G82" s="92"/>
      <x:c r="H82" s="94" t="str">
        <x:f>IFERROR(VLOOKUP(G82,'01 Staff Master'!$A$6:$M$105,2,FALSE),"")</x:f>
      </x:c>
      <x:c r="I82" s="94" t="str">
        <x:f>IFERROR(VLOOKUP(G82,'01 Staff Master'!$A$6:$M$105,5,FALSE),"")</x:f>
      </x:c>
      <x:c r="J82" s="92"/>
      <x:c r="K82" s="94" t="str">
        <x:f>IFERROR(VLOOKUP(J82,'02 Skill Catalogue'!$A$6:$K$95,4,FALSE),"")</x:f>
      </x:c>
      <x:c r="L82" s="94" t="str">
        <x:f>IF(OR(G82="",J82=""),"",IF(COUNTIFS('04 Assessment Log'!$D$6:$D$155,G82,'04 Assessment Log'!$J$6:$J$155,J82,'04 Assessment Log'!$AA$6:$AA$155,"Yes")=0,"",SUMIFS('04 Assessment Log'!$O$6:$O$155,'04 Assessment Log'!$D$6:$D$155,G82,'04 Assessment Log'!$J$6:$J$155,J82,'04 Assessment Log'!$AA$6:$AA$155,"Yes")))</x:f>
      </x:c>
      <x:c r="M82" s="92"/>
      <x:c r="N82" s="94" t="str">
        <x:f>IF(OR(L82="",M82=""),"",MAX(M82-L82,0))</x:f>
      </x:c>
      <x:c r="O82" s="92"/>
      <x:c r="P82" s="92"/>
      <x:c r="Q82" s="92"/>
      <x:c r="R82" s="92"/>
      <x:c r="S82" s="92"/>
      <x:c r="T82" s="93"/>
      <x:c r="U82" s="93"/>
      <x:c r="V82" s="95"/>
      <x:c r="W82" s="92"/>
      <x:c r="X82" s="92"/>
      <x:c r="Y82" s="92"/>
      <x:c r="Z82" s="92"/>
      <x:c r="AA82" s="93"/>
      <x:c r="AB82" s="95"/>
      <x:c r="AC82" s="92"/>
      <x:c r="AD82" s="92"/>
      <x:c r="AE82" s="94" t="str">
        <x:f>IF(A82="","",IF(Y82="Approved",IF(AD82="","Approved — Schedule","Scheduled / Linked"),IF(Y82="Rejected","Closed — Rejected",IF(Y82="Cancelled","Closed — Cancelled","Pending Approval"))))</x:f>
      </x:c>
      <x:c r="AF82" s="92"/>
    </x:row>
    <x:row r="83">
      <x:c r="A83" s="92"/>
      <x:c r="B83" s="93"/>
      <x:c r="C83" s="92"/>
      <x:c r="D83" s="92"/>
      <x:c r="E83" s="92"/>
      <x:c r="F83" s="92"/>
      <x:c r="G83" s="92"/>
      <x:c r="H83" s="94" t="str">
        <x:f>IFERROR(VLOOKUP(G83,'01 Staff Master'!$A$6:$M$105,2,FALSE),"")</x:f>
      </x:c>
      <x:c r="I83" s="94" t="str">
        <x:f>IFERROR(VLOOKUP(G83,'01 Staff Master'!$A$6:$M$105,5,FALSE),"")</x:f>
      </x:c>
      <x:c r="J83" s="92"/>
      <x:c r="K83" s="94" t="str">
        <x:f>IFERROR(VLOOKUP(J83,'02 Skill Catalogue'!$A$6:$K$95,4,FALSE),"")</x:f>
      </x:c>
      <x:c r="L83" s="94" t="str">
        <x:f>IF(OR(G83="",J83=""),"",IF(COUNTIFS('04 Assessment Log'!$D$6:$D$155,G83,'04 Assessment Log'!$J$6:$J$155,J83,'04 Assessment Log'!$AA$6:$AA$155,"Yes")=0,"",SUMIFS('04 Assessment Log'!$O$6:$O$155,'04 Assessment Log'!$D$6:$D$155,G83,'04 Assessment Log'!$J$6:$J$155,J83,'04 Assessment Log'!$AA$6:$AA$155,"Yes")))</x:f>
      </x:c>
      <x:c r="M83" s="92"/>
      <x:c r="N83" s="94" t="str">
        <x:f>IF(OR(L83="",M83=""),"",MAX(M83-L83,0))</x:f>
      </x:c>
      <x:c r="O83" s="92"/>
      <x:c r="P83" s="92"/>
      <x:c r="Q83" s="92"/>
      <x:c r="R83" s="92"/>
      <x:c r="S83" s="92"/>
      <x:c r="T83" s="93"/>
      <x:c r="U83" s="93"/>
      <x:c r="V83" s="95"/>
      <x:c r="W83" s="92"/>
      <x:c r="X83" s="92"/>
      <x:c r="Y83" s="92"/>
      <x:c r="Z83" s="92"/>
      <x:c r="AA83" s="93"/>
      <x:c r="AB83" s="95"/>
      <x:c r="AC83" s="92"/>
      <x:c r="AD83" s="92"/>
      <x:c r="AE83" s="94" t="str">
        <x:f>IF(A83="","",IF(Y83="Approved",IF(AD83="","Approved — Schedule","Scheduled / Linked"),IF(Y83="Rejected","Closed — Rejected",IF(Y83="Cancelled","Closed — Cancelled","Pending Approval"))))</x:f>
      </x:c>
      <x:c r="AF83" s="92"/>
    </x:row>
    <x:row r="84">
      <x:c r="A84" s="92"/>
      <x:c r="B84" s="93"/>
      <x:c r="C84" s="92"/>
      <x:c r="D84" s="92"/>
      <x:c r="E84" s="92"/>
      <x:c r="F84" s="92"/>
      <x:c r="G84" s="92"/>
      <x:c r="H84" s="94" t="str">
        <x:f>IFERROR(VLOOKUP(G84,'01 Staff Master'!$A$6:$M$105,2,FALSE),"")</x:f>
      </x:c>
      <x:c r="I84" s="94" t="str">
        <x:f>IFERROR(VLOOKUP(G84,'01 Staff Master'!$A$6:$M$105,5,FALSE),"")</x:f>
      </x:c>
      <x:c r="J84" s="92"/>
      <x:c r="K84" s="94" t="str">
        <x:f>IFERROR(VLOOKUP(J84,'02 Skill Catalogue'!$A$6:$K$95,4,FALSE),"")</x:f>
      </x:c>
      <x:c r="L84" s="94" t="str">
        <x:f>IF(OR(G84="",J84=""),"",IF(COUNTIFS('04 Assessment Log'!$D$6:$D$155,G84,'04 Assessment Log'!$J$6:$J$155,J84,'04 Assessment Log'!$AA$6:$AA$155,"Yes")=0,"",SUMIFS('04 Assessment Log'!$O$6:$O$155,'04 Assessment Log'!$D$6:$D$155,G84,'04 Assessment Log'!$J$6:$J$155,J84,'04 Assessment Log'!$AA$6:$AA$155,"Yes")))</x:f>
      </x:c>
      <x:c r="M84" s="92"/>
      <x:c r="N84" s="94" t="str">
        <x:f>IF(OR(L84="",M84=""),"",MAX(M84-L84,0))</x:f>
      </x:c>
      <x:c r="O84" s="92"/>
      <x:c r="P84" s="92"/>
      <x:c r="Q84" s="92"/>
      <x:c r="R84" s="92"/>
      <x:c r="S84" s="92"/>
      <x:c r="T84" s="93"/>
      <x:c r="U84" s="93"/>
      <x:c r="V84" s="95"/>
      <x:c r="W84" s="92"/>
      <x:c r="X84" s="92"/>
      <x:c r="Y84" s="92"/>
      <x:c r="Z84" s="92"/>
      <x:c r="AA84" s="93"/>
      <x:c r="AB84" s="95"/>
      <x:c r="AC84" s="92"/>
      <x:c r="AD84" s="92"/>
      <x:c r="AE84" s="94" t="str">
        <x:f>IF(A84="","",IF(Y84="Approved",IF(AD84="","Approved — Schedule","Scheduled / Linked"),IF(Y84="Rejected","Closed — Rejected",IF(Y84="Cancelled","Closed — Cancelled","Pending Approval"))))</x:f>
      </x:c>
      <x:c r="AF84" s="92"/>
    </x:row>
    <x:row r="85">
      <x:c r="A85" s="92"/>
      <x:c r="B85" s="93"/>
      <x:c r="C85" s="92"/>
      <x:c r="D85" s="92"/>
      <x:c r="E85" s="92"/>
      <x:c r="F85" s="92"/>
      <x:c r="G85" s="92"/>
      <x:c r="H85" s="94" t="str">
        <x:f>IFERROR(VLOOKUP(G85,'01 Staff Master'!$A$6:$M$105,2,FALSE),"")</x:f>
      </x:c>
      <x:c r="I85" s="94" t="str">
        <x:f>IFERROR(VLOOKUP(G85,'01 Staff Master'!$A$6:$M$105,5,FALSE),"")</x:f>
      </x:c>
      <x:c r="J85" s="92"/>
      <x:c r="K85" s="94" t="str">
        <x:f>IFERROR(VLOOKUP(J85,'02 Skill Catalogue'!$A$6:$K$95,4,FALSE),"")</x:f>
      </x:c>
      <x:c r="L85" s="94" t="str">
        <x:f>IF(OR(G85="",J85=""),"",IF(COUNTIFS('04 Assessment Log'!$D$6:$D$155,G85,'04 Assessment Log'!$J$6:$J$155,J85,'04 Assessment Log'!$AA$6:$AA$155,"Yes")=0,"",SUMIFS('04 Assessment Log'!$O$6:$O$155,'04 Assessment Log'!$D$6:$D$155,G85,'04 Assessment Log'!$J$6:$J$155,J85,'04 Assessment Log'!$AA$6:$AA$155,"Yes")))</x:f>
      </x:c>
      <x:c r="M85" s="92"/>
      <x:c r="N85" s="94" t="str">
        <x:f>IF(OR(L85="",M85=""),"",MAX(M85-L85,0))</x:f>
      </x:c>
      <x:c r="O85" s="92"/>
      <x:c r="P85" s="92"/>
      <x:c r="Q85" s="92"/>
      <x:c r="R85" s="92"/>
      <x:c r="S85" s="92"/>
      <x:c r="T85" s="93"/>
      <x:c r="U85" s="93"/>
      <x:c r="V85" s="95"/>
      <x:c r="W85" s="92"/>
      <x:c r="X85" s="92"/>
      <x:c r="Y85" s="92"/>
      <x:c r="Z85" s="92"/>
      <x:c r="AA85" s="93"/>
      <x:c r="AB85" s="95"/>
      <x:c r="AC85" s="92"/>
      <x:c r="AD85" s="92"/>
      <x:c r="AE85" s="94" t="str">
        <x:f>IF(A85="","",IF(Y85="Approved",IF(AD85="","Approved — Schedule","Scheduled / Linked"),IF(Y85="Rejected","Closed — Rejected",IF(Y85="Cancelled","Closed — Cancelled","Pending Approval"))))</x:f>
      </x:c>
      <x:c r="AF85" s="92"/>
    </x:row>
    <x:row r="86">
      <x:c r="A86" s="92"/>
      <x:c r="B86" s="93"/>
      <x:c r="C86" s="92"/>
      <x:c r="D86" s="92"/>
      <x:c r="E86" s="92"/>
      <x:c r="F86" s="92"/>
      <x:c r="G86" s="92"/>
      <x:c r="H86" s="94" t="str">
        <x:f>IFERROR(VLOOKUP(G86,'01 Staff Master'!$A$6:$M$105,2,FALSE),"")</x:f>
      </x:c>
      <x:c r="I86" s="94" t="str">
        <x:f>IFERROR(VLOOKUP(G86,'01 Staff Master'!$A$6:$M$105,5,FALSE),"")</x:f>
      </x:c>
      <x:c r="J86" s="92"/>
      <x:c r="K86" s="94" t="str">
        <x:f>IFERROR(VLOOKUP(J86,'02 Skill Catalogue'!$A$6:$K$95,4,FALSE),"")</x:f>
      </x:c>
      <x:c r="L86" s="94" t="str">
        <x:f>IF(OR(G86="",J86=""),"",IF(COUNTIFS('04 Assessment Log'!$D$6:$D$155,G86,'04 Assessment Log'!$J$6:$J$155,J86,'04 Assessment Log'!$AA$6:$AA$155,"Yes")=0,"",SUMIFS('04 Assessment Log'!$O$6:$O$155,'04 Assessment Log'!$D$6:$D$155,G86,'04 Assessment Log'!$J$6:$J$155,J86,'04 Assessment Log'!$AA$6:$AA$155,"Yes")))</x:f>
      </x:c>
      <x:c r="M86" s="92"/>
      <x:c r="N86" s="94" t="str">
        <x:f>IF(OR(L86="",M86=""),"",MAX(M86-L86,0))</x:f>
      </x:c>
      <x:c r="O86" s="92"/>
      <x:c r="P86" s="92"/>
      <x:c r="Q86" s="92"/>
      <x:c r="R86" s="92"/>
      <x:c r="S86" s="92"/>
      <x:c r="T86" s="93"/>
      <x:c r="U86" s="93"/>
      <x:c r="V86" s="95"/>
      <x:c r="W86" s="92"/>
      <x:c r="X86" s="92"/>
      <x:c r="Y86" s="92"/>
      <x:c r="Z86" s="92"/>
      <x:c r="AA86" s="93"/>
      <x:c r="AB86" s="95"/>
      <x:c r="AC86" s="92"/>
      <x:c r="AD86" s="92"/>
      <x:c r="AE86" s="94" t="str">
        <x:f>IF(A86="","",IF(Y86="Approved",IF(AD86="","Approved — Schedule","Scheduled / Linked"),IF(Y86="Rejected","Closed — Rejected",IF(Y86="Cancelled","Closed — Cancelled","Pending Approval"))))</x:f>
      </x:c>
      <x:c r="AF86" s="92"/>
    </x:row>
    <x:row r="87">
      <x:c r="A87" s="92"/>
      <x:c r="B87" s="93"/>
      <x:c r="C87" s="92"/>
      <x:c r="D87" s="92"/>
      <x:c r="E87" s="92"/>
      <x:c r="F87" s="92"/>
      <x:c r="G87" s="92"/>
      <x:c r="H87" s="94" t="str">
        <x:f>IFERROR(VLOOKUP(G87,'01 Staff Master'!$A$6:$M$105,2,FALSE),"")</x:f>
      </x:c>
      <x:c r="I87" s="94" t="str">
        <x:f>IFERROR(VLOOKUP(G87,'01 Staff Master'!$A$6:$M$105,5,FALSE),"")</x:f>
      </x:c>
      <x:c r="J87" s="92"/>
      <x:c r="K87" s="94" t="str">
        <x:f>IFERROR(VLOOKUP(J87,'02 Skill Catalogue'!$A$6:$K$95,4,FALSE),"")</x:f>
      </x:c>
      <x:c r="L87" s="94" t="str">
        <x:f>IF(OR(G87="",J87=""),"",IF(COUNTIFS('04 Assessment Log'!$D$6:$D$155,G87,'04 Assessment Log'!$J$6:$J$155,J87,'04 Assessment Log'!$AA$6:$AA$155,"Yes")=0,"",SUMIFS('04 Assessment Log'!$O$6:$O$155,'04 Assessment Log'!$D$6:$D$155,G87,'04 Assessment Log'!$J$6:$J$155,J87,'04 Assessment Log'!$AA$6:$AA$155,"Yes")))</x:f>
      </x:c>
      <x:c r="M87" s="92"/>
      <x:c r="N87" s="94" t="str">
        <x:f>IF(OR(L87="",M87=""),"",MAX(M87-L87,0))</x:f>
      </x:c>
      <x:c r="O87" s="92"/>
      <x:c r="P87" s="92"/>
      <x:c r="Q87" s="92"/>
      <x:c r="R87" s="92"/>
      <x:c r="S87" s="92"/>
      <x:c r="T87" s="93"/>
      <x:c r="U87" s="93"/>
      <x:c r="V87" s="95"/>
      <x:c r="W87" s="92"/>
      <x:c r="X87" s="92"/>
      <x:c r="Y87" s="92"/>
      <x:c r="Z87" s="92"/>
      <x:c r="AA87" s="93"/>
      <x:c r="AB87" s="95"/>
      <x:c r="AC87" s="92"/>
      <x:c r="AD87" s="92"/>
      <x:c r="AE87" s="94" t="str">
        <x:f>IF(A87="","",IF(Y87="Approved",IF(AD87="","Approved — Schedule","Scheduled / Linked"),IF(Y87="Rejected","Closed — Rejected",IF(Y87="Cancelled","Closed — Cancelled","Pending Approval"))))</x:f>
      </x:c>
      <x:c r="AF87" s="92"/>
    </x:row>
    <x:row r="88">
      <x:c r="A88" s="92"/>
      <x:c r="B88" s="93"/>
      <x:c r="C88" s="92"/>
      <x:c r="D88" s="92"/>
      <x:c r="E88" s="92"/>
      <x:c r="F88" s="92"/>
      <x:c r="G88" s="92"/>
      <x:c r="H88" s="94" t="str">
        <x:f>IFERROR(VLOOKUP(G88,'01 Staff Master'!$A$6:$M$105,2,FALSE),"")</x:f>
      </x:c>
      <x:c r="I88" s="94" t="str">
        <x:f>IFERROR(VLOOKUP(G88,'01 Staff Master'!$A$6:$M$105,5,FALSE),"")</x:f>
      </x:c>
      <x:c r="J88" s="92"/>
      <x:c r="K88" s="94" t="str">
        <x:f>IFERROR(VLOOKUP(J88,'02 Skill Catalogue'!$A$6:$K$95,4,FALSE),"")</x:f>
      </x:c>
      <x:c r="L88" s="94" t="str">
        <x:f>IF(OR(G88="",J88=""),"",IF(COUNTIFS('04 Assessment Log'!$D$6:$D$155,G88,'04 Assessment Log'!$J$6:$J$155,J88,'04 Assessment Log'!$AA$6:$AA$155,"Yes")=0,"",SUMIFS('04 Assessment Log'!$O$6:$O$155,'04 Assessment Log'!$D$6:$D$155,G88,'04 Assessment Log'!$J$6:$J$155,J88,'04 Assessment Log'!$AA$6:$AA$155,"Yes")))</x:f>
      </x:c>
      <x:c r="M88" s="92"/>
      <x:c r="N88" s="94" t="str">
        <x:f>IF(OR(L88="",M88=""),"",MAX(M88-L88,0))</x:f>
      </x:c>
      <x:c r="O88" s="92"/>
      <x:c r="P88" s="92"/>
      <x:c r="Q88" s="92"/>
      <x:c r="R88" s="92"/>
      <x:c r="S88" s="92"/>
      <x:c r="T88" s="93"/>
      <x:c r="U88" s="93"/>
      <x:c r="V88" s="95"/>
      <x:c r="W88" s="92"/>
      <x:c r="X88" s="92"/>
      <x:c r="Y88" s="92"/>
      <x:c r="Z88" s="92"/>
      <x:c r="AA88" s="93"/>
      <x:c r="AB88" s="95"/>
      <x:c r="AC88" s="92"/>
      <x:c r="AD88" s="92"/>
      <x:c r="AE88" s="94" t="str">
        <x:f>IF(A88="","",IF(Y88="Approved",IF(AD88="","Approved — Schedule","Scheduled / Linked"),IF(Y88="Rejected","Closed — Rejected",IF(Y88="Cancelled","Closed — Cancelled","Pending Approval"))))</x:f>
      </x:c>
      <x:c r="AF88" s="92"/>
    </x:row>
    <x:row r="89">
      <x:c r="A89" s="92"/>
      <x:c r="B89" s="93"/>
      <x:c r="C89" s="92"/>
      <x:c r="D89" s="92"/>
      <x:c r="E89" s="92"/>
      <x:c r="F89" s="92"/>
      <x:c r="G89" s="92"/>
      <x:c r="H89" s="94" t="str">
        <x:f>IFERROR(VLOOKUP(G89,'01 Staff Master'!$A$6:$M$105,2,FALSE),"")</x:f>
      </x:c>
      <x:c r="I89" s="94" t="str">
        <x:f>IFERROR(VLOOKUP(G89,'01 Staff Master'!$A$6:$M$105,5,FALSE),"")</x:f>
      </x:c>
      <x:c r="J89" s="92"/>
      <x:c r="K89" s="94" t="str">
        <x:f>IFERROR(VLOOKUP(J89,'02 Skill Catalogue'!$A$6:$K$95,4,FALSE),"")</x:f>
      </x:c>
      <x:c r="L89" s="94" t="str">
        <x:f>IF(OR(G89="",J89=""),"",IF(COUNTIFS('04 Assessment Log'!$D$6:$D$155,G89,'04 Assessment Log'!$J$6:$J$155,J89,'04 Assessment Log'!$AA$6:$AA$155,"Yes")=0,"",SUMIFS('04 Assessment Log'!$O$6:$O$155,'04 Assessment Log'!$D$6:$D$155,G89,'04 Assessment Log'!$J$6:$J$155,J89,'04 Assessment Log'!$AA$6:$AA$155,"Yes")))</x:f>
      </x:c>
      <x:c r="M89" s="92"/>
      <x:c r="N89" s="94" t="str">
        <x:f>IF(OR(L89="",M89=""),"",MAX(M89-L89,0))</x:f>
      </x:c>
      <x:c r="O89" s="92"/>
      <x:c r="P89" s="92"/>
      <x:c r="Q89" s="92"/>
      <x:c r="R89" s="92"/>
      <x:c r="S89" s="92"/>
      <x:c r="T89" s="93"/>
      <x:c r="U89" s="93"/>
      <x:c r="V89" s="95"/>
      <x:c r="W89" s="92"/>
      <x:c r="X89" s="92"/>
      <x:c r="Y89" s="92"/>
      <x:c r="Z89" s="92"/>
      <x:c r="AA89" s="93"/>
      <x:c r="AB89" s="95"/>
      <x:c r="AC89" s="92"/>
      <x:c r="AD89" s="92"/>
      <x:c r="AE89" s="94" t="str">
        <x:f>IF(A89="","",IF(Y89="Approved",IF(AD89="","Approved — Schedule","Scheduled / Linked"),IF(Y89="Rejected","Closed — Rejected",IF(Y89="Cancelled","Closed — Cancelled","Pending Approval"))))</x:f>
      </x:c>
      <x:c r="AF89" s="92"/>
    </x:row>
    <x:row r="90">
      <x:c r="A90" s="92"/>
      <x:c r="B90" s="93"/>
      <x:c r="C90" s="92"/>
      <x:c r="D90" s="92"/>
      <x:c r="E90" s="92"/>
      <x:c r="F90" s="92"/>
      <x:c r="G90" s="92"/>
      <x:c r="H90" s="94" t="str">
        <x:f>IFERROR(VLOOKUP(G90,'01 Staff Master'!$A$6:$M$105,2,FALSE),"")</x:f>
      </x:c>
      <x:c r="I90" s="94" t="str">
        <x:f>IFERROR(VLOOKUP(G90,'01 Staff Master'!$A$6:$M$105,5,FALSE),"")</x:f>
      </x:c>
      <x:c r="J90" s="92"/>
      <x:c r="K90" s="94" t="str">
        <x:f>IFERROR(VLOOKUP(J90,'02 Skill Catalogue'!$A$6:$K$95,4,FALSE),"")</x:f>
      </x:c>
      <x:c r="L90" s="94" t="str">
        <x:f>IF(OR(G90="",J90=""),"",IF(COUNTIFS('04 Assessment Log'!$D$6:$D$155,G90,'04 Assessment Log'!$J$6:$J$155,J90,'04 Assessment Log'!$AA$6:$AA$155,"Yes")=0,"",SUMIFS('04 Assessment Log'!$O$6:$O$155,'04 Assessment Log'!$D$6:$D$155,G90,'04 Assessment Log'!$J$6:$J$155,J90,'04 Assessment Log'!$AA$6:$AA$155,"Yes")))</x:f>
      </x:c>
      <x:c r="M90" s="92"/>
      <x:c r="N90" s="94" t="str">
        <x:f>IF(OR(L90="",M90=""),"",MAX(M90-L90,0))</x:f>
      </x:c>
      <x:c r="O90" s="92"/>
      <x:c r="P90" s="92"/>
      <x:c r="Q90" s="92"/>
      <x:c r="R90" s="92"/>
      <x:c r="S90" s="92"/>
      <x:c r="T90" s="93"/>
      <x:c r="U90" s="93"/>
      <x:c r="V90" s="95"/>
      <x:c r="W90" s="92"/>
      <x:c r="X90" s="92"/>
      <x:c r="Y90" s="92"/>
      <x:c r="Z90" s="92"/>
      <x:c r="AA90" s="93"/>
      <x:c r="AB90" s="95"/>
      <x:c r="AC90" s="92"/>
      <x:c r="AD90" s="92"/>
      <x:c r="AE90" s="94" t="str">
        <x:f>IF(A90="","",IF(Y90="Approved",IF(AD90="","Approved — Schedule","Scheduled / Linked"),IF(Y90="Rejected","Closed — Rejected",IF(Y90="Cancelled","Closed — Cancelled","Pending Approval"))))</x:f>
      </x:c>
      <x:c r="AF90" s="92"/>
    </x:row>
    <x:row r="91">
      <x:c r="A91" s="92"/>
      <x:c r="B91" s="93"/>
      <x:c r="C91" s="92"/>
      <x:c r="D91" s="92"/>
      <x:c r="E91" s="92"/>
      <x:c r="F91" s="92"/>
      <x:c r="G91" s="92"/>
      <x:c r="H91" s="94" t="str">
        <x:f>IFERROR(VLOOKUP(G91,'01 Staff Master'!$A$6:$M$105,2,FALSE),"")</x:f>
      </x:c>
      <x:c r="I91" s="94" t="str">
        <x:f>IFERROR(VLOOKUP(G91,'01 Staff Master'!$A$6:$M$105,5,FALSE),"")</x:f>
      </x:c>
      <x:c r="J91" s="92"/>
      <x:c r="K91" s="94" t="str">
        <x:f>IFERROR(VLOOKUP(J91,'02 Skill Catalogue'!$A$6:$K$95,4,FALSE),"")</x:f>
      </x:c>
      <x:c r="L91" s="94" t="str">
        <x:f>IF(OR(G91="",J91=""),"",IF(COUNTIFS('04 Assessment Log'!$D$6:$D$155,G91,'04 Assessment Log'!$J$6:$J$155,J91,'04 Assessment Log'!$AA$6:$AA$155,"Yes")=0,"",SUMIFS('04 Assessment Log'!$O$6:$O$155,'04 Assessment Log'!$D$6:$D$155,G91,'04 Assessment Log'!$J$6:$J$155,J91,'04 Assessment Log'!$AA$6:$AA$155,"Yes")))</x:f>
      </x:c>
      <x:c r="M91" s="92"/>
      <x:c r="N91" s="94" t="str">
        <x:f>IF(OR(L91="",M91=""),"",MAX(M91-L91,0))</x:f>
      </x:c>
      <x:c r="O91" s="92"/>
      <x:c r="P91" s="92"/>
      <x:c r="Q91" s="92"/>
      <x:c r="R91" s="92"/>
      <x:c r="S91" s="92"/>
      <x:c r="T91" s="93"/>
      <x:c r="U91" s="93"/>
      <x:c r="V91" s="95"/>
      <x:c r="W91" s="92"/>
      <x:c r="X91" s="92"/>
      <x:c r="Y91" s="92"/>
      <x:c r="Z91" s="92"/>
      <x:c r="AA91" s="93"/>
      <x:c r="AB91" s="95"/>
      <x:c r="AC91" s="92"/>
      <x:c r="AD91" s="92"/>
      <x:c r="AE91" s="94" t="str">
        <x:f>IF(A91="","",IF(Y91="Approved",IF(AD91="","Approved — Schedule","Scheduled / Linked"),IF(Y91="Rejected","Closed — Rejected",IF(Y91="Cancelled","Closed — Cancelled","Pending Approval"))))</x:f>
      </x:c>
      <x:c r="AF91" s="92"/>
    </x:row>
    <x:row r="92">
      <x:c r="A92" s="92"/>
      <x:c r="B92" s="93"/>
      <x:c r="C92" s="92"/>
      <x:c r="D92" s="92"/>
      <x:c r="E92" s="92"/>
      <x:c r="F92" s="92"/>
      <x:c r="G92" s="92"/>
      <x:c r="H92" s="94" t="str">
        <x:f>IFERROR(VLOOKUP(G92,'01 Staff Master'!$A$6:$M$105,2,FALSE),"")</x:f>
      </x:c>
      <x:c r="I92" s="94" t="str">
        <x:f>IFERROR(VLOOKUP(G92,'01 Staff Master'!$A$6:$M$105,5,FALSE),"")</x:f>
      </x:c>
      <x:c r="J92" s="92"/>
      <x:c r="K92" s="94" t="str">
        <x:f>IFERROR(VLOOKUP(J92,'02 Skill Catalogue'!$A$6:$K$95,4,FALSE),"")</x:f>
      </x:c>
      <x:c r="L92" s="94" t="str">
        <x:f>IF(OR(G92="",J92=""),"",IF(COUNTIFS('04 Assessment Log'!$D$6:$D$155,G92,'04 Assessment Log'!$J$6:$J$155,J92,'04 Assessment Log'!$AA$6:$AA$155,"Yes")=0,"",SUMIFS('04 Assessment Log'!$O$6:$O$155,'04 Assessment Log'!$D$6:$D$155,G92,'04 Assessment Log'!$J$6:$J$155,J92,'04 Assessment Log'!$AA$6:$AA$155,"Yes")))</x:f>
      </x:c>
      <x:c r="M92" s="92"/>
      <x:c r="N92" s="94" t="str">
        <x:f>IF(OR(L92="",M92=""),"",MAX(M92-L92,0))</x:f>
      </x:c>
      <x:c r="O92" s="92"/>
      <x:c r="P92" s="92"/>
      <x:c r="Q92" s="92"/>
      <x:c r="R92" s="92"/>
      <x:c r="S92" s="92"/>
      <x:c r="T92" s="93"/>
      <x:c r="U92" s="93"/>
      <x:c r="V92" s="95"/>
      <x:c r="W92" s="92"/>
      <x:c r="X92" s="92"/>
      <x:c r="Y92" s="92"/>
      <x:c r="Z92" s="92"/>
      <x:c r="AA92" s="93"/>
      <x:c r="AB92" s="95"/>
      <x:c r="AC92" s="92"/>
      <x:c r="AD92" s="92"/>
      <x:c r="AE92" s="94" t="str">
        <x:f>IF(A92="","",IF(Y92="Approved",IF(AD92="","Approved — Schedule","Scheduled / Linked"),IF(Y92="Rejected","Closed — Rejected",IF(Y92="Cancelled","Closed — Cancelled","Pending Approval"))))</x:f>
      </x:c>
      <x:c r="AF92" s="92"/>
    </x:row>
    <x:row r="93">
      <x:c r="A93" s="92"/>
      <x:c r="B93" s="93"/>
      <x:c r="C93" s="92"/>
      <x:c r="D93" s="92"/>
      <x:c r="E93" s="92"/>
      <x:c r="F93" s="92"/>
      <x:c r="G93" s="92"/>
      <x:c r="H93" s="94" t="str">
        <x:f>IFERROR(VLOOKUP(G93,'01 Staff Master'!$A$6:$M$105,2,FALSE),"")</x:f>
      </x:c>
      <x:c r="I93" s="94" t="str">
        <x:f>IFERROR(VLOOKUP(G93,'01 Staff Master'!$A$6:$M$105,5,FALSE),"")</x:f>
      </x:c>
      <x:c r="J93" s="92"/>
      <x:c r="K93" s="94" t="str">
        <x:f>IFERROR(VLOOKUP(J93,'02 Skill Catalogue'!$A$6:$K$95,4,FALSE),"")</x:f>
      </x:c>
      <x:c r="L93" s="94" t="str">
        <x:f>IF(OR(G93="",J93=""),"",IF(COUNTIFS('04 Assessment Log'!$D$6:$D$155,G93,'04 Assessment Log'!$J$6:$J$155,J93,'04 Assessment Log'!$AA$6:$AA$155,"Yes")=0,"",SUMIFS('04 Assessment Log'!$O$6:$O$155,'04 Assessment Log'!$D$6:$D$155,G93,'04 Assessment Log'!$J$6:$J$155,J93,'04 Assessment Log'!$AA$6:$AA$155,"Yes")))</x:f>
      </x:c>
      <x:c r="M93" s="92"/>
      <x:c r="N93" s="94" t="str">
        <x:f>IF(OR(L93="",M93=""),"",MAX(M93-L93,0))</x:f>
      </x:c>
      <x:c r="O93" s="92"/>
      <x:c r="P93" s="92"/>
      <x:c r="Q93" s="92"/>
      <x:c r="R93" s="92"/>
      <x:c r="S93" s="92"/>
      <x:c r="T93" s="93"/>
      <x:c r="U93" s="93"/>
      <x:c r="V93" s="95"/>
      <x:c r="W93" s="92"/>
      <x:c r="X93" s="92"/>
      <x:c r="Y93" s="92"/>
      <x:c r="Z93" s="92"/>
      <x:c r="AA93" s="93"/>
      <x:c r="AB93" s="95"/>
      <x:c r="AC93" s="92"/>
      <x:c r="AD93" s="92"/>
      <x:c r="AE93" s="94" t="str">
        <x:f>IF(A93="","",IF(Y93="Approved",IF(AD93="","Approved — Schedule","Scheduled / Linked"),IF(Y93="Rejected","Closed — Rejected",IF(Y93="Cancelled","Closed — Cancelled","Pending Approval"))))</x:f>
      </x:c>
      <x:c r="AF93" s="92"/>
    </x:row>
    <x:row r="94">
      <x:c r="A94" s="92"/>
      <x:c r="B94" s="93"/>
      <x:c r="C94" s="92"/>
      <x:c r="D94" s="92"/>
      <x:c r="E94" s="92"/>
      <x:c r="F94" s="92"/>
      <x:c r="G94" s="92"/>
      <x:c r="H94" s="94" t="str">
        <x:f>IFERROR(VLOOKUP(G94,'01 Staff Master'!$A$6:$M$105,2,FALSE),"")</x:f>
      </x:c>
      <x:c r="I94" s="94" t="str">
        <x:f>IFERROR(VLOOKUP(G94,'01 Staff Master'!$A$6:$M$105,5,FALSE),"")</x:f>
      </x:c>
      <x:c r="J94" s="92"/>
      <x:c r="K94" s="94" t="str">
        <x:f>IFERROR(VLOOKUP(J94,'02 Skill Catalogue'!$A$6:$K$95,4,FALSE),"")</x:f>
      </x:c>
      <x:c r="L94" s="94" t="str">
        <x:f>IF(OR(G94="",J94=""),"",IF(COUNTIFS('04 Assessment Log'!$D$6:$D$155,G94,'04 Assessment Log'!$J$6:$J$155,J94,'04 Assessment Log'!$AA$6:$AA$155,"Yes")=0,"",SUMIFS('04 Assessment Log'!$O$6:$O$155,'04 Assessment Log'!$D$6:$D$155,G94,'04 Assessment Log'!$J$6:$J$155,J94,'04 Assessment Log'!$AA$6:$AA$155,"Yes")))</x:f>
      </x:c>
      <x:c r="M94" s="92"/>
      <x:c r="N94" s="94" t="str">
        <x:f>IF(OR(L94="",M94=""),"",MAX(M94-L94,0))</x:f>
      </x:c>
      <x:c r="O94" s="92"/>
      <x:c r="P94" s="92"/>
      <x:c r="Q94" s="92"/>
      <x:c r="R94" s="92"/>
      <x:c r="S94" s="92"/>
      <x:c r="T94" s="93"/>
      <x:c r="U94" s="93"/>
      <x:c r="V94" s="95"/>
      <x:c r="W94" s="92"/>
      <x:c r="X94" s="92"/>
      <x:c r="Y94" s="92"/>
      <x:c r="Z94" s="92"/>
      <x:c r="AA94" s="93"/>
      <x:c r="AB94" s="95"/>
      <x:c r="AC94" s="92"/>
      <x:c r="AD94" s="92"/>
      <x:c r="AE94" s="94" t="str">
        <x:f>IF(A94="","",IF(Y94="Approved",IF(AD94="","Approved — Schedule","Scheduled / Linked"),IF(Y94="Rejected","Closed — Rejected",IF(Y94="Cancelled","Closed — Cancelled","Pending Approval"))))</x:f>
      </x:c>
      <x:c r="AF94" s="92"/>
    </x:row>
    <x:row r="95">
      <x:c r="A95" s="92"/>
      <x:c r="B95" s="93"/>
      <x:c r="C95" s="92"/>
      <x:c r="D95" s="92"/>
      <x:c r="E95" s="92"/>
      <x:c r="F95" s="92"/>
      <x:c r="G95" s="92"/>
      <x:c r="H95" s="94" t="str">
        <x:f>IFERROR(VLOOKUP(G95,'01 Staff Master'!$A$6:$M$105,2,FALSE),"")</x:f>
      </x:c>
      <x:c r="I95" s="94" t="str">
        <x:f>IFERROR(VLOOKUP(G95,'01 Staff Master'!$A$6:$M$105,5,FALSE),"")</x:f>
      </x:c>
      <x:c r="J95" s="92"/>
      <x:c r="K95" s="94" t="str">
        <x:f>IFERROR(VLOOKUP(J95,'02 Skill Catalogue'!$A$6:$K$95,4,FALSE),"")</x:f>
      </x:c>
      <x:c r="L95" s="94" t="str">
        <x:f>IF(OR(G95="",J95=""),"",IF(COUNTIFS('04 Assessment Log'!$D$6:$D$155,G95,'04 Assessment Log'!$J$6:$J$155,J95,'04 Assessment Log'!$AA$6:$AA$155,"Yes")=0,"",SUMIFS('04 Assessment Log'!$O$6:$O$155,'04 Assessment Log'!$D$6:$D$155,G95,'04 Assessment Log'!$J$6:$J$155,J95,'04 Assessment Log'!$AA$6:$AA$155,"Yes")))</x:f>
      </x:c>
      <x:c r="M95" s="92"/>
      <x:c r="N95" s="94" t="str">
        <x:f>IF(OR(L95="",M95=""),"",MAX(M95-L95,0))</x:f>
      </x:c>
      <x:c r="O95" s="92"/>
      <x:c r="P95" s="92"/>
      <x:c r="Q95" s="92"/>
      <x:c r="R95" s="92"/>
      <x:c r="S95" s="92"/>
      <x:c r="T95" s="93"/>
      <x:c r="U95" s="93"/>
      <x:c r="V95" s="95"/>
      <x:c r="W95" s="92"/>
      <x:c r="X95" s="92"/>
      <x:c r="Y95" s="92"/>
      <x:c r="Z95" s="92"/>
      <x:c r="AA95" s="93"/>
      <x:c r="AB95" s="95"/>
      <x:c r="AC95" s="92"/>
      <x:c r="AD95" s="92"/>
      <x:c r="AE95" s="94" t="str">
        <x:f>IF(A95="","",IF(Y95="Approved",IF(AD95="","Approved — Schedule","Scheduled / Linked"),IF(Y95="Rejected","Closed — Rejected",IF(Y95="Cancelled","Closed — Cancelled","Pending Approval"))))</x:f>
      </x:c>
      <x:c r="AF95" s="92"/>
    </x:row>
    <x:row r="96">
      <x:c r="A96" s="92"/>
      <x:c r="B96" s="93"/>
      <x:c r="C96" s="92"/>
      <x:c r="D96" s="92"/>
      <x:c r="E96" s="92"/>
      <x:c r="F96" s="92"/>
      <x:c r="G96" s="92"/>
      <x:c r="H96" s="94" t="str">
        <x:f>IFERROR(VLOOKUP(G96,'01 Staff Master'!$A$6:$M$105,2,FALSE),"")</x:f>
      </x:c>
      <x:c r="I96" s="94" t="str">
        <x:f>IFERROR(VLOOKUP(G96,'01 Staff Master'!$A$6:$M$105,5,FALSE),"")</x:f>
      </x:c>
      <x:c r="J96" s="92"/>
      <x:c r="K96" s="94" t="str">
        <x:f>IFERROR(VLOOKUP(J96,'02 Skill Catalogue'!$A$6:$K$95,4,FALSE),"")</x:f>
      </x:c>
      <x:c r="L96" s="94" t="str">
        <x:f>IF(OR(G96="",J96=""),"",IF(COUNTIFS('04 Assessment Log'!$D$6:$D$155,G96,'04 Assessment Log'!$J$6:$J$155,J96,'04 Assessment Log'!$AA$6:$AA$155,"Yes")=0,"",SUMIFS('04 Assessment Log'!$O$6:$O$155,'04 Assessment Log'!$D$6:$D$155,G96,'04 Assessment Log'!$J$6:$J$155,J96,'04 Assessment Log'!$AA$6:$AA$155,"Yes")))</x:f>
      </x:c>
      <x:c r="M96" s="92"/>
      <x:c r="N96" s="94" t="str">
        <x:f>IF(OR(L96="",M96=""),"",MAX(M96-L96,0))</x:f>
      </x:c>
      <x:c r="O96" s="92"/>
      <x:c r="P96" s="92"/>
      <x:c r="Q96" s="92"/>
      <x:c r="R96" s="92"/>
      <x:c r="S96" s="92"/>
      <x:c r="T96" s="93"/>
      <x:c r="U96" s="93"/>
      <x:c r="V96" s="95"/>
      <x:c r="W96" s="92"/>
      <x:c r="X96" s="92"/>
      <x:c r="Y96" s="92"/>
      <x:c r="Z96" s="92"/>
      <x:c r="AA96" s="93"/>
      <x:c r="AB96" s="95"/>
      <x:c r="AC96" s="92"/>
      <x:c r="AD96" s="92"/>
      <x:c r="AE96" s="94" t="str">
        <x:f>IF(A96="","",IF(Y96="Approved",IF(AD96="","Approved — Schedule","Scheduled / Linked"),IF(Y96="Rejected","Closed — Rejected",IF(Y96="Cancelled","Closed — Cancelled","Pending Approval"))))</x:f>
      </x:c>
      <x:c r="AF96" s="92"/>
    </x:row>
    <x:row r="97">
      <x:c r="A97" s="92"/>
      <x:c r="B97" s="93"/>
      <x:c r="C97" s="92"/>
      <x:c r="D97" s="92"/>
      <x:c r="E97" s="92"/>
      <x:c r="F97" s="92"/>
      <x:c r="G97" s="92"/>
      <x:c r="H97" s="94" t="str">
        <x:f>IFERROR(VLOOKUP(G97,'01 Staff Master'!$A$6:$M$105,2,FALSE),"")</x:f>
      </x:c>
      <x:c r="I97" s="94" t="str">
        <x:f>IFERROR(VLOOKUP(G97,'01 Staff Master'!$A$6:$M$105,5,FALSE),"")</x:f>
      </x:c>
      <x:c r="J97" s="92"/>
      <x:c r="K97" s="94" t="str">
        <x:f>IFERROR(VLOOKUP(J97,'02 Skill Catalogue'!$A$6:$K$95,4,FALSE),"")</x:f>
      </x:c>
      <x:c r="L97" s="94" t="str">
        <x:f>IF(OR(G97="",J97=""),"",IF(COUNTIFS('04 Assessment Log'!$D$6:$D$155,G97,'04 Assessment Log'!$J$6:$J$155,J97,'04 Assessment Log'!$AA$6:$AA$155,"Yes")=0,"",SUMIFS('04 Assessment Log'!$O$6:$O$155,'04 Assessment Log'!$D$6:$D$155,G97,'04 Assessment Log'!$J$6:$J$155,J97,'04 Assessment Log'!$AA$6:$AA$155,"Yes")))</x:f>
      </x:c>
      <x:c r="M97" s="92"/>
      <x:c r="N97" s="94" t="str">
        <x:f>IF(OR(L97="",M97=""),"",MAX(M97-L97,0))</x:f>
      </x:c>
      <x:c r="O97" s="92"/>
      <x:c r="P97" s="92"/>
      <x:c r="Q97" s="92"/>
      <x:c r="R97" s="92"/>
      <x:c r="S97" s="92"/>
      <x:c r="T97" s="93"/>
      <x:c r="U97" s="93"/>
      <x:c r="V97" s="95"/>
      <x:c r="W97" s="92"/>
      <x:c r="X97" s="92"/>
      <x:c r="Y97" s="92"/>
      <x:c r="Z97" s="92"/>
      <x:c r="AA97" s="93"/>
      <x:c r="AB97" s="95"/>
      <x:c r="AC97" s="92"/>
      <x:c r="AD97" s="92"/>
      <x:c r="AE97" s="94" t="str">
        <x:f>IF(A97="","",IF(Y97="Approved",IF(AD97="","Approved — Schedule","Scheduled / Linked"),IF(Y97="Rejected","Closed — Rejected",IF(Y97="Cancelled","Closed — Cancelled","Pending Approval"))))</x:f>
      </x:c>
      <x:c r="AF97" s="92"/>
    </x:row>
    <x:row r="98">
      <x:c r="A98" s="92"/>
      <x:c r="B98" s="93"/>
      <x:c r="C98" s="92"/>
      <x:c r="D98" s="92"/>
      <x:c r="E98" s="92"/>
      <x:c r="F98" s="92"/>
      <x:c r="G98" s="92"/>
      <x:c r="H98" s="94" t="str">
        <x:f>IFERROR(VLOOKUP(G98,'01 Staff Master'!$A$6:$M$105,2,FALSE),"")</x:f>
      </x:c>
      <x:c r="I98" s="94" t="str">
        <x:f>IFERROR(VLOOKUP(G98,'01 Staff Master'!$A$6:$M$105,5,FALSE),"")</x:f>
      </x:c>
      <x:c r="J98" s="92"/>
      <x:c r="K98" s="94" t="str">
        <x:f>IFERROR(VLOOKUP(J98,'02 Skill Catalogue'!$A$6:$K$95,4,FALSE),"")</x:f>
      </x:c>
      <x:c r="L98" s="94" t="str">
        <x:f>IF(OR(G98="",J98=""),"",IF(COUNTIFS('04 Assessment Log'!$D$6:$D$155,G98,'04 Assessment Log'!$J$6:$J$155,J98,'04 Assessment Log'!$AA$6:$AA$155,"Yes")=0,"",SUMIFS('04 Assessment Log'!$O$6:$O$155,'04 Assessment Log'!$D$6:$D$155,G98,'04 Assessment Log'!$J$6:$J$155,J98,'04 Assessment Log'!$AA$6:$AA$155,"Yes")))</x:f>
      </x:c>
      <x:c r="M98" s="92"/>
      <x:c r="N98" s="94" t="str">
        <x:f>IF(OR(L98="",M98=""),"",MAX(M98-L98,0))</x:f>
      </x:c>
      <x:c r="O98" s="92"/>
      <x:c r="P98" s="92"/>
      <x:c r="Q98" s="92"/>
      <x:c r="R98" s="92"/>
      <x:c r="S98" s="92"/>
      <x:c r="T98" s="93"/>
      <x:c r="U98" s="93"/>
      <x:c r="V98" s="95"/>
      <x:c r="W98" s="92"/>
      <x:c r="X98" s="92"/>
      <x:c r="Y98" s="92"/>
      <x:c r="Z98" s="92"/>
      <x:c r="AA98" s="93"/>
      <x:c r="AB98" s="95"/>
      <x:c r="AC98" s="92"/>
      <x:c r="AD98" s="92"/>
      <x:c r="AE98" s="94" t="str">
        <x:f>IF(A98="","",IF(Y98="Approved",IF(AD98="","Approved — Schedule","Scheduled / Linked"),IF(Y98="Rejected","Closed — Rejected",IF(Y98="Cancelled","Closed — Cancelled","Pending Approval"))))</x:f>
      </x:c>
      <x:c r="AF98" s="92"/>
    </x:row>
    <x:row r="99">
      <x:c r="A99" s="92"/>
      <x:c r="B99" s="93"/>
      <x:c r="C99" s="92"/>
      <x:c r="D99" s="92"/>
      <x:c r="E99" s="92"/>
      <x:c r="F99" s="92"/>
      <x:c r="G99" s="92"/>
      <x:c r="H99" s="94" t="str">
        <x:f>IFERROR(VLOOKUP(G99,'01 Staff Master'!$A$6:$M$105,2,FALSE),"")</x:f>
      </x:c>
      <x:c r="I99" s="94" t="str">
        <x:f>IFERROR(VLOOKUP(G99,'01 Staff Master'!$A$6:$M$105,5,FALSE),"")</x:f>
      </x:c>
      <x:c r="J99" s="92"/>
      <x:c r="K99" s="94" t="str">
        <x:f>IFERROR(VLOOKUP(J99,'02 Skill Catalogue'!$A$6:$K$95,4,FALSE),"")</x:f>
      </x:c>
      <x:c r="L99" s="94" t="str">
        <x:f>IF(OR(G99="",J99=""),"",IF(COUNTIFS('04 Assessment Log'!$D$6:$D$155,G99,'04 Assessment Log'!$J$6:$J$155,J99,'04 Assessment Log'!$AA$6:$AA$155,"Yes")=0,"",SUMIFS('04 Assessment Log'!$O$6:$O$155,'04 Assessment Log'!$D$6:$D$155,G99,'04 Assessment Log'!$J$6:$J$155,J99,'04 Assessment Log'!$AA$6:$AA$155,"Yes")))</x:f>
      </x:c>
      <x:c r="M99" s="92"/>
      <x:c r="N99" s="94" t="str">
        <x:f>IF(OR(L99="",M99=""),"",MAX(M99-L99,0))</x:f>
      </x:c>
      <x:c r="O99" s="92"/>
      <x:c r="P99" s="92"/>
      <x:c r="Q99" s="92"/>
      <x:c r="R99" s="92"/>
      <x:c r="S99" s="92"/>
      <x:c r="T99" s="93"/>
      <x:c r="U99" s="93"/>
      <x:c r="V99" s="95"/>
      <x:c r="W99" s="92"/>
      <x:c r="X99" s="92"/>
      <x:c r="Y99" s="92"/>
      <x:c r="Z99" s="92"/>
      <x:c r="AA99" s="93"/>
      <x:c r="AB99" s="95"/>
      <x:c r="AC99" s="92"/>
      <x:c r="AD99" s="92"/>
      <x:c r="AE99" s="94" t="str">
        <x:f>IF(A99="","",IF(Y99="Approved",IF(AD99="","Approved — Schedule","Scheduled / Linked"),IF(Y99="Rejected","Closed — Rejected",IF(Y99="Cancelled","Closed — Cancelled","Pending Approval"))))</x:f>
      </x:c>
      <x:c r="AF99" s="92"/>
    </x:row>
    <x:row r="100">
      <x:c r="A100" s="92"/>
      <x:c r="B100" s="93"/>
      <x:c r="C100" s="92"/>
      <x:c r="D100" s="92"/>
      <x:c r="E100" s="92"/>
      <x:c r="F100" s="92"/>
      <x:c r="G100" s="92"/>
      <x:c r="H100" s="94" t="str">
        <x:f>IFERROR(VLOOKUP(G100,'01 Staff Master'!$A$6:$M$105,2,FALSE),"")</x:f>
      </x:c>
      <x:c r="I100" s="94" t="str">
        <x:f>IFERROR(VLOOKUP(G100,'01 Staff Master'!$A$6:$M$105,5,FALSE),"")</x:f>
      </x:c>
      <x:c r="J100" s="92"/>
      <x:c r="K100" s="94" t="str">
        <x:f>IFERROR(VLOOKUP(J100,'02 Skill Catalogue'!$A$6:$K$95,4,FALSE),"")</x:f>
      </x:c>
      <x:c r="L100" s="94" t="str">
        <x:f>IF(OR(G100="",J100=""),"",IF(COUNTIFS('04 Assessment Log'!$D$6:$D$155,G100,'04 Assessment Log'!$J$6:$J$155,J100,'04 Assessment Log'!$AA$6:$AA$155,"Yes")=0,"",SUMIFS('04 Assessment Log'!$O$6:$O$155,'04 Assessment Log'!$D$6:$D$155,G100,'04 Assessment Log'!$J$6:$J$155,J100,'04 Assessment Log'!$AA$6:$AA$155,"Yes")))</x:f>
      </x:c>
      <x:c r="M100" s="92"/>
      <x:c r="N100" s="94" t="str">
        <x:f>IF(OR(L100="",M100=""),"",MAX(M100-L100,0))</x:f>
      </x:c>
      <x:c r="O100" s="92"/>
      <x:c r="P100" s="92"/>
      <x:c r="Q100" s="92"/>
      <x:c r="R100" s="92"/>
      <x:c r="S100" s="92"/>
      <x:c r="T100" s="93"/>
      <x:c r="U100" s="93"/>
      <x:c r="V100" s="95"/>
      <x:c r="W100" s="92"/>
      <x:c r="X100" s="92"/>
      <x:c r="Y100" s="92"/>
      <x:c r="Z100" s="92"/>
      <x:c r="AA100" s="93"/>
      <x:c r="AB100" s="95"/>
      <x:c r="AC100" s="92"/>
      <x:c r="AD100" s="92"/>
      <x:c r="AE100" s="94" t="str">
        <x:f>IF(A100="","",IF(Y100="Approved",IF(AD100="","Approved — Schedule","Scheduled / Linked"),IF(Y100="Rejected","Closed — Rejected",IF(Y100="Cancelled","Closed — Cancelled","Pending Approval"))))</x:f>
      </x:c>
      <x:c r="AF100" s="92"/>
    </x:row>
    <x:row r="101">
      <x:c r="A101" s="92"/>
      <x:c r="B101" s="93"/>
      <x:c r="C101" s="92"/>
      <x:c r="D101" s="92"/>
      <x:c r="E101" s="92"/>
      <x:c r="F101" s="92"/>
      <x:c r="G101" s="92"/>
      <x:c r="H101" s="94" t="str">
        <x:f>IFERROR(VLOOKUP(G101,'01 Staff Master'!$A$6:$M$105,2,FALSE),"")</x:f>
      </x:c>
      <x:c r="I101" s="94" t="str">
        <x:f>IFERROR(VLOOKUP(G101,'01 Staff Master'!$A$6:$M$105,5,FALSE),"")</x:f>
      </x:c>
      <x:c r="J101" s="92"/>
      <x:c r="K101" s="94" t="str">
        <x:f>IFERROR(VLOOKUP(J101,'02 Skill Catalogue'!$A$6:$K$95,4,FALSE),"")</x:f>
      </x:c>
      <x:c r="L101" s="94" t="str">
        <x:f>IF(OR(G101="",J101=""),"",IF(COUNTIFS('04 Assessment Log'!$D$6:$D$155,G101,'04 Assessment Log'!$J$6:$J$155,J101,'04 Assessment Log'!$AA$6:$AA$155,"Yes")=0,"",SUMIFS('04 Assessment Log'!$O$6:$O$155,'04 Assessment Log'!$D$6:$D$155,G101,'04 Assessment Log'!$J$6:$J$155,J101,'04 Assessment Log'!$AA$6:$AA$155,"Yes")))</x:f>
      </x:c>
      <x:c r="M101" s="92"/>
      <x:c r="N101" s="94" t="str">
        <x:f>IF(OR(L101="",M101=""),"",MAX(M101-L101,0))</x:f>
      </x:c>
      <x:c r="O101" s="92"/>
      <x:c r="P101" s="92"/>
      <x:c r="Q101" s="92"/>
      <x:c r="R101" s="92"/>
      <x:c r="S101" s="92"/>
      <x:c r="T101" s="93"/>
      <x:c r="U101" s="93"/>
      <x:c r="V101" s="95"/>
      <x:c r="W101" s="92"/>
      <x:c r="X101" s="92"/>
      <x:c r="Y101" s="92"/>
      <x:c r="Z101" s="92"/>
      <x:c r="AA101" s="93"/>
      <x:c r="AB101" s="95"/>
      <x:c r="AC101" s="92"/>
      <x:c r="AD101" s="92"/>
      <x:c r="AE101" s="94" t="str">
        <x:f>IF(A101="","",IF(Y101="Approved",IF(AD101="","Approved — Schedule","Scheduled / Linked"),IF(Y101="Rejected","Closed — Rejected",IF(Y101="Cancelled","Closed — Cancelled","Pending Approval"))))</x:f>
      </x:c>
      <x:c r="AF101" s="92"/>
    </x:row>
    <x:row r="102">
      <x:c r="A102" s="92"/>
      <x:c r="B102" s="93"/>
      <x:c r="C102" s="92"/>
      <x:c r="D102" s="92"/>
      <x:c r="E102" s="92"/>
      <x:c r="F102" s="92"/>
      <x:c r="G102" s="92"/>
      <x:c r="H102" s="94" t="str">
        <x:f>IFERROR(VLOOKUP(G102,'01 Staff Master'!$A$6:$M$105,2,FALSE),"")</x:f>
      </x:c>
      <x:c r="I102" s="94" t="str">
        <x:f>IFERROR(VLOOKUP(G102,'01 Staff Master'!$A$6:$M$105,5,FALSE),"")</x:f>
      </x:c>
      <x:c r="J102" s="92"/>
      <x:c r="K102" s="94" t="str">
        <x:f>IFERROR(VLOOKUP(J102,'02 Skill Catalogue'!$A$6:$K$95,4,FALSE),"")</x:f>
      </x:c>
      <x:c r="L102" s="94" t="str">
        <x:f>IF(OR(G102="",J102=""),"",IF(COUNTIFS('04 Assessment Log'!$D$6:$D$155,G102,'04 Assessment Log'!$J$6:$J$155,J102,'04 Assessment Log'!$AA$6:$AA$155,"Yes")=0,"",SUMIFS('04 Assessment Log'!$O$6:$O$155,'04 Assessment Log'!$D$6:$D$155,G102,'04 Assessment Log'!$J$6:$J$155,J102,'04 Assessment Log'!$AA$6:$AA$155,"Yes")))</x:f>
      </x:c>
      <x:c r="M102" s="92"/>
      <x:c r="N102" s="94" t="str">
        <x:f>IF(OR(L102="",M102=""),"",MAX(M102-L102,0))</x:f>
      </x:c>
      <x:c r="O102" s="92"/>
      <x:c r="P102" s="92"/>
      <x:c r="Q102" s="92"/>
      <x:c r="R102" s="92"/>
      <x:c r="S102" s="92"/>
      <x:c r="T102" s="93"/>
      <x:c r="U102" s="93"/>
      <x:c r="V102" s="95"/>
      <x:c r="W102" s="92"/>
      <x:c r="X102" s="92"/>
      <x:c r="Y102" s="92"/>
      <x:c r="Z102" s="92"/>
      <x:c r="AA102" s="93"/>
      <x:c r="AB102" s="95"/>
      <x:c r="AC102" s="92"/>
      <x:c r="AD102" s="92"/>
      <x:c r="AE102" s="94" t="str">
        <x:f>IF(A102="","",IF(Y102="Approved",IF(AD102="","Approved — Schedule","Scheduled / Linked"),IF(Y102="Rejected","Closed — Rejected",IF(Y102="Cancelled","Closed — Cancelled","Pending Approval"))))</x:f>
      </x:c>
      <x:c r="AF102" s="92"/>
    </x:row>
    <x:row r="103">
      <x:c r="A103" s="92"/>
      <x:c r="B103" s="93"/>
      <x:c r="C103" s="92"/>
      <x:c r="D103" s="92"/>
      <x:c r="E103" s="92"/>
      <x:c r="F103" s="92"/>
      <x:c r="G103" s="92"/>
      <x:c r="H103" s="94" t="str">
        <x:f>IFERROR(VLOOKUP(G103,'01 Staff Master'!$A$6:$M$105,2,FALSE),"")</x:f>
      </x:c>
      <x:c r="I103" s="94" t="str">
        <x:f>IFERROR(VLOOKUP(G103,'01 Staff Master'!$A$6:$M$105,5,FALSE),"")</x:f>
      </x:c>
      <x:c r="J103" s="92"/>
      <x:c r="K103" s="94" t="str">
        <x:f>IFERROR(VLOOKUP(J103,'02 Skill Catalogue'!$A$6:$K$95,4,FALSE),"")</x:f>
      </x:c>
      <x:c r="L103" s="94" t="str">
        <x:f>IF(OR(G103="",J103=""),"",IF(COUNTIFS('04 Assessment Log'!$D$6:$D$155,G103,'04 Assessment Log'!$J$6:$J$155,J103,'04 Assessment Log'!$AA$6:$AA$155,"Yes")=0,"",SUMIFS('04 Assessment Log'!$O$6:$O$155,'04 Assessment Log'!$D$6:$D$155,G103,'04 Assessment Log'!$J$6:$J$155,J103,'04 Assessment Log'!$AA$6:$AA$155,"Yes")))</x:f>
      </x:c>
      <x:c r="M103" s="92"/>
      <x:c r="N103" s="94" t="str">
        <x:f>IF(OR(L103="",M103=""),"",MAX(M103-L103,0))</x:f>
      </x:c>
      <x:c r="O103" s="92"/>
      <x:c r="P103" s="92"/>
      <x:c r="Q103" s="92"/>
      <x:c r="R103" s="92"/>
      <x:c r="S103" s="92"/>
      <x:c r="T103" s="93"/>
      <x:c r="U103" s="93"/>
      <x:c r="V103" s="95"/>
      <x:c r="W103" s="92"/>
      <x:c r="X103" s="92"/>
      <x:c r="Y103" s="92"/>
      <x:c r="Z103" s="92"/>
      <x:c r="AA103" s="93"/>
      <x:c r="AB103" s="95"/>
      <x:c r="AC103" s="92"/>
      <x:c r="AD103" s="92"/>
      <x:c r="AE103" s="94" t="str">
        <x:f>IF(A103="","",IF(Y103="Approved",IF(AD103="","Approved — Schedule","Scheduled / Linked"),IF(Y103="Rejected","Closed — Rejected",IF(Y103="Cancelled","Closed — Cancelled","Pending Approval"))))</x:f>
      </x:c>
      <x:c r="AF103" s="92"/>
    </x:row>
    <x:row r="104">
      <x:c r="A104" s="92"/>
      <x:c r="B104" s="93"/>
      <x:c r="C104" s="92"/>
      <x:c r="D104" s="92"/>
      <x:c r="E104" s="92"/>
      <x:c r="F104" s="92"/>
      <x:c r="G104" s="92"/>
      <x:c r="H104" s="94" t="str">
        <x:f>IFERROR(VLOOKUP(G104,'01 Staff Master'!$A$6:$M$105,2,FALSE),"")</x:f>
      </x:c>
      <x:c r="I104" s="94" t="str">
        <x:f>IFERROR(VLOOKUP(G104,'01 Staff Master'!$A$6:$M$105,5,FALSE),"")</x:f>
      </x:c>
      <x:c r="J104" s="92"/>
      <x:c r="K104" s="94" t="str">
        <x:f>IFERROR(VLOOKUP(J104,'02 Skill Catalogue'!$A$6:$K$95,4,FALSE),"")</x:f>
      </x:c>
      <x:c r="L104" s="94" t="str">
        <x:f>IF(OR(G104="",J104=""),"",IF(COUNTIFS('04 Assessment Log'!$D$6:$D$155,G104,'04 Assessment Log'!$J$6:$J$155,J104,'04 Assessment Log'!$AA$6:$AA$155,"Yes")=0,"",SUMIFS('04 Assessment Log'!$O$6:$O$155,'04 Assessment Log'!$D$6:$D$155,G104,'04 Assessment Log'!$J$6:$J$155,J104,'04 Assessment Log'!$AA$6:$AA$155,"Yes")))</x:f>
      </x:c>
      <x:c r="M104" s="92"/>
      <x:c r="N104" s="94" t="str">
        <x:f>IF(OR(L104="",M104=""),"",MAX(M104-L104,0))</x:f>
      </x:c>
      <x:c r="O104" s="92"/>
      <x:c r="P104" s="92"/>
      <x:c r="Q104" s="92"/>
      <x:c r="R104" s="92"/>
      <x:c r="S104" s="92"/>
      <x:c r="T104" s="93"/>
      <x:c r="U104" s="93"/>
      <x:c r="V104" s="95"/>
      <x:c r="W104" s="92"/>
      <x:c r="X104" s="92"/>
      <x:c r="Y104" s="92"/>
      <x:c r="Z104" s="92"/>
      <x:c r="AA104" s="93"/>
      <x:c r="AB104" s="95"/>
      <x:c r="AC104" s="92"/>
      <x:c r="AD104" s="92"/>
      <x:c r="AE104" s="94" t="str">
        <x:f>IF(A104="","",IF(Y104="Approved",IF(AD104="","Approved — Schedule","Scheduled / Linked"),IF(Y104="Rejected","Closed — Rejected",IF(Y104="Cancelled","Closed — Cancelled","Pending Approval"))))</x:f>
      </x:c>
      <x:c r="AF104" s="92"/>
    </x:row>
    <x:row r="105">
      <x:c r="A105" s="92"/>
      <x:c r="B105" s="93"/>
      <x:c r="C105" s="92"/>
      <x:c r="D105" s="92"/>
      <x:c r="E105" s="92"/>
      <x:c r="F105" s="92"/>
      <x:c r="G105" s="92"/>
      <x:c r="H105" s="94" t="str">
        <x:f>IFERROR(VLOOKUP(G105,'01 Staff Master'!$A$6:$M$105,2,FALSE),"")</x:f>
      </x:c>
      <x:c r="I105" s="94" t="str">
        <x:f>IFERROR(VLOOKUP(G105,'01 Staff Master'!$A$6:$M$105,5,FALSE),"")</x:f>
      </x:c>
      <x:c r="J105" s="92"/>
      <x:c r="K105" s="94" t="str">
        <x:f>IFERROR(VLOOKUP(J105,'02 Skill Catalogue'!$A$6:$K$95,4,FALSE),"")</x:f>
      </x:c>
      <x:c r="L105" s="94" t="str">
        <x:f>IF(OR(G105="",J105=""),"",IF(COUNTIFS('04 Assessment Log'!$D$6:$D$155,G105,'04 Assessment Log'!$J$6:$J$155,J105,'04 Assessment Log'!$AA$6:$AA$155,"Yes")=0,"",SUMIFS('04 Assessment Log'!$O$6:$O$155,'04 Assessment Log'!$D$6:$D$155,G105,'04 Assessment Log'!$J$6:$J$155,J105,'04 Assessment Log'!$AA$6:$AA$155,"Yes")))</x:f>
      </x:c>
      <x:c r="M105" s="92"/>
      <x:c r="N105" s="94" t="str">
        <x:f>IF(OR(L105="",M105=""),"",MAX(M105-L105,0))</x:f>
      </x:c>
      <x:c r="O105" s="92"/>
      <x:c r="P105" s="92"/>
      <x:c r="Q105" s="92"/>
      <x:c r="R105" s="92"/>
      <x:c r="S105" s="92"/>
      <x:c r="T105" s="93"/>
      <x:c r="U105" s="93"/>
      <x:c r="V105" s="95"/>
      <x:c r="W105" s="92"/>
      <x:c r="X105" s="92"/>
      <x:c r="Y105" s="92"/>
      <x:c r="Z105" s="92"/>
      <x:c r="AA105" s="93"/>
      <x:c r="AB105" s="95"/>
      <x:c r="AC105" s="92"/>
      <x:c r="AD105" s="92"/>
      <x:c r="AE105" s="94" t="str">
        <x:f>IF(A105="","",IF(Y105="Approved",IF(AD105="","Approved — Schedule","Scheduled / Linked"),IF(Y105="Rejected","Closed — Rejected",IF(Y105="Cancelled","Closed — Cancelled","Pending Approval"))))</x:f>
      </x:c>
      <x:c r="AF105" s="92"/>
    </x:row>
  </x:sheetData>
  <x:mergeCells>
    <x:mergeCell ref="A1:AF1"/>
    <x:mergeCell ref="A2:AF2"/>
    <x:mergeCell ref="A4:AF4"/>
  </x:mergeCells>
  <x:conditionalFormatting sqref="N6:N105">
    <x:cfRule type="cellIs" dxfId="18" priority="1" operator="greaterThan">
      <x:formula>0</x:formula>
    </x:cfRule>
  </x:conditionalFormatting>
  <x:dataValidations count="7">
    <x:dataValidation type="list" sqref="D6:D105">
      <x:formula1>"Production,Engineering,QAC/R&amp;D,Planning,IT,Procurement,Logistics,Sales,Marketing,Finance,HR/Admin"</x:formula1>
    </x:dataValidation>
    <x:dataValidation type="list" sqref="E6:E105">
      <x:formula1>"Skill Gap,New Machine / Technology,New Product / Process,Legal / Certification,Customer Requirement,Performance Improvement,Succession / Backup,Transfer / Promotion,Other"</x:formula1>
    </x:dataValidation>
    <x:dataValidation type="list" sqref="R6:R105">
      <x:formula1>"Internal OJT,Internal Classroom,External Classroom,E-learning,Vendor Training,Coaching,Project Assignment,Job Rotation"</x:formula1>
    </x:dataValidation>
    <x:dataValidation type="list" sqref="W6:W105">
      <x:formula1>"Recommend,Revise,Do Not Recommend"</x:formula1>
    </x:dataValidation>
    <x:dataValidation type="list" sqref="Y6:Y105">
      <x:formula1>"Draft,Pending HOD,Pending HR,Pending Approval,Approved,Rejected,Cancelled"</x:formula1>
    </x:dataValidation>
    <x:dataValidation type="list" sqref="AC6:AC105">
      <x:formula1>"Critical,High,Medium,Low"</x:formula1>
    </x:dataValidation>
    <x:dataValidation operator="between" sqref="M6:M105">
      <x:formula1>0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21d13bf8d524cb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5" hidden="0" customWidth="1"/>
    <x:col min="3" max="3" width="28" hidden="0" customWidth="1"/>
    <x:col min="4" max="4" width="14" hidden="0" customWidth="1"/>
    <x:col min="5" max="5" width="14" hidden="0" customWidth="1"/>
    <x:col min="6" max="6" width="20" hidden="0" customWidth="1"/>
    <x:col min="7" max="7" width="16" hidden="0" customWidth="1"/>
    <x:col min="8" max="8" width="24" hidden="0" customWidth="1"/>
    <x:col min="9" max="9" width="24" hidden="0" customWidth="1"/>
    <x:col min="10" max="10" width="18" hidden="0" customWidth="1"/>
    <x:col min="11" max="11" width="18" hidden="0" customWidth="1"/>
    <x:col min="12" max="12" width="13" hidden="0" customWidth="1"/>
    <x:col min="13" max="13" width="12" hidden="0" customWidth="1"/>
    <x:col min="14" max="14" width="12" hidden="0" customWidth="1"/>
    <x:col min="15" max="15" width="14" hidden="0" customWidth="1"/>
    <x:col min="16" max="16" width="12" hidden="0" customWidth="1"/>
    <x:col min="17" max="17" width="14" hidden="0" customWidth="1"/>
    <x:col min="18" max="18" width="18" hidden="0" customWidth="1"/>
    <x:col min="19" max="19" width="16" hidden="0" customWidth="1"/>
    <x:col min="20" max="20" width="14" hidden="0" customWidth="1"/>
    <x:col min="21" max="21" width="17" hidden="0" customWidth="1"/>
    <x:col min="22" max="22" width="18" hidden="0" customWidth="1"/>
    <x:col min="23" max="23" width="18" hidden="0" customWidth="1"/>
    <x:col min="24" max="24" width="18" hidden="0" customWidth="1"/>
    <x:col min="25" max="25" width="34" hidden="0" customWidth="1"/>
    <x:col min="26" max="26" width="28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  <x:col min="38" max="38" width="2" hidden="0" customWidth="1"/>
    <x:col min="39" max="39" width="2" hidden="0" customWidth="1"/>
  </x:cols>
  <x:sheetData>
    <x:row r="1" ht="30" customHeight="1">
      <x:c r="A1" s="70" t="str">
        <x:v>SBTG Training Nomination, Attendance &amp; Certification Register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0"/>
      <x:c r="L1" s="70"/>
      <x:c r="M1" s="70"/>
      <x:c r="N1" s="70"/>
      <x:c r="O1" s="70"/>
      <x:c r="P1" s="70"/>
      <x:c r="Q1" s="70"/>
      <x:c r="R1" s="70"/>
      <x:c r="S1" s="70"/>
      <x:c r="T1" s="70"/>
      <x:c r="U1" s="70"/>
      <x:c r="V1" s="70"/>
      <x:c r="W1" s="70"/>
      <x:c r="X1" s="70"/>
      <x:c r="Y1" s="70"/>
      <x:c r="Z1" s="70"/>
    </x:row>
    <x:row r="2" ht="36" customHeight="1">
      <x:c r="A2" s="74" t="str">
        <x:v>One row per participant per training event. This is the official link between a staff member, the training completed, the evaluation due, certificate status and the later effectiveness review.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  <x:c r="O2" s="74"/>
      <x:c r="P2" s="74"/>
      <x:c r="Q2" s="74"/>
      <x:c r="R2" s="74"/>
      <x:c r="S2" s="74"/>
      <x:c r="T2" s="74"/>
      <x:c r="U2" s="74"/>
      <x:c r="V2" s="74"/>
      <x:c r="W2" s="74"/>
      <x:c r="X2" s="74"/>
      <x:c r="Y2" s="74"/>
      <x:c r="Z2" s="74"/>
    </x:row>
    <x:row r="4" ht="24" customHeight="1">
      <x:c r="A4" s="77" t="str">
        <x:v>PARTICIPANT RECORD → TEST RESULT → EVALUATION DUE → EFFECTIVENESS DUE</x:v>
      </x:c>
      <x:c r="B4" s="77"/>
      <x:c r="C4" s="77"/>
      <x:c r="D4" s="77"/>
      <x:c r="E4" s="77"/>
      <x:c r="F4" s="77"/>
      <x:c r="G4" s="77"/>
      <x:c r="H4" s="77"/>
      <x:c r="I4" s="77"/>
      <x:c r="J4" s="77"/>
      <x:c r="K4" s="77"/>
      <x:c r="L4" s="77"/>
      <x:c r="M4" s="77"/>
      <x:c r="N4" s="77"/>
      <x:c r="O4" s="77"/>
      <x:c r="P4" s="77"/>
      <x:c r="Q4" s="77"/>
      <x:c r="R4" s="77"/>
      <x:c r="S4" s="77"/>
      <x:c r="T4" s="77"/>
      <x:c r="U4" s="77"/>
      <x:c r="V4" s="77"/>
      <x:c r="W4" s="77"/>
      <x:c r="X4" s="77"/>
      <x:c r="Y4" s="77"/>
      <x:c r="Z4" s="77"/>
    </x:row>
    <x:row r="5" ht="38" customHeight="1">
      <x:c r="A5" s="83" t="str">
        <x:v>Attendance ID</x:v>
      </x:c>
      <x:c r="B5" s="83" t="str">
        <x:v>Training ID</x:v>
      </x:c>
      <x:c r="C5" s="83" t="str">
        <x:v>Training Title</x:v>
      </x:c>
      <x:c r="D5" s="83" t="str">
        <x:v>Training Date</x:v>
      </x:c>
      <x:c r="E5" s="83" t="str">
        <x:v>Staff ID</x:v>
      </x:c>
      <x:c r="F5" s="83" t="str">
        <x:v>Staff Name</x:v>
      </x:c>
      <x:c r="G5" s="83" t="str">
        <x:v>Department</x:v>
      </x:c>
      <x:c r="H5" s="83" t="str">
        <x:v>Position</x:v>
      </x:c>
      <x:c r="I5" s="83" t="str">
        <x:v>Skill IDs Covered</x:v>
      </x:c>
      <x:c r="J5" s="83" t="str">
        <x:v>Request / Nomination ID</x:v>
      </x:c>
      <x:c r="K5" s="83" t="str">
        <x:v>Attendance Status</x:v>
      </x:c>
      <x:c r="L5" s="83" t="str">
        <x:v>Training Hours</x:v>
      </x:c>
      <x:c r="M5" s="83" t="str">
        <x:v>Pre-Test %</x:v>
      </x:c>
      <x:c r="N5" s="83" t="str">
        <x:v>Post-Test %</x:v>
      </x:c>
      <x:c r="O5" s="83" t="str">
        <x:v>Test Improvement</x:v>
      </x:c>
      <x:c r="P5" s="83" t="str">
        <x:v>Pass Mark %</x:v>
      </x:c>
      <x:c r="Q5" s="83" t="str">
        <x:v>Test Result</x:v>
      </x:c>
      <x:c r="R5" s="83" t="str">
        <x:v>Certificate No</x:v>
      </x:c>
      <x:c r="S5" s="83" t="str">
        <x:v>Certificate Valid Until</x:v>
      </x:c>
      <x:c r="T5" s="83" t="str">
        <x:v>Evaluation Due</x:v>
      </x:c>
      <x:c r="U5" s="83" t="str">
        <x:v>Evaluation Status</x:v>
      </x:c>
      <x:c r="V5" s="83" t="str">
        <x:v>Effectiveness Review Due</x:v>
      </x:c>
      <x:c r="W5" s="83" t="str">
        <x:v>Effectiveness Status</x:v>
      </x:c>
      <x:c r="X5" s="83" t="str">
        <x:v>Record Owner</x:v>
      </x:c>
      <x:c r="Y5" s="83" t="str">
        <x:v>Evidence / Certificate Location</x:v>
      </x:c>
      <x:c r="Z5" s="83" t="str">
        <x:v>Notes</x:v>
      </x:c>
      <x:c r="AA5" s="83" t="str">
        <x:v>Staff Sequence Key</x:v>
      </x:c>
      <x:c r="AB5" s="83" t="str">
        <x:v>Passport Attendance ID</x:v>
      </x:c>
      <x:c r="AC5" s="83" t="str">
        <x:v>Passport Training ID</x:v>
      </x:c>
      <x:c r="AD5" s="83" t="str">
        <x:v>Passport Training Title</x:v>
      </x:c>
      <x:c r="AE5" s="83" t="str">
        <x:v>Passport Training Date</x:v>
      </x:c>
      <x:c r="AF5" s="83" t="str">
        <x:v>Passport Hours</x:v>
      </x:c>
      <x:c r="AG5" s="83" t="str">
        <x:v>Passport Attendance</x:v>
      </x:c>
      <x:c r="AH5" s="83" t="str">
        <x:v>Passport Test Result</x:v>
      </x:c>
      <x:c r="AI5" s="83" t="str">
        <x:v>Passport Certificate</x:v>
      </x:c>
      <x:c r="AJ5" s="83" t="str">
        <x:v>Passport Evaluation</x:v>
      </x:c>
      <x:c r="AK5" s="83" t="str">
        <x:v>Passport Effectiveness</x:v>
      </x:c>
      <x:c r="AL5" s="83" t="str">
        <x:v>Passport Evidence</x:v>
      </x:c>
      <x:c r="AM5" s="83" t="str">
        <x:v>Passport Notes</x:v>
      </x:c>
    </x:row>
    <x:row r="6">
      <x:c r="A6" s="92"/>
      <x:c r="B6" s="92"/>
      <x:c r="C6" s="94" t="str">
        <x:f>IFERROR(VLOOKUP(B6,'06 Training Register'!$A$6:$Y$55,3,FALSE),"")</x:f>
      </x:c>
      <x:c r="D6" s="102" t="str">
        <x:f>IF(B6="","",IFERROR(IF(VLOOKUP(B6,'06 Training Register'!$A$6:$Y$55,15,FALSE)&gt;0,VLOOKUP(B6,'06 Training Register'!$A$6:$Y$55,15,FALSE),VLOOKUP(B6,'06 Training Register'!$A$6:$Y$55,12,FALSE)),""))</x:f>
      </x:c>
      <x:c r="E6" s="92"/>
      <x:c r="F6" s="94" t="str">
        <x:f>IFERROR(VLOOKUP(E6,'01 Staff Master'!$A$6:$M$105,2,FALSE),"")</x:f>
      </x:c>
      <x:c r="G6" s="94" t="str">
        <x:f>IFERROR(VLOOKUP(E6,'01 Staff Master'!$A$6:$M$105,3,FALSE),"")</x:f>
      </x:c>
      <x:c r="H6" s="94" t="str">
        <x:f>IFERROR(VLOOKUP(E6,'01 Staff Master'!$A$6:$M$105,5,FALSE),"")</x:f>
      </x:c>
      <x:c r="I6" s="94" t="str">
        <x:f>IFERROR(VLOOKUP(B6,'06 Training Register'!$A$6:$Y$55,4,FALSE),"")</x:f>
      </x:c>
      <x:c r="J6" s="92"/>
      <x:c r="K6" s="92"/>
      <x:c r="L6" s="92"/>
      <x:c r="M6" s="103"/>
      <x:c r="N6" s="103"/>
      <x:c r="O6" s="104" t="str">
        <x:f>IF(OR(M6="",N6=""),"",N6-M6)</x:f>
      </x:c>
      <x:c r="P6" s="103"/>
      <x:c r="Q6" s="94" t="str">
        <x:f>IF(OR(N6="",P6=""),"",IF(N6&gt;=P6,"Pass","Not Yet"))</x:f>
      </x:c>
      <x:c r="R6" s="92"/>
      <x:c r="S6" s="93"/>
      <x:c r="T6" s="102" t="str">
        <x:f>IF(OR(D6="",K6&lt;&gt;"Attended"),"",D6+3)</x:f>
      </x:c>
      <x:c r="U6" s="94" t="str">
        <x:f>IF(A6="","",IF(K6&lt;&gt;"Attended","N/A",IF(COUNTIFS('12 Training Evaluation'!$B$6:$B$155,B6,'12 Training Evaluation'!$C$6:$C$155,E6,'12 Training Evaluation'!$W$6:$W$155,"Complete")&gt;0,"Complete","Pending")))</x:f>
      </x:c>
      <x:c r="V6" s="102" t="str">
        <x:f>IF(OR(D6="",K6&lt;&gt;"Attended"),"",D6+30)</x:f>
      </x:c>
      <x:c r="W6" s="94" t="str">
        <x:f>IF(A6="","",IF(K6&lt;&gt;"Attended","N/A",IF(COUNTIFS('13 Effectiveness Review'!$B$6:$B$155,B6,'13 Effectiveness Review'!$C$6:$C$155,E6)&gt;0,"Reviewed",IF(V6&lt;TODAY(),"Overdue","Due"))))</x:f>
      </x:c>
      <x:c r="X6" s="92"/>
      <x:c r="Y6" s="92"/>
      <x:c r="Z6" s="92"/>
      <x:c r="AA6" s="85" t="str">
        <x:f>IF(E6="","",E6&amp;"|"&amp;COUNTIF($E$6:E6,E6))</x:f>
      </x:c>
      <x:c r="AB6" s="85" t="str">
        <x:f>IF(A6="","",A6)</x:f>
      </x:c>
      <x:c r="AC6" s="85" t="str">
        <x:f>IF(A6="","",B6)</x:f>
      </x:c>
      <x:c r="AD6" s="85" t="str">
        <x:f>IF(A6="","",C6)</x:f>
      </x:c>
      <x:c r="AE6" s="85" t="str">
        <x:f>IF(A6="","",D6)</x:f>
      </x:c>
      <x:c r="AF6" s="85" t="str">
        <x:f>IF(A6="","",L6)</x:f>
      </x:c>
      <x:c r="AG6" s="85" t="str">
        <x:f>IF(A6="","",K6)</x:f>
      </x:c>
      <x:c r="AH6" s="85" t="str">
        <x:f>IF(A6="","",Q6)</x:f>
      </x:c>
      <x:c r="AI6" s="85" t="str">
        <x:f>IF(A6="","",R6)</x:f>
      </x:c>
      <x:c r="AJ6" s="85" t="str">
        <x:f>IF(A6="","",U6)</x:f>
      </x:c>
      <x:c r="AK6" s="85" t="str">
        <x:f>IF(A6="","",W6)</x:f>
      </x:c>
      <x:c r="AL6" s="85" t="str">
        <x:f>IFERROR(IF(A6="","",Y6),"")</x:f>
      </x:c>
      <x:c r="AM6" s="85" t="str">
        <x:f>IFERROR(IF(A6="","",Z6),"")</x:f>
      </x:c>
    </x:row>
    <x:row r="7">
      <x:c r="A7" s="92"/>
      <x:c r="B7" s="92"/>
      <x:c r="C7" s="94" t="str">
        <x:f>IFERROR(VLOOKUP(B7,'06 Training Register'!$A$6:$Y$55,3,FALSE),"")</x:f>
      </x:c>
      <x:c r="D7" s="102" t="str">
        <x:f>IF(B7="","",IFERROR(IF(VLOOKUP(B7,'06 Training Register'!$A$6:$Y$55,15,FALSE)&gt;0,VLOOKUP(B7,'06 Training Register'!$A$6:$Y$55,15,FALSE),VLOOKUP(B7,'06 Training Register'!$A$6:$Y$55,12,FALSE)),""))</x:f>
      </x:c>
      <x:c r="E7" s="92"/>
      <x:c r="F7" s="94" t="str">
        <x:f>IFERROR(VLOOKUP(E7,'01 Staff Master'!$A$6:$M$105,2,FALSE),"")</x:f>
      </x:c>
      <x:c r="G7" s="94" t="str">
        <x:f>IFERROR(VLOOKUP(E7,'01 Staff Master'!$A$6:$M$105,3,FALSE),"")</x:f>
      </x:c>
      <x:c r="H7" s="94" t="str">
        <x:f>IFERROR(VLOOKUP(E7,'01 Staff Master'!$A$6:$M$105,5,FALSE),"")</x:f>
      </x:c>
      <x:c r="I7" s="94" t="str">
        <x:f>IFERROR(VLOOKUP(B7,'06 Training Register'!$A$6:$Y$55,4,FALSE),"")</x:f>
      </x:c>
      <x:c r="J7" s="92"/>
      <x:c r="K7" s="92"/>
      <x:c r="L7" s="92"/>
      <x:c r="M7" s="103"/>
      <x:c r="N7" s="103"/>
      <x:c r="O7" s="104" t="str">
        <x:f>IF(OR(M7="",N7=""),"",N7-M7)</x:f>
      </x:c>
      <x:c r="P7" s="103"/>
      <x:c r="Q7" s="94" t="str">
        <x:f>IF(OR(N7="",P7=""),"",IF(N7&gt;=P7,"Pass","Not Yet"))</x:f>
      </x:c>
      <x:c r="R7" s="92"/>
      <x:c r="S7" s="93"/>
      <x:c r="T7" s="102" t="str">
        <x:f>IF(OR(D7="",K7&lt;&gt;"Attended"),"",D7+3)</x:f>
      </x:c>
      <x:c r="U7" s="94" t="str">
        <x:f>IF(A7="","",IF(K7&lt;&gt;"Attended","N/A",IF(COUNTIFS('12 Training Evaluation'!$B$6:$B$155,B7,'12 Training Evaluation'!$C$6:$C$155,E7,'12 Training Evaluation'!$W$6:$W$155,"Complete")&gt;0,"Complete","Pending")))</x:f>
      </x:c>
      <x:c r="V7" s="102" t="str">
        <x:f>IF(OR(D7="",K7&lt;&gt;"Attended"),"",D7+30)</x:f>
      </x:c>
      <x:c r="W7" s="94" t="str">
        <x:f>IF(A7="","",IF(K7&lt;&gt;"Attended","N/A",IF(COUNTIFS('13 Effectiveness Review'!$B$6:$B$155,B7,'13 Effectiveness Review'!$C$6:$C$155,E7)&gt;0,"Reviewed",IF(V7&lt;TODAY(),"Overdue","Due"))))</x:f>
      </x:c>
      <x:c r="X7" s="92"/>
      <x:c r="Y7" s="92"/>
      <x:c r="Z7" s="92"/>
      <x:c r="AA7" s="85" t="str">
        <x:f>IF(E7="","",E7&amp;"|"&amp;COUNTIF($E$6:E7,E7))</x:f>
      </x:c>
      <x:c r="AB7" s="85" t="str">
        <x:f>IF(A7="","",A7)</x:f>
      </x:c>
      <x:c r="AC7" s="85" t="str">
        <x:f>IF(A7="","",B7)</x:f>
      </x:c>
      <x:c r="AD7" s="85" t="str">
        <x:f>IF(A7="","",C7)</x:f>
      </x:c>
      <x:c r="AE7" s="85" t="str">
        <x:f>IF(A7="","",D7)</x:f>
      </x:c>
      <x:c r="AF7" s="85" t="str">
        <x:f>IF(A7="","",L7)</x:f>
      </x:c>
      <x:c r="AG7" s="85" t="str">
        <x:f>IF(A7="","",K7)</x:f>
      </x:c>
      <x:c r="AH7" s="85" t="str">
        <x:f>IF(A7="","",Q7)</x:f>
      </x:c>
      <x:c r="AI7" s="85" t="str">
        <x:f>IF(A7="","",R7)</x:f>
      </x:c>
      <x:c r="AJ7" s="85" t="str">
        <x:f>IF(A7="","",U7)</x:f>
      </x:c>
      <x:c r="AK7" s="85" t="str">
        <x:f>IF(A7="","",W7)</x:f>
      </x:c>
      <x:c r="AL7" s="85" t="str">
        <x:f>IFERROR(IF(A7="","",Y7),"")</x:f>
      </x:c>
      <x:c r="AM7" s="85" t="str">
        <x:f>IFERROR(IF(A7="","",Z7),"")</x:f>
      </x:c>
    </x:row>
    <x:row r="8">
      <x:c r="A8" s="92"/>
      <x:c r="B8" s="92"/>
      <x:c r="C8" s="94" t="str">
        <x:f>IFERROR(VLOOKUP(B8,'06 Training Register'!$A$6:$Y$55,3,FALSE),"")</x:f>
      </x:c>
      <x:c r="D8" s="102" t="str">
        <x:f>IF(B8="","",IFERROR(IF(VLOOKUP(B8,'06 Training Register'!$A$6:$Y$55,15,FALSE)&gt;0,VLOOKUP(B8,'06 Training Register'!$A$6:$Y$55,15,FALSE),VLOOKUP(B8,'06 Training Register'!$A$6:$Y$55,12,FALSE)),""))</x:f>
      </x:c>
      <x:c r="E8" s="92"/>
      <x:c r="F8" s="94" t="str">
        <x:f>IFERROR(VLOOKUP(E8,'01 Staff Master'!$A$6:$M$105,2,FALSE),"")</x:f>
      </x:c>
      <x:c r="G8" s="94" t="str">
        <x:f>IFERROR(VLOOKUP(E8,'01 Staff Master'!$A$6:$M$105,3,FALSE),"")</x:f>
      </x:c>
      <x:c r="H8" s="94" t="str">
        <x:f>IFERROR(VLOOKUP(E8,'01 Staff Master'!$A$6:$M$105,5,FALSE),"")</x:f>
      </x:c>
      <x:c r="I8" s="94" t="str">
        <x:f>IFERROR(VLOOKUP(B8,'06 Training Register'!$A$6:$Y$55,4,FALSE),"")</x:f>
      </x:c>
      <x:c r="J8" s="92"/>
      <x:c r="K8" s="92"/>
      <x:c r="L8" s="92"/>
      <x:c r="M8" s="103"/>
      <x:c r="N8" s="103"/>
      <x:c r="O8" s="104" t="str">
        <x:f>IF(OR(M8="",N8=""),"",N8-M8)</x:f>
      </x:c>
      <x:c r="P8" s="103"/>
      <x:c r="Q8" s="94" t="str">
        <x:f>IF(OR(N8="",P8=""),"",IF(N8&gt;=P8,"Pass","Not Yet"))</x:f>
      </x:c>
      <x:c r="R8" s="92"/>
      <x:c r="S8" s="93"/>
      <x:c r="T8" s="102" t="str">
        <x:f>IF(OR(D8="",K8&lt;&gt;"Attended"),"",D8+3)</x:f>
      </x:c>
      <x:c r="U8" s="94" t="str">
        <x:f>IF(A8="","",IF(K8&lt;&gt;"Attended","N/A",IF(COUNTIFS('12 Training Evaluation'!$B$6:$B$155,B8,'12 Training Evaluation'!$C$6:$C$155,E8,'12 Training Evaluation'!$W$6:$W$155,"Complete")&gt;0,"Complete","Pending")))</x:f>
      </x:c>
      <x:c r="V8" s="102" t="str">
        <x:f>IF(OR(D8="",K8&lt;&gt;"Attended"),"",D8+30)</x:f>
      </x:c>
      <x:c r="W8" s="94" t="str">
        <x:f>IF(A8="","",IF(K8&lt;&gt;"Attended","N/A",IF(COUNTIFS('13 Effectiveness Review'!$B$6:$B$155,B8,'13 Effectiveness Review'!$C$6:$C$155,E8)&gt;0,"Reviewed",IF(V8&lt;TODAY(),"Overdue","Due"))))</x:f>
      </x:c>
      <x:c r="X8" s="92"/>
      <x:c r="Y8" s="92"/>
      <x:c r="Z8" s="92"/>
      <x:c r="AA8" s="85" t="str">
        <x:f>IF(E8="","",E8&amp;"|"&amp;COUNTIF($E$6:E8,E8))</x:f>
      </x:c>
      <x:c r="AB8" s="85" t="str">
        <x:f>IF(A8="","",A8)</x:f>
      </x:c>
      <x:c r="AC8" s="85" t="str">
        <x:f>IF(A8="","",B8)</x:f>
      </x:c>
      <x:c r="AD8" s="85" t="str">
        <x:f>IF(A8="","",C8)</x:f>
      </x:c>
      <x:c r="AE8" s="85" t="str">
        <x:f>IF(A8="","",D8)</x:f>
      </x:c>
      <x:c r="AF8" s="85" t="str">
        <x:f>IF(A8="","",L8)</x:f>
      </x:c>
      <x:c r="AG8" s="85" t="str">
        <x:f>IF(A8="","",K8)</x:f>
      </x:c>
      <x:c r="AH8" s="85" t="str">
        <x:f>IF(A8="","",Q8)</x:f>
      </x:c>
      <x:c r="AI8" s="85" t="str">
        <x:f>IF(A8="","",R8)</x:f>
      </x:c>
      <x:c r="AJ8" s="85" t="str">
        <x:f>IF(A8="","",U8)</x:f>
      </x:c>
      <x:c r="AK8" s="85" t="str">
        <x:f>IF(A8="","",W8)</x:f>
      </x:c>
      <x:c r="AL8" s="85" t="str">
        <x:f>IFERROR(IF(A8="","",Y8),"")</x:f>
      </x:c>
      <x:c r="AM8" s="85" t="str">
        <x:f>IFERROR(IF(A8="","",Z8),"")</x:f>
      </x:c>
    </x:row>
    <x:row r="9">
      <x:c r="A9" s="92"/>
      <x:c r="B9" s="92"/>
      <x:c r="C9" s="94" t="str">
        <x:f>IFERROR(VLOOKUP(B9,'06 Training Register'!$A$6:$Y$55,3,FALSE),"")</x:f>
      </x:c>
      <x:c r="D9" s="102" t="str">
        <x:f>IF(B9="","",IFERROR(IF(VLOOKUP(B9,'06 Training Register'!$A$6:$Y$55,15,FALSE)&gt;0,VLOOKUP(B9,'06 Training Register'!$A$6:$Y$55,15,FALSE),VLOOKUP(B9,'06 Training Register'!$A$6:$Y$55,12,FALSE)),""))</x:f>
      </x:c>
      <x:c r="E9" s="92"/>
      <x:c r="F9" s="94" t="str">
        <x:f>IFERROR(VLOOKUP(E9,'01 Staff Master'!$A$6:$M$105,2,FALSE),"")</x:f>
      </x:c>
      <x:c r="G9" s="94" t="str">
        <x:f>IFERROR(VLOOKUP(E9,'01 Staff Master'!$A$6:$M$105,3,FALSE),"")</x:f>
      </x:c>
      <x:c r="H9" s="94" t="str">
        <x:f>IFERROR(VLOOKUP(E9,'01 Staff Master'!$A$6:$M$105,5,FALSE),"")</x:f>
      </x:c>
      <x:c r="I9" s="94" t="str">
        <x:f>IFERROR(VLOOKUP(B9,'06 Training Register'!$A$6:$Y$55,4,FALSE),"")</x:f>
      </x:c>
      <x:c r="J9" s="92"/>
      <x:c r="K9" s="92"/>
      <x:c r="L9" s="92"/>
      <x:c r="M9" s="103"/>
      <x:c r="N9" s="103"/>
      <x:c r="O9" s="104" t="str">
        <x:f>IF(OR(M9="",N9=""),"",N9-M9)</x:f>
      </x:c>
      <x:c r="P9" s="103"/>
      <x:c r="Q9" s="94" t="str">
        <x:f>IF(OR(N9="",P9=""),"",IF(N9&gt;=P9,"Pass","Not Yet"))</x:f>
      </x:c>
      <x:c r="R9" s="92"/>
      <x:c r="S9" s="93"/>
      <x:c r="T9" s="102" t="str">
        <x:f>IF(OR(D9="",K9&lt;&gt;"Attended"),"",D9+3)</x:f>
      </x:c>
      <x:c r="U9" s="94" t="str">
        <x:f>IF(A9="","",IF(K9&lt;&gt;"Attended","N/A",IF(COUNTIFS('12 Training Evaluation'!$B$6:$B$155,B9,'12 Training Evaluation'!$C$6:$C$155,E9,'12 Training Evaluation'!$W$6:$W$155,"Complete")&gt;0,"Complete","Pending")))</x:f>
      </x:c>
      <x:c r="V9" s="102" t="str">
        <x:f>IF(OR(D9="",K9&lt;&gt;"Attended"),"",D9+30)</x:f>
      </x:c>
      <x:c r="W9" s="94" t="str">
        <x:f>IF(A9="","",IF(K9&lt;&gt;"Attended","N/A",IF(COUNTIFS('13 Effectiveness Review'!$B$6:$B$155,B9,'13 Effectiveness Review'!$C$6:$C$155,E9)&gt;0,"Reviewed",IF(V9&lt;TODAY(),"Overdue","Due"))))</x:f>
      </x:c>
      <x:c r="X9" s="92"/>
      <x:c r="Y9" s="92"/>
      <x:c r="Z9" s="92"/>
      <x:c r="AA9" s="85" t="str">
        <x:f>IF(E9="","",E9&amp;"|"&amp;COUNTIF($E$6:E9,E9))</x:f>
      </x:c>
      <x:c r="AB9" s="85" t="str">
        <x:f>IF(A9="","",A9)</x:f>
      </x:c>
      <x:c r="AC9" s="85" t="str">
        <x:f>IF(A9="","",B9)</x:f>
      </x:c>
      <x:c r="AD9" s="85" t="str">
        <x:f>IF(A9="","",C9)</x:f>
      </x:c>
      <x:c r="AE9" s="85" t="str">
        <x:f>IF(A9="","",D9)</x:f>
      </x:c>
      <x:c r="AF9" s="85" t="str">
        <x:f>IF(A9="","",L9)</x:f>
      </x:c>
      <x:c r="AG9" s="85" t="str">
        <x:f>IF(A9="","",K9)</x:f>
      </x:c>
      <x:c r="AH9" s="85" t="str">
        <x:f>IF(A9="","",Q9)</x:f>
      </x:c>
      <x:c r="AI9" s="85" t="str">
        <x:f>IF(A9="","",R9)</x:f>
      </x:c>
      <x:c r="AJ9" s="85" t="str">
        <x:f>IF(A9="","",U9)</x:f>
      </x:c>
      <x:c r="AK9" s="85" t="str">
        <x:f>IF(A9="","",W9)</x:f>
      </x:c>
      <x:c r="AL9" s="85" t="str">
        <x:f>IFERROR(IF(A9="","",Y9),"")</x:f>
      </x:c>
      <x:c r="AM9" s="85" t="str">
        <x:f>IFERROR(IF(A9="","",Z9),"")</x:f>
      </x:c>
    </x:row>
    <x:row r="10">
      <x:c r="A10" s="92"/>
      <x:c r="B10" s="92"/>
      <x:c r="C10" s="94" t="str">
        <x:f>IFERROR(VLOOKUP(B10,'06 Training Register'!$A$6:$Y$55,3,FALSE),"")</x:f>
      </x:c>
      <x:c r="D10" s="102" t="str">
        <x:f>IF(B10="","",IFERROR(IF(VLOOKUP(B10,'06 Training Register'!$A$6:$Y$55,15,FALSE)&gt;0,VLOOKUP(B10,'06 Training Register'!$A$6:$Y$55,15,FALSE),VLOOKUP(B10,'06 Training Register'!$A$6:$Y$55,12,FALSE)),""))</x:f>
      </x:c>
      <x:c r="E10" s="92"/>
      <x:c r="F10" s="94" t="str">
        <x:f>IFERROR(VLOOKUP(E10,'01 Staff Master'!$A$6:$M$105,2,FALSE),"")</x:f>
      </x:c>
      <x:c r="G10" s="94" t="str">
        <x:f>IFERROR(VLOOKUP(E10,'01 Staff Master'!$A$6:$M$105,3,FALSE),"")</x:f>
      </x:c>
      <x:c r="H10" s="94" t="str">
        <x:f>IFERROR(VLOOKUP(E10,'01 Staff Master'!$A$6:$M$105,5,FALSE),"")</x:f>
      </x:c>
      <x:c r="I10" s="94" t="str">
        <x:f>IFERROR(VLOOKUP(B10,'06 Training Register'!$A$6:$Y$55,4,FALSE),"")</x:f>
      </x:c>
      <x:c r="J10" s="92"/>
      <x:c r="K10" s="92"/>
      <x:c r="L10" s="92"/>
      <x:c r="M10" s="103"/>
      <x:c r="N10" s="103"/>
      <x:c r="O10" s="104" t="str">
        <x:f>IF(OR(M10="",N10=""),"",N10-M10)</x:f>
      </x:c>
      <x:c r="P10" s="103"/>
      <x:c r="Q10" s="94" t="str">
        <x:f>IF(OR(N10="",P10=""),"",IF(N10&gt;=P10,"Pass","Not Yet"))</x:f>
      </x:c>
      <x:c r="R10" s="92"/>
      <x:c r="S10" s="93"/>
      <x:c r="T10" s="102" t="str">
        <x:f>IF(OR(D10="",K10&lt;&gt;"Attended"),"",D10+3)</x:f>
      </x:c>
      <x:c r="U10" s="94" t="str">
        <x:f>IF(A10="","",IF(K10&lt;&gt;"Attended","N/A",IF(COUNTIFS('12 Training Evaluation'!$B$6:$B$155,B10,'12 Training Evaluation'!$C$6:$C$155,E10,'12 Training Evaluation'!$W$6:$W$155,"Complete")&gt;0,"Complete","Pending")))</x:f>
      </x:c>
      <x:c r="V10" s="102" t="str">
        <x:f>IF(OR(D10="",K10&lt;&gt;"Attended"),"",D10+30)</x:f>
      </x:c>
      <x:c r="W10" s="94" t="str">
        <x:f>IF(A10="","",IF(K10&lt;&gt;"Attended","N/A",IF(COUNTIFS('13 Effectiveness Review'!$B$6:$B$155,B10,'13 Effectiveness Review'!$C$6:$C$155,E10)&gt;0,"Reviewed",IF(V10&lt;TODAY(),"Overdue","Due"))))</x:f>
      </x:c>
      <x:c r="X10" s="92"/>
      <x:c r="Y10" s="92"/>
      <x:c r="Z10" s="92"/>
      <x:c r="AA10" s="85" t="str">
        <x:f>IF(E10="","",E10&amp;"|"&amp;COUNTIF($E$6:E10,E10))</x:f>
      </x:c>
      <x:c r="AB10" s="85" t="str">
        <x:f>IF(A10="","",A10)</x:f>
      </x:c>
      <x:c r="AC10" s="85" t="str">
        <x:f>IF(A10="","",B10)</x:f>
      </x:c>
      <x:c r="AD10" s="85" t="str">
        <x:f>IF(A10="","",C10)</x:f>
      </x:c>
      <x:c r="AE10" s="85" t="str">
        <x:f>IF(A10="","",D10)</x:f>
      </x:c>
      <x:c r="AF10" s="85" t="str">
        <x:f>IF(A10="","",L10)</x:f>
      </x:c>
      <x:c r="AG10" s="85" t="str">
        <x:f>IF(A10="","",K10)</x:f>
      </x:c>
      <x:c r="AH10" s="85" t="str">
        <x:f>IF(A10="","",Q10)</x:f>
      </x:c>
      <x:c r="AI10" s="85" t="str">
        <x:f>IF(A10="","",R10)</x:f>
      </x:c>
      <x:c r="AJ10" s="85" t="str">
        <x:f>IF(A10="","",U10)</x:f>
      </x:c>
      <x:c r="AK10" s="85" t="str">
        <x:f>IF(A10="","",W10)</x:f>
      </x:c>
      <x:c r="AL10" s="85" t="str">
        <x:f>IFERROR(IF(A10="","",Y10),"")</x:f>
      </x:c>
      <x:c r="AM10" s="85" t="str">
        <x:f>IFERROR(IF(A10="","",Z10),"")</x:f>
      </x:c>
    </x:row>
    <x:row r="11">
      <x:c r="A11" s="92"/>
      <x:c r="B11" s="92"/>
      <x:c r="C11" s="94" t="str">
        <x:f>IFERROR(VLOOKUP(B11,'06 Training Register'!$A$6:$Y$55,3,FALSE),"")</x:f>
      </x:c>
      <x:c r="D11" s="102" t="str">
        <x:f>IF(B11="","",IFERROR(IF(VLOOKUP(B11,'06 Training Register'!$A$6:$Y$55,15,FALSE)&gt;0,VLOOKUP(B11,'06 Training Register'!$A$6:$Y$55,15,FALSE),VLOOKUP(B11,'06 Training Register'!$A$6:$Y$55,12,FALSE)),""))</x:f>
      </x:c>
      <x:c r="E11" s="92"/>
      <x:c r="F11" s="94" t="str">
        <x:f>IFERROR(VLOOKUP(E11,'01 Staff Master'!$A$6:$M$105,2,FALSE),"")</x:f>
      </x:c>
      <x:c r="G11" s="94" t="str">
        <x:f>IFERROR(VLOOKUP(E11,'01 Staff Master'!$A$6:$M$105,3,FALSE),"")</x:f>
      </x:c>
      <x:c r="H11" s="94" t="str">
        <x:f>IFERROR(VLOOKUP(E11,'01 Staff Master'!$A$6:$M$105,5,FALSE),"")</x:f>
      </x:c>
      <x:c r="I11" s="94" t="str">
        <x:f>IFERROR(VLOOKUP(B11,'06 Training Register'!$A$6:$Y$55,4,FALSE),"")</x:f>
      </x:c>
      <x:c r="J11" s="92"/>
      <x:c r="K11" s="92"/>
      <x:c r="L11" s="92"/>
      <x:c r="M11" s="103"/>
      <x:c r="N11" s="103"/>
      <x:c r="O11" s="104" t="str">
        <x:f>IF(OR(M11="",N11=""),"",N11-M11)</x:f>
      </x:c>
      <x:c r="P11" s="103"/>
      <x:c r="Q11" s="94" t="str">
        <x:f>IF(OR(N11="",P11=""),"",IF(N11&gt;=P11,"Pass","Not Yet"))</x:f>
      </x:c>
      <x:c r="R11" s="92"/>
      <x:c r="S11" s="93"/>
      <x:c r="T11" s="102" t="str">
        <x:f>IF(OR(D11="",K11&lt;&gt;"Attended"),"",D11+3)</x:f>
      </x:c>
      <x:c r="U11" s="94" t="str">
        <x:f>IF(A11="","",IF(K11&lt;&gt;"Attended","N/A",IF(COUNTIFS('12 Training Evaluation'!$B$6:$B$155,B11,'12 Training Evaluation'!$C$6:$C$155,E11,'12 Training Evaluation'!$W$6:$W$155,"Complete")&gt;0,"Complete","Pending")))</x:f>
      </x:c>
      <x:c r="V11" s="102" t="str">
        <x:f>IF(OR(D11="",K11&lt;&gt;"Attended"),"",D11+30)</x:f>
      </x:c>
      <x:c r="W11" s="94" t="str">
        <x:f>IF(A11="","",IF(K11&lt;&gt;"Attended","N/A",IF(COUNTIFS('13 Effectiveness Review'!$B$6:$B$155,B11,'13 Effectiveness Review'!$C$6:$C$155,E11)&gt;0,"Reviewed",IF(V11&lt;TODAY(),"Overdue","Due"))))</x:f>
      </x:c>
      <x:c r="X11" s="92"/>
      <x:c r="Y11" s="92"/>
      <x:c r="Z11" s="92"/>
      <x:c r="AA11" s="85" t="str">
        <x:f>IF(E11="","",E11&amp;"|"&amp;COUNTIF($E$6:E11,E11))</x:f>
      </x:c>
      <x:c r="AB11" s="85" t="str">
        <x:f>IF(A11="","",A11)</x:f>
      </x:c>
      <x:c r="AC11" s="85" t="str">
        <x:f>IF(A11="","",B11)</x:f>
      </x:c>
      <x:c r="AD11" s="85" t="str">
        <x:f>IF(A11="","",C11)</x:f>
      </x:c>
      <x:c r="AE11" s="85" t="str">
        <x:f>IF(A11="","",D11)</x:f>
      </x:c>
      <x:c r="AF11" s="85" t="str">
        <x:f>IF(A11="","",L11)</x:f>
      </x:c>
      <x:c r="AG11" s="85" t="str">
        <x:f>IF(A11="","",K11)</x:f>
      </x:c>
      <x:c r="AH11" s="85" t="str">
        <x:f>IF(A11="","",Q11)</x:f>
      </x:c>
      <x:c r="AI11" s="85" t="str">
        <x:f>IF(A11="","",R11)</x:f>
      </x:c>
      <x:c r="AJ11" s="85" t="str">
        <x:f>IF(A11="","",U11)</x:f>
      </x:c>
      <x:c r="AK11" s="85" t="str">
        <x:f>IF(A11="","",W11)</x:f>
      </x:c>
      <x:c r="AL11" s="85" t="str">
        <x:f>IFERROR(IF(A11="","",Y11),"")</x:f>
      </x:c>
      <x:c r="AM11" s="85" t="str">
        <x:f>IFERROR(IF(A11="","",Z11),"")</x:f>
      </x:c>
    </x:row>
    <x:row r="12">
      <x:c r="A12" s="92"/>
      <x:c r="B12" s="92"/>
      <x:c r="C12" s="94" t="str">
        <x:f>IFERROR(VLOOKUP(B12,'06 Training Register'!$A$6:$Y$55,3,FALSE),"")</x:f>
      </x:c>
      <x:c r="D12" s="102" t="str">
        <x:f>IF(B12="","",IFERROR(IF(VLOOKUP(B12,'06 Training Register'!$A$6:$Y$55,15,FALSE)&gt;0,VLOOKUP(B12,'06 Training Register'!$A$6:$Y$55,15,FALSE),VLOOKUP(B12,'06 Training Register'!$A$6:$Y$55,12,FALSE)),""))</x:f>
      </x:c>
      <x:c r="E12" s="92"/>
      <x:c r="F12" s="94" t="str">
        <x:f>IFERROR(VLOOKUP(E12,'01 Staff Master'!$A$6:$M$105,2,FALSE),"")</x:f>
      </x:c>
      <x:c r="G12" s="94" t="str">
        <x:f>IFERROR(VLOOKUP(E12,'01 Staff Master'!$A$6:$M$105,3,FALSE),"")</x:f>
      </x:c>
      <x:c r="H12" s="94" t="str">
        <x:f>IFERROR(VLOOKUP(E12,'01 Staff Master'!$A$6:$M$105,5,FALSE),"")</x:f>
      </x:c>
      <x:c r="I12" s="94" t="str">
        <x:f>IFERROR(VLOOKUP(B12,'06 Training Register'!$A$6:$Y$55,4,FALSE),"")</x:f>
      </x:c>
      <x:c r="J12" s="92"/>
      <x:c r="K12" s="92"/>
      <x:c r="L12" s="92"/>
      <x:c r="M12" s="103"/>
      <x:c r="N12" s="103"/>
      <x:c r="O12" s="104" t="str">
        <x:f>IF(OR(M12="",N12=""),"",N12-M12)</x:f>
      </x:c>
      <x:c r="P12" s="103"/>
      <x:c r="Q12" s="94" t="str">
        <x:f>IF(OR(N12="",P12=""),"",IF(N12&gt;=P12,"Pass","Not Yet"))</x:f>
      </x:c>
      <x:c r="R12" s="92"/>
      <x:c r="S12" s="93"/>
      <x:c r="T12" s="102" t="str">
        <x:f>IF(OR(D12="",K12&lt;&gt;"Attended"),"",D12+3)</x:f>
      </x:c>
      <x:c r="U12" s="94" t="str">
        <x:f>IF(A12="","",IF(K12&lt;&gt;"Attended","N/A",IF(COUNTIFS('12 Training Evaluation'!$B$6:$B$155,B12,'12 Training Evaluation'!$C$6:$C$155,E12,'12 Training Evaluation'!$W$6:$W$155,"Complete")&gt;0,"Complete","Pending")))</x:f>
      </x:c>
      <x:c r="V12" s="102" t="str">
        <x:f>IF(OR(D12="",K12&lt;&gt;"Attended"),"",D12+30)</x:f>
      </x:c>
      <x:c r="W12" s="94" t="str">
        <x:f>IF(A12="","",IF(K12&lt;&gt;"Attended","N/A",IF(COUNTIFS('13 Effectiveness Review'!$B$6:$B$155,B12,'13 Effectiveness Review'!$C$6:$C$155,E12)&gt;0,"Reviewed",IF(V12&lt;TODAY(),"Overdue","Due"))))</x:f>
      </x:c>
      <x:c r="X12" s="92"/>
      <x:c r="Y12" s="92"/>
      <x:c r="Z12" s="92"/>
      <x:c r="AA12" s="85" t="str">
        <x:f>IF(E12="","",E12&amp;"|"&amp;COUNTIF($E$6:E12,E12))</x:f>
      </x:c>
      <x:c r="AB12" s="85" t="str">
        <x:f>IF(A12="","",A12)</x:f>
      </x:c>
      <x:c r="AC12" s="85" t="str">
        <x:f>IF(A12="","",B12)</x:f>
      </x:c>
      <x:c r="AD12" s="85" t="str">
        <x:f>IF(A12="","",C12)</x:f>
      </x:c>
      <x:c r="AE12" s="85" t="str">
        <x:f>IF(A12="","",D12)</x:f>
      </x:c>
      <x:c r="AF12" s="85" t="str">
        <x:f>IF(A12="","",L12)</x:f>
      </x:c>
      <x:c r="AG12" s="85" t="str">
        <x:f>IF(A12="","",K12)</x:f>
      </x:c>
      <x:c r="AH12" s="85" t="str">
        <x:f>IF(A12="","",Q12)</x:f>
      </x:c>
      <x:c r="AI12" s="85" t="str">
        <x:f>IF(A12="","",R12)</x:f>
      </x:c>
      <x:c r="AJ12" s="85" t="str">
        <x:f>IF(A12="","",U12)</x:f>
      </x:c>
      <x:c r="AK12" s="85" t="str">
        <x:f>IF(A12="","",W12)</x:f>
      </x:c>
      <x:c r="AL12" s="85" t="str">
        <x:f>IFERROR(IF(A12="","",Y12),"")</x:f>
      </x:c>
      <x:c r="AM12" s="85" t="str">
        <x:f>IFERROR(IF(A12="","",Z12),"")</x:f>
      </x:c>
    </x:row>
    <x:row r="13">
      <x:c r="A13" s="92"/>
      <x:c r="B13" s="92"/>
      <x:c r="C13" s="94" t="str">
        <x:f>IFERROR(VLOOKUP(B13,'06 Training Register'!$A$6:$Y$55,3,FALSE),"")</x:f>
      </x:c>
      <x:c r="D13" s="102" t="str">
        <x:f>IF(B13="","",IFERROR(IF(VLOOKUP(B13,'06 Training Register'!$A$6:$Y$55,15,FALSE)&gt;0,VLOOKUP(B13,'06 Training Register'!$A$6:$Y$55,15,FALSE),VLOOKUP(B13,'06 Training Register'!$A$6:$Y$55,12,FALSE)),""))</x:f>
      </x:c>
      <x:c r="E13" s="92"/>
      <x:c r="F13" s="94" t="str">
        <x:f>IFERROR(VLOOKUP(E13,'01 Staff Master'!$A$6:$M$105,2,FALSE),"")</x:f>
      </x:c>
      <x:c r="G13" s="94" t="str">
        <x:f>IFERROR(VLOOKUP(E13,'01 Staff Master'!$A$6:$M$105,3,FALSE),"")</x:f>
      </x:c>
      <x:c r="H13" s="94" t="str">
        <x:f>IFERROR(VLOOKUP(E13,'01 Staff Master'!$A$6:$M$105,5,FALSE),"")</x:f>
      </x:c>
      <x:c r="I13" s="94" t="str">
        <x:f>IFERROR(VLOOKUP(B13,'06 Training Register'!$A$6:$Y$55,4,FALSE),"")</x:f>
      </x:c>
      <x:c r="J13" s="92"/>
      <x:c r="K13" s="92"/>
      <x:c r="L13" s="92"/>
      <x:c r="M13" s="103"/>
      <x:c r="N13" s="103"/>
      <x:c r="O13" s="104" t="str">
        <x:f>IF(OR(M13="",N13=""),"",N13-M13)</x:f>
      </x:c>
      <x:c r="P13" s="103"/>
      <x:c r="Q13" s="94" t="str">
        <x:f>IF(OR(N13="",P13=""),"",IF(N13&gt;=P13,"Pass","Not Yet"))</x:f>
      </x:c>
      <x:c r="R13" s="92"/>
      <x:c r="S13" s="93"/>
      <x:c r="T13" s="102" t="str">
        <x:f>IF(OR(D13="",K13&lt;&gt;"Attended"),"",D13+3)</x:f>
      </x:c>
      <x:c r="U13" s="94" t="str">
        <x:f>IF(A13="","",IF(K13&lt;&gt;"Attended","N/A",IF(COUNTIFS('12 Training Evaluation'!$B$6:$B$155,B13,'12 Training Evaluation'!$C$6:$C$155,E13,'12 Training Evaluation'!$W$6:$W$155,"Complete")&gt;0,"Complete","Pending")))</x:f>
      </x:c>
      <x:c r="V13" s="102" t="str">
        <x:f>IF(OR(D13="",K13&lt;&gt;"Attended"),"",D13+30)</x:f>
      </x:c>
      <x:c r="W13" s="94" t="str">
        <x:f>IF(A13="","",IF(K13&lt;&gt;"Attended","N/A",IF(COUNTIFS('13 Effectiveness Review'!$B$6:$B$155,B13,'13 Effectiveness Review'!$C$6:$C$155,E13)&gt;0,"Reviewed",IF(V13&lt;TODAY(),"Overdue","Due"))))</x:f>
      </x:c>
      <x:c r="X13" s="92"/>
      <x:c r="Y13" s="92"/>
      <x:c r="Z13" s="92"/>
      <x:c r="AA13" s="85" t="str">
        <x:f>IF(E13="","",E13&amp;"|"&amp;COUNTIF($E$6:E13,E13))</x:f>
      </x:c>
      <x:c r="AB13" s="85" t="str">
        <x:f>IF(A13="","",A13)</x:f>
      </x:c>
      <x:c r="AC13" s="85" t="str">
        <x:f>IF(A13="","",B13)</x:f>
      </x:c>
      <x:c r="AD13" s="85" t="str">
        <x:f>IF(A13="","",C13)</x:f>
      </x:c>
      <x:c r="AE13" s="85" t="str">
        <x:f>IF(A13="","",D13)</x:f>
      </x:c>
      <x:c r="AF13" s="85" t="str">
        <x:f>IF(A13="","",L13)</x:f>
      </x:c>
      <x:c r="AG13" s="85" t="str">
        <x:f>IF(A13="","",K13)</x:f>
      </x:c>
      <x:c r="AH13" s="85" t="str">
        <x:f>IF(A13="","",Q13)</x:f>
      </x:c>
      <x:c r="AI13" s="85" t="str">
        <x:f>IF(A13="","",R13)</x:f>
      </x:c>
      <x:c r="AJ13" s="85" t="str">
        <x:f>IF(A13="","",U13)</x:f>
      </x:c>
      <x:c r="AK13" s="85" t="str">
        <x:f>IF(A13="","",W13)</x:f>
      </x:c>
      <x:c r="AL13" s="85" t="str">
        <x:f>IFERROR(IF(A13="","",Y13),"")</x:f>
      </x:c>
      <x:c r="AM13" s="85" t="str">
        <x:f>IFERROR(IF(A13="","",Z13),"")</x:f>
      </x:c>
    </x:row>
    <x:row r="14">
      <x:c r="A14" s="92"/>
      <x:c r="B14" s="92"/>
      <x:c r="C14" s="94" t="str">
        <x:f>IFERROR(VLOOKUP(B14,'06 Training Register'!$A$6:$Y$55,3,FALSE),"")</x:f>
      </x:c>
      <x:c r="D14" s="102" t="str">
        <x:f>IF(B14="","",IFERROR(IF(VLOOKUP(B14,'06 Training Register'!$A$6:$Y$55,15,FALSE)&gt;0,VLOOKUP(B14,'06 Training Register'!$A$6:$Y$55,15,FALSE),VLOOKUP(B14,'06 Training Register'!$A$6:$Y$55,12,FALSE)),""))</x:f>
      </x:c>
      <x:c r="E14" s="92"/>
      <x:c r="F14" s="94" t="str">
        <x:f>IFERROR(VLOOKUP(E14,'01 Staff Master'!$A$6:$M$105,2,FALSE),"")</x:f>
      </x:c>
      <x:c r="G14" s="94" t="str">
        <x:f>IFERROR(VLOOKUP(E14,'01 Staff Master'!$A$6:$M$105,3,FALSE),"")</x:f>
      </x:c>
      <x:c r="H14" s="94" t="str">
        <x:f>IFERROR(VLOOKUP(E14,'01 Staff Master'!$A$6:$M$105,5,FALSE),"")</x:f>
      </x:c>
      <x:c r="I14" s="94" t="str">
        <x:f>IFERROR(VLOOKUP(B14,'06 Training Register'!$A$6:$Y$55,4,FALSE),"")</x:f>
      </x:c>
      <x:c r="J14" s="92"/>
      <x:c r="K14" s="92"/>
      <x:c r="L14" s="92"/>
      <x:c r="M14" s="103"/>
      <x:c r="N14" s="103"/>
      <x:c r="O14" s="104" t="str">
        <x:f>IF(OR(M14="",N14=""),"",N14-M14)</x:f>
      </x:c>
      <x:c r="P14" s="103"/>
      <x:c r="Q14" s="94" t="str">
        <x:f>IF(OR(N14="",P14=""),"",IF(N14&gt;=P14,"Pass","Not Yet"))</x:f>
      </x:c>
      <x:c r="R14" s="92"/>
      <x:c r="S14" s="93"/>
      <x:c r="T14" s="102" t="str">
        <x:f>IF(OR(D14="",K14&lt;&gt;"Attended"),"",D14+3)</x:f>
      </x:c>
      <x:c r="U14" s="94" t="str">
        <x:f>IF(A14="","",IF(K14&lt;&gt;"Attended","N/A",IF(COUNTIFS('12 Training Evaluation'!$B$6:$B$155,B14,'12 Training Evaluation'!$C$6:$C$155,E14,'12 Training Evaluation'!$W$6:$W$155,"Complete")&gt;0,"Complete","Pending")))</x:f>
      </x:c>
      <x:c r="V14" s="102" t="str">
        <x:f>IF(OR(D14="",K14&lt;&gt;"Attended"),"",D14+30)</x:f>
      </x:c>
      <x:c r="W14" s="94" t="str">
        <x:f>IF(A14="","",IF(K14&lt;&gt;"Attended","N/A",IF(COUNTIFS('13 Effectiveness Review'!$B$6:$B$155,B14,'13 Effectiveness Review'!$C$6:$C$155,E14)&gt;0,"Reviewed",IF(V14&lt;TODAY(),"Overdue","Due"))))</x:f>
      </x:c>
      <x:c r="X14" s="92"/>
      <x:c r="Y14" s="92"/>
      <x:c r="Z14" s="92"/>
      <x:c r="AA14" s="85" t="str">
        <x:f>IF(E14="","",E14&amp;"|"&amp;COUNTIF($E$6:E14,E14))</x:f>
      </x:c>
      <x:c r="AB14" s="85" t="str">
        <x:f>IF(A14="","",A14)</x:f>
      </x:c>
      <x:c r="AC14" s="85" t="str">
        <x:f>IF(A14="","",B14)</x:f>
      </x:c>
      <x:c r="AD14" s="85" t="str">
        <x:f>IF(A14="","",C14)</x:f>
      </x:c>
      <x:c r="AE14" s="85" t="str">
        <x:f>IF(A14="","",D14)</x:f>
      </x:c>
      <x:c r="AF14" s="85" t="str">
        <x:f>IF(A14="","",L14)</x:f>
      </x:c>
      <x:c r="AG14" s="85" t="str">
        <x:f>IF(A14="","",K14)</x:f>
      </x:c>
      <x:c r="AH14" s="85" t="str">
        <x:f>IF(A14="","",Q14)</x:f>
      </x:c>
      <x:c r="AI14" s="85" t="str">
        <x:f>IF(A14="","",R14)</x:f>
      </x:c>
      <x:c r="AJ14" s="85" t="str">
        <x:f>IF(A14="","",U14)</x:f>
      </x:c>
      <x:c r="AK14" s="85" t="str">
        <x:f>IF(A14="","",W14)</x:f>
      </x:c>
      <x:c r="AL14" s="85" t="str">
        <x:f>IFERROR(IF(A14="","",Y14),"")</x:f>
      </x:c>
      <x:c r="AM14" s="85" t="str">
        <x:f>IFERROR(IF(A14="","",Z14),"")</x:f>
      </x:c>
    </x:row>
    <x:row r="15">
      <x:c r="A15" s="92"/>
      <x:c r="B15" s="92"/>
      <x:c r="C15" s="94" t="str">
        <x:f>IFERROR(VLOOKUP(B15,'06 Training Register'!$A$6:$Y$55,3,FALSE),"")</x:f>
      </x:c>
      <x:c r="D15" s="102" t="str">
        <x:f>IF(B15="","",IFERROR(IF(VLOOKUP(B15,'06 Training Register'!$A$6:$Y$55,15,FALSE)&gt;0,VLOOKUP(B15,'06 Training Register'!$A$6:$Y$55,15,FALSE),VLOOKUP(B15,'06 Training Register'!$A$6:$Y$55,12,FALSE)),""))</x:f>
      </x:c>
      <x:c r="E15" s="92"/>
      <x:c r="F15" s="94" t="str">
        <x:f>IFERROR(VLOOKUP(E15,'01 Staff Master'!$A$6:$M$105,2,FALSE),"")</x:f>
      </x:c>
      <x:c r="G15" s="94" t="str">
        <x:f>IFERROR(VLOOKUP(E15,'01 Staff Master'!$A$6:$M$105,3,FALSE),"")</x:f>
      </x:c>
      <x:c r="H15" s="94" t="str">
        <x:f>IFERROR(VLOOKUP(E15,'01 Staff Master'!$A$6:$M$105,5,FALSE),"")</x:f>
      </x:c>
      <x:c r="I15" s="94" t="str">
        <x:f>IFERROR(VLOOKUP(B15,'06 Training Register'!$A$6:$Y$55,4,FALSE),"")</x:f>
      </x:c>
      <x:c r="J15" s="92"/>
      <x:c r="K15" s="92"/>
      <x:c r="L15" s="92"/>
      <x:c r="M15" s="103"/>
      <x:c r="N15" s="103"/>
      <x:c r="O15" s="104" t="str">
        <x:f>IF(OR(M15="",N15=""),"",N15-M15)</x:f>
      </x:c>
      <x:c r="P15" s="103"/>
      <x:c r="Q15" s="94" t="str">
        <x:f>IF(OR(N15="",P15=""),"",IF(N15&gt;=P15,"Pass","Not Yet"))</x:f>
      </x:c>
      <x:c r="R15" s="92"/>
      <x:c r="S15" s="93"/>
      <x:c r="T15" s="102" t="str">
        <x:f>IF(OR(D15="",K15&lt;&gt;"Attended"),"",D15+3)</x:f>
      </x:c>
      <x:c r="U15" s="94" t="str">
        <x:f>IF(A15="","",IF(K15&lt;&gt;"Attended","N/A",IF(COUNTIFS('12 Training Evaluation'!$B$6:$B$155,B15,'12 Training Evaluation'!$C$6:$C$155,E15,'12 Training Evaluation'!$W$6:$W$155,"Complete")&gt;0,"Complete","Pending")))</x:f>
      </x:c>
      <x:c r="V15" s="102" t="str">
        <x:f>IF(OR(D15="",K15&lt;&gt;"Attended"),"",D15+30)</x:f>
      </x:c>
      <x:c r="W15" s="94" t="str">
        <x:f>IF(A15="","",IF(K15&lt;&gt;"Attended","N/A",IF(COUNTIFS('13 Effectiveness Review'!$B$6:$B$155,B15,'13 Effectiveness Review'!$C$6:$C$155,E15)&gt;0,"Reviewed",IF(V15&lt;TODAY(),"Overdue","Due"))))</x:f>
      </x:c>
      <x:c r="X15" s="92"/>
      <x:c r="Y15" s="92"/>
      <x:c r="Z15" s="92"/>
      <x:c r="AA15" s="85" t="str">
        <x:f>IF(E15="","",E15&amp;"|"&amp;COUNTIF($E$6:E15,E15))</x:f>
      </x:c>
      <x:c r="AB15" s="85" t="str">
        <x:f>IF(A15="","",A15)</x:f>
      </x:c>
      <x:c r="AC15" s="85" t="str">
        <x:f>IF(A15="","",B15)</x:f>
      </x:c>
      <x:c r="AD15" s="85" t="str">
        <x:f>IF(A15="","",C15)</x:f>
      </x:c>
      <x:c r="AE15" s="85" t="str">
        <x:f>IF(A15="","",D15)</x:f>
      </x:c>
      <x:c r="AF15" s="85" t="str">
        <x:f>IF(A15="","",L15)</x:f>
      </x:c>
      <x:c r="AG15" s="85" t="str">
        <x:f>IF(A15="","",K15)</x:f>
      </x:c>
      <x:c r="AH15" s="85" t="str">
        <x:f>IF(A15="","",Q15)</x:f>
      </x:c>
      <x:c r="AI15" s="85" t="str">
        <x:f>IF(A15="","",R15)</x:f>
      </x:c>
      <x:c r="AJ15" s="85" t="str">
        <x:f>IF(A15="","",U15)</x:f>
      </x:c>
      <x:c r="AK15" s="85" t="str">
        <x:f>IF(A15="","",W15)</x:f>
      </x:c>
      <x:c r="AL15" s="85" t="str">
        <x:f>IFERROR(IF(A15="","",Y15),"")</x:f>
      </x:c>
      <x:c r="AM15" s="85" t="str">
        <x:f>IFERROR(IF(A15="","",Z15),"")</x:f>
      </x:c>
    </x:row>
    <x:row r="16">
      <x:c r="A16" s="92"/>
      <x:c r="B16" s="92"/>
      <x:c r="C16" s="94" t="str">
        <x:f>IFERROR(VLOOKUP(B16,'06 Training Register'!$A$6:$Y$55,3,FALSE),"")</x:f>
      </x:c>
      <x:c r="D16" s="102" t="str">
        <x:f>IF(B16="","",IFERROR(IF(VLOOKUP(B16,'06 Training Register'!$A$6:$Y$55,15,FALSE)&gt;0,VLOOKUP(B16,'06 Training Register'!$A$6:$Y$55,15,FALSE),VLOOKUP(B16,'06 Training Register'!$A$6:$Y$55,12,FALSE)),""))</x:f>
      </x:c>
      <x:c r="E16" s="92"/>
      <x:c r="F16" s="94" t="str">
        <x:f>IFERROR(VLOOKUP(E16,'01 Staff Master'!$A$6:$M$105,2,FALSE),"")</x:f>
      </x:c>
      <x:c r="G16" s="94" t="str">
        <x:f>IFERROR(VLOOKUP(E16,'01 Staff Master'!$A$6:$M$105,3,FALSE),"")</x:f>
      </x:c>
      <x:c r="H16" s="94" t="str">
        <x:f>IFERROR(VLOOKUP(E16,'01 Staff Master'!$A$6:$M$105,5,FALSE),"")</x:f>
      </x:c>
      <x:c r="I16" s="94" t="str">
        <x:f>IFERROR(VLOOKUP(B16,'06 Training Register'!$A$6:$Y$55,4,FALSE),"")</x:f>
      </x:c>
      <x:c r="J16" s="92"/>
      <x:c r="K16" s="92"/>
      <x:c r="L16" s="92"/>
      <x:c r="M16" s="103"/>
      <x:c r="N16" s="103"/>
      <x:c r="O16" s="104" t="str">
        <x:f>IF(OR(M16="",N16=""),"",N16-M16)</x:f>
      </x:c>
      <x:c r="P16" s="103"/>
      <x:c r="Q16" s="94" t="str">
        <x:f>IF(OR(N16="",P16=""),"",IF(N16&gt;=P16,"Pass","Not Yet"))</x:f>
      </x:c>
      <x:c r="R16" s="92"/>
      <x:c r="S16" s="93"/>
      <x:c r="T16" s="102" t="str">
        <x:f>IF(OR(D16="",K16&lt;&gt;"Attended"),"",D16+3)</x:f>
      </x:c>
      <x:c r="U16" s="94" t="str">
        <x:f>IF(A16="","",IF(K16&lt;&gt;"Attended","N/A",IF(COUNTIFS('12 Training Evaluation'!$B$6:$B$155,B16,'12 Training Evaluation'!$C$6:$C$155,E16,'12 Training Evaluation'!$W$6:$W$155,"Complete")&gt;0,"Complete","Pending")))</x:f>
      </x:c>
      <x:c r="V16" s="102" t="str">
        <x:f>IF(OR(D16="",K16&lt;&gt;"Attended"),"",D16+30)</x:f>
      </x:c>
      <x:c r="W16" s="94" t="str">
        <x:f>IF(A16="","",IF(K16&lt;&gt;"Attended","N/A",IF(COUNTIFS('13 Effectiveness Review'!$B$6:$B$155,B16,'13 Effectiveness Review'!$C$6:$C$155,E16)&gt;0,"Reviewed",IF(V16&lt;TODAY(),"Overdue","Due"))))</x:f>
      </x:c>
      <x:c r="X16" s="92"/>
      <x:c r="Y16" s="92"/>
      <x:c r="Z16" s="92"/>
      <x:c r="AA16" s="85" t="str">
        <x:f>IF(E16="","",E16&amp;"|"&amp;COUNTIF($E$6:E16,E16))</x:f>
      </x:c>
      <x:c r="AB16" s="85" t="str">
        <x:f>IF(A16="","",A16)</x:f>
      </x:c>
      <x:c r="AC16" s="85" t="str">
        <x:f>IF(A16="","",B16)</x:f>
      </x:c>
      <x:c r="AD16" s="85" t="str">
        <x:f>IF(A16="","",C16)</x:f>
      </x:c>
      <x:c r="AE16" s="85" t="str">
        <x:f>IF(A16="","",D16)</x:f>
      </x:c>
      <x:c r="AF16" s="85" t="str">
        <x:f>IF(A16="","",L16)</x:f>
      </x:c>
      <x:c r="AG16" s="85" t="str">
        <x:f>IF(A16="","",K16)</x:f>
      </x:c>
      <x:c r="AH16" s="85" t="str">
        <x:f>IF(A16="","",Q16)</x:f>
      </x:c>
      <x:c r="AI16" s="85" t="str">
        <x:f>IF(A16="","",R16)</x:f>
      </x:c>
      <x:c r="AJ16" s="85" t="str">
        <x:f>IF(A16="","",U16)</x:f>
      </x:c>
      <x:c r="AK16" s="85" t="str">
        <x:f>IF(A16="","",W16)</x:f>
      </x:c>
      <x:c r="AL16" s="85" t="str">
        <x:f>IFERROR(IF(A16="","",Y16),"")</x:f>
      </x:c>
      <x:c r="AM16" s="85" t="str">
        <x:f>IFERROR(IF(A16="","",Z16),"")</x:f>
      </x:c>
    </x:row>
    <x:row r="17">
      <x:c r="A17" s="92"/>
      <x:c r="B17" s="92"/>
      <x:c r="C17" s="94" t="str">
        <x:f>IFERROR(VLOOKUP(B17,'06 Training Register'!$A$6:$Y$55,3,FALSE),"")</x:f>
      </x:c>
      <x:c r="D17" s="102" t="str">
        <x:f>IF(B17="","",IFERROR(IF(VLOOKUP(B17,'06 Training Register'!$A$6:$Y$55,15,FALSE)&gt;0,VLOOKUP(B17,'06 Training Register'!$A$6:$Y$55,15,FALSE),VLOOKUP(B17,'06 Training Register'!$A$6:$Y$55,12,FALSE)),""))</x:f>
      </x:c>
      <x:c r="E17" s="92"/>
      <x:c r="F17" s="94" t="str">
        <x:f>IFERROR(VLOOKUP(E17,'01 Staff Master'!$A$6:$M$105,2,FALSE),"")</x:f>
      </x:c>
      <x:c r="G17" s="94" t="str">
        <x:f>IFERROR(VLOOKUP(E17,'01 Staff Master'!$A$6:$M$105,3,FALSE),"")</x:f>
      </x:c>
      <x:c r="H17" s="94" t="str">
        <x:f>IFERROR(VLOOKUP(E17,'01 Staff Master'!$A$6:$M$105,5,FALSE),"")</x:f>
      </x:c>
      <x:c r="I17" s="94" t="str">
        <x:f>IFERROR(VLOOKUP(B17,'06 Training Register'!$A$6:$Y$55,4,FALSE),"")</x:f>
      </x:c>
      <x:c r="J17" s="92"/>
      <x:c r="K17" s="92"/>
      <x:c r="L17" s="92"/>
      <x:c r="M17" s="103"/>
      <x:c r="N17" s="103"/>
      <x:c r="O17" s="104" t="str">
        <x:f>IF(OR(M17="",N17=""),"",N17-M17)</x:f>
      </x:c>
      <x:c r="P17" s="103"/>
      <x:c r="Q17" s="94" t="str">
        <x:f>IF(OR(N17="",P17=""),"",IF(N17&gt;=P17,"Pass","Not Yet"))</x:f>
      </x:c>
      <x:c r="R17" s="92"/>
      <x:c r="S17" s="93"/>
      <x:c r="T17" s="102" t="str">
        <x:f>IF(OR(D17="",K17&lt;&gt;"Attended"),"",D17+3)</x:f>
      </x:c>
      <x:c r="U17" s="94" t="str">
        <x:f>IF(A17="","",IF(K17&lt;&gt;"Attended","N/A",IF(COUNTIFS('12 Training Evaluation'!$B$6:$B$155,B17,'12 Training Evaluation'!$C$6:$C$155,E17,'12 Training Evaluation'!$W$6:$W$155,"Complete")&gt;0,"Complete","Pending")))</x:f>
      </x:c>
      <x:c r="V17" s="102" t="str">
        <x:f>IF(OR(D17="",K17&lt;&gt;"Attended"),"",D17+30)</x:f>
      </x:c>
      <x:c r="W17" s="94" t="str">
        <x:f>IF(A17="","",IF(K17&lt;&gt;"Attended","N/A",IF(COUNTIFS('13 Effectiveness Review'!$B$6:$B$155,B17,'13 Effectiveness Review'!$C$6:$C$155,E17)&gt;0,"Reviewed",IF(V17&lt;TODAY(),"Overdue","Due"))))</x:f>
      </x:c>
      <x:c r="X17" s="92"/>
      <x:c r="Y17" s="92"/>
      <x:c r="Z17" s="92"/>
      <x:c r="AA17" s="85" t="str">
        <x:f>IF(E17="","",E17&amp;"|"&amp;COUNTIF($E$6:E17,E17))</x:f>
      </x:c>
      <x:c r="AB17" s="85" t="str">
        <x:f>IF(A17="","",A17)</x:f>
      </x:c>
      <x:c r="AC17" s="85" t="str">
        <x:f>IF(A17="","",B17)</x:f>
      </x:c>
      <x:c r="AD17" s="85" t="str">
        <x:f>IF(A17="","",C17)</x:f>
      </x:c>
      <x:c r="AE17" s="85" t="str">
        <x:f>IF(A17="","",D17)</x:f>
      </x:c>
      <x:c r="AF17" s="85" t="str">
        <x:f>IF(A17="","",L17)</x:f>
      </x:c>
      <x:c r="AG17" s="85" t="str">
        <x:f>IF(A17="","",K17)</x:f>
      </x:c>
      <x:c r="AH17" s="85" t="str">
        <x:f>IF(A17="","",Q17)</x:f>
      </x:c>
      <x:c r="AI17" s="85" t="str">
        <x:f>IF(A17="","",R17)</x:f>
      </x:c>
      <x:c r="AJ17" s="85" t="str">
        <x:f>IF(A17="","",U17)</x:f>
      </x:c>
      <x:c r="AK17" s="85" t="str">
        <x:f>IF(A17="","",W17)</x:f>
      </x:c>
      <x:c r="AL17" s="85" t="str">
        <x:f>IFERROR(IF(A17="","",Y17),"")</x:f>
      </x:c>
      <x:c r="AM17" s="85" t="str">
        <x:f>IFERROR(IF(A17="","",Z17),"")</x:f>
      </x:c>
    </x:row>
    <x:row r="18">
      <x:c r="A18" s="92"/>
      <x:c r="B18" s="92"/>
      <x:c r="C18" s="94" t="str">
        <x:f>IFERROR(VLOOKUP(B18,'06 Training Register'!$A$6:$Y$55,3,FALSE),"")</x:f>
      </x:c>
      <x:c r="D18" s="102" t="str">
        <x:f>IF(B18="","",IFERROR(IF(VLOOKUP(B18,'06 Training Register'!$A$6:$Y$55,15,FALSE)&gt;0,VLOOKUP(B18,'06 Training Register'!$A$6:$Y$55,15,FALSE),VLOOKUP(B18,'06 Training Register'!$A$6:$Y$55,12,FALSE)),""))</x:f>
      </x:c>
      <x:c r="E18" s="92"/>
      <x:c r="F18" s="94" t="str">
        <x:f>IFERROR(VLOOKUP(E18,'01 Staff Master'!$A$6:$M$105,2,FALSE),"")</x:f>
      </x:c>
      <x:c r="G18" s="94" t="str">
        <x:f>IFERROR(VLOOKUP(E18,'01 Staff Master'!$A$6:$M$105,3,FALSE),"")</x:f>
      </x:c>
      <x:c r="H18" s="94" t="str">
        <x:f>IFERROR(VLOOKUP(E18,'01 Staff Master'!$A$6:$M$105,5,FALSE),"")</x:f>
      </x:c>
      <x:c r="I18" s="94" t="str">
        <x:f>IFERROR(VLOOKUP(B18,'06 Training Register'!$A$6:$Y$55,4,FALSE),"")</x:f>
      </x:c>
      <x:c r="J18" s="92"/>
      <x:c r="K18" s="92"/>
      <x:c r="L18" s="92"/>
      <x:c r="M18" s="103"/>
      <x:c r="N18" s="103"/>
      <x:c r="O18" s="104" t="str">
        <x:f>IF(OR(M18="",N18=""),"",N18-M18)</x:f>
      </x:c>
      <x:c r="P18" s="103"/>
      <x:c r="Q18" s="94" t="str">
        <x:f>IF(OR(N18="",P18=""),"",IF(N18&gt;=P18,"Pass","Not Yet"))</x:f>
      </x:c>
      <x:c r="R18" s="92"/>
      <x:c r="S18" s="93"/>
      <x:c r="T18" s="102" t="str">
        <x:f>IF(OR(D18="",K18&lt;&gt;"Attended"),"",D18+3)</x:f>
      </x:c>
      <x:c r="U18" s="94" t="str">
        <x:f>IF(A18="","",IF(K18&lt;&gt;"Attended","N/A",IF(COUNTIFS('12 Training Evaluation'!$B$6:$B$155,B18,'12 Training Evaluation'!$C$6:$C$155,E18,'12 Training Evaluation'!$W$6:$W$155,"Complete")&gt;0,"Complete","Pending")))</x:f>
      </x:c>
      <x:c r="V18" s="102" t="str">
        <x:f>IF(OR(D18="",K18&lt;&gt;"Attended"),"",D18+30)</x:f>
      </x:c>
      <x:c r="W18" s="94" t="str">
        <x:f>IF(A18="","",IF(K18&lt;&gt;"Attended","N/A",IF(COUNTIFS('13 Effectiveness Review'!$B$6:$B$155,B18,'13 Effectiveness Review'!$C$6:$C$155,E18)&gt;0,"Reviewed",IF(V18&lt;TODAY(),"Overdue","Due"))))</x:f>
      </x:c>
      <x:c r="X18" s="92"/>
      <x:c r="Y18" s="92"/>
      <x:c r="Z18" s="92"/>
      <x:c r="AA18" s="85" t="str">
        <x:f>IF(E18="","",E18&amp;"|"&amp;COUNTIF($E$6:E18,E18))</x:f>
      </x:c>
      <x:c r="AB18" s="85" t="str">
        <x:f>IF(A18="","",A18)</x:f>
      </x:c>
      <x:c r="AC18" s="85" t="str">
        <x:f>IF(A18="","",B18)</x:f>
      </x:c>
      <x:c r="AD18" s="85" t="str">
        <x:f>IF(A18="","",C18)</x:f>
      </x:c>
      <x:c r="AE18" s="85" t="str">
        <x:f>IF(A18="","",D18)</x:f>
      </x:c>
      <x:c r="AF18" s="85" t="str">
        <x:f>IF(A18="","",L18)</x:f>
      </x:c>
      <x:c r="AG18" s="85" t="str">
        <x:f>IF(A18="","",K18)</x:f>
      </x:c>
      <x:c r="AH18" s="85" t="str">
        <x:f>IF(A18="","",Q18)</x:f>
      </x:c>
      <x:c r="AI18" s="85" t="str">
        <x:f>IF(A18="","",R18)</x:f>
      </x:c>
      <x:c r="AJ18" s="85" t="str">
        <x:f>IF(A18="","",U18)</x:f>
      </x:c>
      <x:c r="AK18" s="85" t="str">
        <x:f>IF(A18="","",W18)</x:f>
      </x:c>
      <x:c r="AL18" s="85" t="str">
        <x:f>IFERROR(IF(A18="","",Y18),"")</x:f>
      </x:c>
      <x:c r="AM18" s="85" t="str">
        <x:f>IFERROR(IF(A18="","",Z18),"")</x:f>
      </x:c>
    </x:row>
    <x:row r="19">
      <x:c r="A19" s="92"/>
      <x:c r="B19" s="92"/>
      <x:c r="C19" s="94" t="str">
        <x:f>IFERROR(VLOOKUP(B19,'06 Training Register'!$A$6:$Y$55,3,FALSE),"")</x:f>
      </x:c>
      <x:c r="D19" s="102" t="str">
        <x:f>IF(B19="","",IFERROR(IF(VLOOKUP(B19,'06 Training Register'!$A$6:$Y$55,15,FALSE)&gt;0,VLOOKUP(B19,'06 Training Register'!$A$6:$Y$55,15,FALSE),VLOOKUP(B19,'06 Training Register'!$A$6:$Y$55,12,FALSE)),""))</x:f>
      </x:c>
      <x:c r="E19" s="92"/>
      <x:c r="F19" s="94" t="str">
        <x:f>IFERROR(VLOOKUP(E19,'01 Staff Master'!$A$6:$M$105,2,FALSE),"")</x:f>
      </x:c>
      <x:c r="G19" s="94" t="str">
        <x:f>IFERROR(VLOOKUP(E19,'01 Staff Master'!$A$6:$M$105,3,FALSE),"")</x:f>
      </x:c>
      <x:c r="H19" s="94" t="str">
        <x:f>IFERROR(VLOOKUP(E19,'01 Staff Master'!$A$6:$M$105,5,FALSE),"")</x:f>
      </x:c>
      <x:c r="I19" s="94" t="str">
        <x:f>IFERROR(VLOOKUP(B19,'06 Training Register'!$A$6:$Y$55,4,FALSE),"")</x:f>
      </x:c>
      <x:c r="J19" s="92"/>
      <x:c r="K19" s="92"/>
      <x:c r="L19" s="92"/>
      <x:c r="M19" s="103"/>
      <x:c r="N19" s="103"/>
      <x:c r="O19" s="104" t="str">
        <x:f>IF(OR(M19="",N19=""),"",N19-M19)</x:f>
      </x:c>
      <x:c r="P19" s="103"/>
      <x:c r="Q19" s="94" t="str">
        <x:f>IF(OR(N19="",P19=""),"",IF(N19&gt;=P19,"Pass","Not Yet"))</x:f>
      </x:c>
      <x:c r="R19" s="92"/>
      <x:c r="S19" s="93"/>
      <x:c r="T19" s="102" t="str">
        <x:f>IF(OR(D19="",K19&lt;&gt;"Attended"),"",D19+3)</x:f>
      </x:c>
      <x:c r="U19" s="94" t="str">
        <x:f>IF(A19="","",IF(K19&lt;&gt;"Attended","N/A",IF(COUNTIFS('12 Training Evaluation'!$B$6:$B$155,B19,'12 Training Evaluation'!$C$6:$C$155,E19,'12 Training Evaluation'!$W$6:$W$155,"Complete")&gt;0,"Complete","Pending")))</x:f>
      </x:c>
      <x:c r="V19" s="102" t="str">
        <x:f>IF(OR(D19="",K19&lt;&gt;"Attended"),"",D19+30)</x:f>
      </x:c>
      <x:c r="W19" s="94" t="str">
        <x:f>IF(A19="","",IF(K19&lt;&gt;"Attended","N/A",IF(COUNTIFS('13 Effectiveness Review'!$B$6:$B$155,B19,'13 Effectiveness Review'!$C$6:$C$155,E19)&gt;0,"Reviewed",IF(V19&lt;TODAY(),"Overdue","Due"))))</x:f>
      </x:c>
      <x:c r="X19" s="92"/>
      <x:c r="Y19" s="92"/>
      <x:c r="Z19" s="92"/>
      <x:c r="AA19" s="85" t="str">
        <x:f>IF(E19="","",E19&amp;"|"&amp;COUNTIF($E$6:E19,E19))</x:f>
      </x:c>
      <x:c r="AB19" s="85" t="str">
        <x:f>IF(A19="","",A19)</x:f>
      </x:c>
      <x:c r="AC19" s="85" t="str">
        <x:f>IF(A19="","",B19)</x:f>
      </x:c>
      <x:c r="AD19" s="85" t="str">
        <x:f>IF(A19="","",C19)</x:f>
      </x:c>
      <x:c r="AE19" s="85" t="str">
        <x:f>IF(A19="","",D19)</x:f>
      </x:c>
      <x:c r="AF19" s="85" t="str">
        <x:f>IF(A19="","",L19)</x:f>
      </x:c>
      <x:c r="AG19" s="85" t="str">
        <x:f>IF(A19="","",K19)</x:f>
      </x:c>
      <x:c r="AH19" s="85" t="str">
        <x:f>IF(A19="","",Q19)</x:f>
      </x:c>
      <x:c r="AI19" s="85" t="str">
        <x:f>IF(A19="","",R19)</x:f>
      </x:c>
      <x:c r="AJ19" s="85" t="str">
        <x:f>IF(A19="","",U19)</x:f>
      </x:c>
      <x:c r="AK19" s="85" t="str">
        <x:f>IF(A19="","",W19)</x:f>
      </x:c>
      <x:c r="AL19" s="85" t="str">
        <x:f>IFERROR(IF(A19="","",Y19),"")</x:f>
      </x:c>
      <x:c r="AM19" s="85" t="str">
        <x:f>IFERROR(IF(A19="","",Z19),"")</x:f>
      </x:c>
    </x:row>
    <x:row r="20">
      <x:c r="A20" s="92"/>
      <x:c r="B20" s="92"/>
      <x:c r="C20" s="94" t="str">
        <x:f>IFERROR(VLOOKUP(B20,'06 Training Register'!$A$6:$Y$55,3,FALSE),"")</x:f>
      </x:c>
      <x:c r="D20" s="102" t="str">
        <x:f>IF(B20="","",IFERROR(IF(VLOOKUP(B20,'06 Training Register'!$A$6:$Y$55,15,FALSE)&gt;0,VLOOKUP(B20,'06 Training Register'!$A$6:$Y$55,15,FALSE),VLOOKUP(B20,'06 Training Register'!$A$6:$Y$55,12,FALSE)),""))</x:f>
      </x:c>
      <x:c r="E20" s="92"/>
      <x:c r="F20" s="94" t="str">
        <x:f>IFERROR(VLOOKUP(E20,'01 Staff Master'!$A$6:$M$105,2,FALSE),"")</x:f>
      </x:c>
      <x:c r="G20" s="94" t="str">
        <x:f>IFERROR(VLOOKUP(E20,'01 Staff Master'!$A$6:$M$105,3,FALSE),"")</x:f>
      </x:c>
      <x:c r="H20" s="94" t="str">
        <x:f>IFERROR(VLOOKUP(E20,'01 Staff Master'!$A$6:$M$105,5,FALSE),"")</x:f>
      </x:c>
      <x:c r="I20" s="94" t="str">
        <x:f>IFERROR(VLOOKUP(B20,'06 Training Register'!$A$6:$Y$55,4,FALSE),"")</x:f>
      </x:c>
      <x:c r="J20" s="92"/>
      <x:c r="K20" s="92"/>
      <x:c r="L20" s="92"/>
      <x:c r="M20" s="103"/>
      <x:c r="N20" s="103"/>
      <x:c r="O20" s="104" t="str">
        <x:f>IF(OR(M20="",N20=""),"",N20-M20)</x:f>
      </x:c>
      <x:c r="P20" s="103"/>
      <x:c r="Q20" s="94" t="str">
        <x:f>IF(OR(N20="",P20=""),"",IF(N20&gt;=P20,"Pass","Not Yet"))</x:f>
      </x:c>
      <x:c r="R20" s="92"/>
      <x:c r="S20" s="93"/>
      <x:c r="T20" s="102" t="str">
        <x:f>IF(OR(D20="",K20&lt;&gt;"Attended"),"",D20+3)</x:f>
      </x:c>
      <x:c r="U20" s="94" t="str">
        <x:f>IF(A20="","",IF(K20&lt;&gt;"Attended","N/A",IF(COUNTIFS('12 Training Evaluation'!$B$6:$B$155,B20,'12 Training Evaluation'!$C$6:$C$155,E20,'12 Training Evaluation'!$W$6:$W$155,"Complete")&gt;0,"Complete","Pending")))</x:f>
      </x:c>
      <x:c r="V20" s="102" t="str">
        <x:f>IF(OR(D20="",K20&lt;&gt;"Attended"),"",D20+30)</x:f>
      </x:c>
      <x:c r="W20" s="94" t="str">
        <x:f>IF(A20="","",IF(K20&lt;&gt;"Attended","N/A",IF(COUNTIFS('13 Effectiveness Review'!$B$6:$B$155,B20,'13 Effectiveness Review'!$C$6:$C$155,E20)&gt;0,"Reviewed",IF(V20&lt;TODAY(),"Overdue","Due"))))</x:f>
      </x:c>
      <x:c r="X20" s="92"/>
      <x:c r="Y20" s="92"/>
      <x:c r="Z20" s="92"/>
      <x:c r="AA20" s="85" t="str">
        <x:f>IF(E20="","",E20&amp;"|"&amp;COUNTIF($E$6:E20,E20))</x:f>
      </x:c>
      <x:c r="AB20" s="85" t="str">
        <x:f>IF(A20="","",A20)</x:f>
      </x:c>
      <x:c r="AC20" s="85" t="str">
        <x:f>IF(A20="","",B20)</x:f>
      </x:c>
      <x:c r="AD20" s="85" t="str">
        <x:f>IF(A20="","",C20)</x:f>
      </x:c>
      <x:c r="AE20" s="85" t="str">
        <x:f>IF(A20="","",D20)</x:f>
      </x:c>
      <x:c r="AF20" s="85" t="str">
        <x:f>IF(A20="","",L20)</x:f>
      </x:c>
      <x:c r="AG20" s="85" t="str">
        <x:f>IF(A20="","",K20)</x:f>
      </x:c>
      <x:c r="AH20" s="85" t="str">
        <x:f>IF(A20="","",Q20)</x:f>
      </x:c>
      <x:c r="AI20" s="85" t="str">
        <x:f>IF(A20="","",R20)</x:f>
      </x:c>
      <x:c r="AJ20" s="85" t="str">
        <x:f>IF(A20="","",U20)</x:f>
      </x:c>
      <x:c r="AK20" s="85" t="str">
        <x:f>IF(A20="","",W20)</x:f>
      </x:c>
      <x:c r="AL20" s="85" t="str">
        <x:f>IFERROR(IF(A20="","",Y20),"")</x:f>
      </x:c>
      <x:c r="AM20" s="85" t="str">
        <x:f>IFERROR(IF(A20="","",Z20),"")</x:f>
      </x:c>
    </x:row>
    <x:row r="21">
      <x:c r="A21" s="92"/>
      <x:c r="B21" s="92"/>
      <x:c r="C21" s="94" t="str">
        <x:f>IFERROR(VLOOKUP(B21,'06 Training Register'!$A$6:$Y$55,3,FALSE),"")</x:f>
      </x:c>
      <x:c r="D21" s="102" t="str">
        <x:f>IF(B21="","",IFERROR(IF(VLOOKUP(B21,'06 Training Register'!$A$6:$Y$55,15,FALSE)&gt;0,VLOOKUP(B21,'06 Training Register'!$A$6:$Y$55,15,FALSE),VLOOKUP(B21,'06 Training Register'!$A$6:$Y$55,12,FALSE)),""))</x:f>
      </x:c>
      <x:c r="E21" s="92"/>
      <x:c r="F21" s="94" t="str">
        <x:f>IFERROR(VLOOKUP(E21,'01 Staff Master'!$A$6:$M$105,2,FALSE),"")</x:f>
      </x:c>
      <x:c r="G21" s="94" t="str">
        <x:f>IFERROR(VLOOKUP(E21,'01 Staff Master'!$A$6:$M$105,3,FALSE),"")</x:f>
      </x:c>
      <x:c r="H21" s="94" t="str">
        <x:f>IFERROR(VLOOKUP(E21,'01 Staff Master'!$A$6:$M$105,5,FALSE),"")</x:f>
      </x:c>
      <x:c r="I21" s="94" t="str">
        <x:f>IFERROR(VLOOKUP(B21,'06 Training Register'!$A$6:$Y$55,4,FALSE),"")</x:f>
      </x:c>
      <x:c r="J21" s="92"/>
      <x:c r="K21" s="92"/>
      <x:c r="L21" s="92"/>
      <x:c r="M21" s="103"/>
      <x:c r="N21" s="103"/>
      <x:c r="O21" s="104" t="str">
        <x:f>IF(OR(M21="",N21=""),"",N21-M21)</x:f>
      </x:c>
      <x:c r="P21" s="103"/>
      <x:c r="Q21" s="94" t="str">
        <x:f>IF(OR(N21="",P21=""),"",IF(N21&gt;=P21,"Pass","Not Yet"))</x:f>
      </x:c>
      <x:c r="R21" s="92"/>
      <x:c r="S21" s="93"/>
      <x:c r="T21" s="102" t="str">
        <x:f>IF(OR(D21="",K21&lt;&gt;"Attended"),"",D21+3)</x:f>
      </x:c>
      <x:c r="U21" s="94" t="str">
        <x:f>IF(A21="","",IF(K21&lt;&gt;"Attended","N/A",IF(COUNTIFS('12 Training Evaluation'!$B$6:$B$155,B21,'12 Training Evaluation'!$C$6:$C$155,E21,'12 Training Evaluation'!$W$6:$W$155,"Complete")&gt;0,"Complete","Pending")))</x:f>
      </x:c>
      <x:c r="V21" s="102" t="str">
        <x:f>IF(OR(D21="",K21&lt;&gt;"Attended"),"",D21+30)</x:f>
      </x:c>
      <x:c r="W21" s="94" t="str">
        <x:f>IF(A21="","",IF(K21&lt;&gt;"Attended","N/A",IF(COUNTIFS('13 Effectiveness Review'!$B$6:$B$155,B21,'13 Effectiveness Review'!$C$6:$C$155,E21)&gt;0,"Reviewed",IF(V21&lt;TODAY(),"Overdue","Due"))))</x:f>
      </x:c>
      <x:c r="X21" s="92"/>
      <x:c r="Y21" s="92"/>
      <x:c r="Z21" s="92"/>
      <x:c r="AA21" s="85" t="str">
        <x:f>IF(E21="","",E21&amp;"|"&amp;COUNTIF($E$6:E21,E21))</x:f>
      </x:c>
      <x:c r="AB21" s="85" t="str">
        <x:f>IF(A21="","",A21)</x:f>
      </x:c>
      <x:c r="AC21" s="85" t="str">
        <x:f>IF(A21="","",B21)</x:f>
      </x:c>
      <x:c r="AD21" s="85" t="str">
        <x:f>IF(A21="","",C21)</x:f>
      </x:c>
      <x:c r="AE21" s="85" t="str">
        <x:f>IF(A21="","",D21)</x:f>
      </x:c>
      <x:c r="AF21" s="85" t="str">
        <x:f>IF(A21="","",L21)</x:f>
      </x:c>
      <x:c r="AG21" s="85" t="str">
        <x:f>IF(A21="","",K21)</x:f>
      </x:c>
      <x:c r="AH21" s="85" t="str">
        <x:f>IF(A21="","",Q21)</x:f>
      </x:c>
      <x:c r="AI21" s="85" t="str">
        <x:f>IF(A21="","",R21)</x:f>
      </x:c>
      <x:c r="AJ21" s="85" t="str">
        <x:f>IF(A21="","",U21)</x:f>
      </x:c>
      <x:c r="AK21" s="85" t="str">
        <x:f>IF(A21="","",W21)</x:f>
      </x:c>
      <x:c r="AL21" s="85" t="str">
        <x:f>IFERROR(IF(A21="","",Y21),"")</x:f>
      </x:c>
      <x:c r="AM21" s="85" t="str">
        <x:f>IFERROR(IF(A21="","",Z21),"")</x:f>
      </x:c>
    </x:row>
    <x:row r="22">
      <x:c r="A22" s="92"/>
      <x:c r="B22" s="92"/>
      <x:c r="C22" s="94" t="str">
        <x:f>IFERROR(VLOOKUP(B22,'06 Training Register'!$A$6:$Y$55,3,FALSE),"")</x:f>
      </x:c>
      <x:c r="D22" s="102" t="str">
        <x:f>IF(B22="","",IFERROR(IF(VLOOKUP(B22,'06 Training Register'!$A$6:$Y$55,15,FALSE)&gt;0,VLOOKUP(B22,'06 Training Register'!$A$6:$Y$55,15,FALSE),VLOOKUP(B22,'06 Training Register'!$A$6:$Y$55,12,FALSE)),""))</x:f>
      </x:c>
      <x:c r="E22" s="92"/>
      <x:c r="F22" s="94" t="str">
        <x:f>IFERROR(VLOOKUP(E22,'01 Staff Master'!$A$6:$M$105,2,FALSE),"")</x:f>
      </x:c>
      <x:c r="G22" s="94" t="str">
        <x:f>IFERROR(VLOOKUP(E22,'01 Staff Master'!$A$6:$M$105,3,FALSE),"")</x:f>
      </x:c>
      <x:c r="H22" s="94" t="str">
        <x:f>IFERROR(VLOOKUP(E22,'01 Staff Master'!$A$6:$M$105,5,FALSE),"")</x:f>
      </x:c>
      <x:c r="I22" s="94" t="str">
        <x:f>IFERROR(VLOOKUP(B22,'06 Training Register'!$A$6:$Y$55,4,FALSE),"")</x:f>
      </x:c>
      <x:c r="J22" s="92"/>
      <x:c r="K22" s="92"/>
      <x:c r="L22" s="92"/>
      <x:c r="M22" s="103"/>
      <x:c r="N22" s="103"/>
      <x:c r="O22" s="104" t="str">
        <x:f>IF(OR(M22="",N22=""),"",N22-M22)</x:f>
      </x:c>
      <x:c r="P22" s="103"/>
      <x:c r="Q22" s="94" t="str">
        <x:f>IF(OR(N22="",P22=""),"",IF(N22&gt;=P22,"Pass","Not Yet"))</x:f>
      </x:c>
      <x:c r="R22" s="92"/>
      <x:c r="S22" s="93"/>
      <x:c r="T22" s="102" t="str">
        <x:f>IF(OR(D22="",K22&lt;&gt;"Attended"),"",D22+3)</x:f>
      </x:c>
      <x:c r="U22" s="94" t="str">
        <x:f>IF(A22="","",IF(K22&lt;&gt;"Attended","N/A",IF(COUNTIFS('12 Training Evaluation'!$B$6:$B$155,B22,'12 Training Evaluation'!$C$6:$C$155,E22,'12 Training Evaluation'!$W$6:$W$155,"Complete")&gt;0,"Complete","Pending")))</x:f>
      </x:c>
      <x:c r="V22" s="102" t="str">
        <x:f>IF(OR(D22="",K22&lt;&gt;"Attended"),"",D22+30)</x:f>
      </x:c>
      <x:c r="W22" s="94" t="str">
        <x:f>IF(A22="","",IF(K22&lt;&gt;"Attended","N/A",IF(COUNTIFS('13 Effectiveness Review'!$B$6:$B$155,B22,'13 Effectiveness Review'!$C$6:$C$155,E22)&gt;0,"Reviewed",IF(V22&lt;TODAY(),"Overdue","Due"))))</x:f>
      </x:c>
      <x:c r="X22" s="92"/>
      <x:c r="Y22" s="92"/>
      <x:c r="Z22" s="92"/>
      <x:c r="AA22" s="85" t="str">
        <x:f>IF(E22="","",E22&amp;"|"&amp;COUNTIF($E$6:E22,E22))</x:f>
      </x:c>
      <x:c r="AB22" s="85" t="str">
        <x:f>IF(A22="","",A22)</x:f>
      </x:c>
      <x:c r="AC22" s="85" t="str">
        <x:f>IF(A22="","",B22)</x:f>
      </x:c>
      <x:c r="AD22" s="85" t="str">
        <x:f>IF(A22="","",C22)</x:f>
      </x:c>
      <x:c r="AE22" s="85" t="str">
        <x:f>IF(A22="","",D22)</x:f>
      </x:c>
      <x:c r="AF22" s="85" t="str">
        <x:f>IF(A22="","",L22)</x:f>
      </x:c>
      <x:c r="AG22" s="85" t="str">
        <x:f>IF(A22="","",K22)</x:f>
      </x:c>
      <x:c r="AH22" s="85" t="str">
        <x:f>IF(A22="","",Q22)</x:f>
      </x:c>
      <x:c r="AI22" s="85" t="str">
        <x:f>IF(A22="","",R22)</x:f>
      </x:c>
      <x:c r="AJ22" s="85" t="str">
        <x:f>IF(A22="","",U22)</x:f>
      </x:c>
      <x:c r="AK22" s="85" t="str">
        <x:f>IF(A22="","",W22)</x:f>
      </x:c>
      <x:c r="AL22" s="85" t="str">
        <x:f>IFERROR(IF(A22="","",Y22),"")</x:f>
      </x:c>
      <x:c r="AM22" s="85" t="str">
        <x:f>IFERROR(IF(A22="","",Z22),"")</x:f>
      </x:c>
    </x:row>
    <x:row r="23">
      <x:c r="A23" s="92"/>
      <x:c r="B23" s="92"/>
      <x:c r="C23" s="94" t="str">
        <x:f>IFERROR(VLOOKUP(B23,'06 Training Register'!$A$6:$Y$55,3,FALSE),"")</x:f>
      </x:c>
      <x:c r="D23" s="102" t="str">
        <x:f>IF(B23="","",IFERROR(IF(VLOOKUP(B23,'06 Training Register'!$A$6:$Y$55,15,FALSE)&gt;0,VLOOKUP(B23,'06 Training Register'!$A$6:$Y$55,15,FALSE),VLOOKUP(B23,'06 Training Register'!$A$6:$Y$55,12,FALSE)),""))</x:f>
      </x:c>
      <x:c r="E23" s="92"/>
      <x:c r="F23" s="94" t="str">
        <x:f>IFERROR(VLOOKUP(E23,'01 Staff Master'!$A$6:$M$105,2,FALSE),"")</x:f>
      </x:c>
      <x:c r="G23" s="94" t="str">
        <x:f>IFERROR(VLOOKUP(E23,'01 Staff Master'!$A$6:$M$105,3,FALSE),"")</x:f>
      </x:c>
      <x:c r="H23" s="94" t="str">
        <x:f>IFERROR(VLOOKUP(E23,'01 Staff Master'!$A$6:$M$105,5,FALSE),"")</x:f>
      </x:c>
      <x:c r="I23" s="94" t="str">
        <x:f>IFERROR(VLOOKUP(B23,'06 Training Register'!$A$6:$Y$55,4,FALSE),"")</x:f>
      </x:c>
      <x:c r="J23" s="92"/>
      <x:c r="K23" s="92"/>
      <x:c r="L23" s="92"/>
      <x:c r="M23" s="103"/>
      <x:c r="N23" s="103"/>
      <x:c r="O23" s="104" t="str">
        <x:f>IF(OR(M23="",N23=""),"",N23-M23)</x:f>
      </x:c>
      <x:c r="P23" s="103"/>
      <x:c r="Q23" s="94" t="str">
        <x:f>IF(OR(N23="",P23=""),"",IF(N23&gt;=P23,"Pass","Not Yet"))</x:f>
      </x:c>
      <x:c r="R23" s="92"/>
      <x:c r="S23" s="93"/>
      <x:c r="T23" s="102" t="str">
        <x:f>IF(OR(D23="",K23&lt;&gt;"Attended"),"",D23+3)</x:f>
      </x:c>
      <x:c r="U23" s="94" t="str">
        <x:f>IF(A23="","",IF(K23&lt;&gt;"Attended","N/A",IF(COUNTIFS('12 Training Evaluation'!$B$6:$B$155,B23,'12 Training Evaluation'!$C$6:$C$155,E23,'12 Training Evaluation'!$W$6:$W$155,"Complete")&gt;0,"Complete","Pending")))</x:f>
      </x:c>
      <x:c r="V23" s="102" t="str">
        <x:f>IF(OR(D23="",K23&lt;&gt;"Attended"),"",D23+30)</x:f>
      </x:c>
      <x:c r="W23" s="94" t="str">
        <x:f>IF(A23="","",IF(K23&lt;&gt;"Attended","N/A",IF(COUNTIFS('13 Effectiveness Review'!$B$6:$B$155,B23,'13 Effectiveness Review'!$C$6:$C$155,E23)&gt;0,"Reviewed",IF(V23&lt;TODAY(),"Overdue","Due"))))</x:f>
      </x:c>
      <x:c r="X23" s="92"/>
      <x:c r="Y23" s="92"/>
      <x:c r="Z23" s="92"/>
      <x:c r="AA23" s="85" t="str">
        <x:f>IF(E23="","",E23&amp;"|"&amp;COUNTIF($E$6:E23,E23))</x:f>
      </x:c>
      <x:c r="AB23" s="85" t="str">
        <x:f>IF(A23="","",A23)</x:f>
      </x:c>
      <x:c r="AC23" s="85" t="str">
        <x:f>IF(A23="","",B23)</x:f>
      </x:c>
      <x:c r="AD23" s="85" t="str">
        <x:f>IF(A23="","",C23)</x:f>
      </x:c>
      <x:c r="AE23" s="85" t="str">
        <x:f>IF(A23="","",D23)</x:f>
      </x:c>
      <x:c r="AF23" s="85" t="str">
        <x:f>IF(A23="","",L23)</x:f>
      </x:c>
      <x:c r="AG23" s="85" t="str">
        <x:f>IF(A23="","",K23)</x:f>
      </x:c>
      <x:c r="AH23" s="85" t="str">
        <x:f>IF(A23="","",Q23)</x:f>
      </x:c>
      <x:c r="AI23" s="85" t="str">
        <x:f>IF(A23="","",R23)</x:f>
      </x:c>
      <x:c r="AJ23" s="85" t="str">
        <x:f>IF(A23="","",U23)</x:f>
      </x:c>
      <x:c r="AK23" s="85" t="str">
        <x:f>IF(A23="","",W23)</x:f>
      </x:c>
      <x:c r="AL23" s="85" t="str">
        <x:f>IFERROR(IF(A23="","",Y23),"")</x:f>
      </x:c>
      <x:c r="AM23" s="85" t="str">
        <x:f>IFERROR(IF(A23="","",Z23),"")</x:f>
      </x:c>
    </x:row>
    <x:row r="24">
      <x:c r="A24" s="92"/>
      <x:c r="B24" s="92"/>
      <x:c r="C24" s="94" t="str">
        <x:f>IFERROR(VLOOKUP(B24,'06 Training Register'!$A$6:$Y$55,3,FALSE),"")</x:f>
      </x:c>
      <x:c r="D24" s="102" t="str">
        <x:f>IF(B24="","",IFERROR(IF(VLOOKUP(B24,'06 Training Register'!$A$6:$Y$55,15,FALSE)&gt;0,VLOOKUP(B24,'06 Training Register'!$A$6:$Y$55,15,FALSE),VLOOKUP(B24,'06 Training Register'!$A$6:$Y$55,12,FALSE)),""))</x:f>
      </x:c>
      <x:c r="E24" s="92"/>
      <x:c r="F24" s="94" t="str">
        <x:f>IFERROR(VLOOKUP(E24,'01 Staff Master'!$A$6:$M$105,2,FALSE),"")</x:f>
      </x:c>
      <x:c r="G24" s="94" t="str">
        <x:f>IFERROR(VLOOKUP(E24,'01 Staff Master'!$A$6:$M$105,3,FALSE),"")</x:f>
      </x:c>
      <x:c r="H24" s="94" t="str">
        <x:f>IFERROR(VLOOKUP(E24,'01 Staff Master'!$A$6:$M$105,5,FALSE),"")</x:f>
      </x:c>
      <x:c r="I24" s="94" t="str">
        <x:f>IFERROR(VLOOKUP(B24,'06 Training Register'!$A$6:$Y$55,4,FALSE),"")</x:f>
      </x:c>
      <x:c r="J24" s="92"/>
      <x:c r="K24" s="92"/>
      <x:c r="L24" s="92"/>
      <x:c r="M24" s="103"/>
      <x:c r="N24" s="103"/>
      <x:c r="O24" s="104" t="str">
        <x:f>IF(OR(M24="",N24=""),"",N24-M24)</x:f>
      </x:c>
      <x:c r="P24" s="103"/>
      <x:c r="Q24" s="94" t="str">
        <x:f>IF(OR(N24="",P24=""),"",IF(N24&gt;=P24,"Pass","Not Yet"))</x:f>
      </x:c>
      <x:c r="R24" s="92"/>
      <x:c r="S24" s="93"/>
      <x:c r="T24" s="102" t="str">
        <x:f>IF(OR(D24="",K24&lt;&gt;"Attended"),"",D24+3)</x:f>
      </x:c>
      <x:c r="U24" s="94" t="str">
        <x:f>IF(A24="","",IF(K24&lt;&gt;"Attended","N/A",IF(COUNTIFS('12 Training Evaluation'!$B$6:$B$155,B24,'12 Training Evaluation'!$C$6:$C$155,E24,'12 Training Evaluation'!$W$6:$W$155,"Complete")&gt;0,"Complete","Pending")))</x:f>
      </x:c>
      <x:c r="V24" s="102" t="str">
        <x:f>IF(OR(D24="",K24&lt;&gt;"Attended"),"",D24+30)</x:f>
      </x:c>
      <x:c r="W24" s="94" t="str">
        <x:f>IF(A24="","",IF(K24&lt;&gt;"Attended","N/A",IF(COUNTIFS('13 Effectiveness Review'!$B$6:$B$155,B24,'13 Effectiveness Review'!$C$6:$C$155,E24)&gt;0,"Reviewed",IF(V24&lt;TODAY(),"Overdue","Due"))))</x:f>
      </x:c>
      <x:c r="X24" s="92"/>
      <x:c r="Y24" s="92"/>
      <x:c r="Z24" s="92"/>
      <x:c r="AA24" s="85" t="str">
        <x:f>IF(E24="","",E24&amp;"|"&amp;COUNTIF($E$6:E24,E24))</x:f>
      </x:c>
      <x:c r="AB24" s="85" t="str">
        <x:f>IF(A24="","",A24)</x:f>
      </x:c>
      <x:c r="AC24" s="85" t="str">
        <x:f>IF(A24="","",B24)</x:f>
      </x:c>
      <x:c r="AD24" s="85" t="str">
        <x:f>IF(A24="","",C24)</x:f>
      </x:c>
      <x:c r="AE24" s="85" t="str">
        <x:f>IF(A24="","",D24)</x:f>
      </x:c>
      <x:c r="AF24" s="85" t="str">
        <x:f>IF(A24="","",L24)</x:f>
      </x:c>
      <x:c r="AG24" s="85" t="str">
        <x:f>IF(A24="","",K24)</x:f>
      </x:c>
      <x:c r="AH24" s="85" t="str">
        <x:f>IF(A24="","",Q24)</x:f>
      </x:c>
      <x:c r="AI24" s="85" t="str">
        <x:f>IF(A24="","",R24)</x:f>
      </x:c>
      <x:c r="AJ24" s="85" t="str">
        <x:f>IF(A24="","",U24)</x:f>
      </x:c>
      <x:c r="AK24" s="85" t="str">
        <x:f>IF(A24="","",W24)</x:f>
      </x:c>
      <x:c r="AL24" s="85" t="str">
        <x:f>IFERROR(IF(A24="","",Y24),"")</x:f>
      </x:c>
      <x:c r="AM24" s="85" t="str">
        <x:f>IFERROR(IF(A24="","",Z24),"")</x:f>
      </x:c>
    </x:row>
    <x:row r="25">
      <x:c r="A25" s="92"/>
      <x:c r="B25" s="92"/>
      <x:c r="C25" s="94" t="str">
        <x:f>IFERROR(VLOOKUP(B25,'06 Training Register'!$A$6:$Y$55,3,FALSE),"")</x:f>
      </x:c>
      <x:c r="D25" s="102" t="str">
        <x:f>IF(B25="","",IFERROR(IF(VLOOKUP(B25,'06 Training Register'!$A$6:$Y$55,15,FALSE)&gt;0,VLOOKUP(B25,'06 Training Register'!$A$6:$Y$55,15,FALSE),VLOOKUP(B25,'06 Training Register'!$A$6:$Y$55,12,FALSE)),""))</x:f>
      </x:c>
      <x:c r="E25" s="92"/>
      <x:c r="F25" s="94" t="str">
        <x:f>IFERROR(VLOOKUP(E25,'01 Staff Master'!$A$6:$M$105,2,FALSE),"")</x:f>
      </x:c>
      <x:c r="G25" s="94" t="str">
        <x:f>IFERROR(VLOOKUP(E25,'01 Staff Master'!$A$6:$M$105,3,FALSE),"")</x:f>
      </x:c>
      <x:c r="H25" s="94" t="str">
        <x:f>IFERROR(VLOOKUP(E25,'01 Staff Master'!$A$6:$M$105,5,FALSE),"")</x:f>
      </x:c>
      <x:c r="I25" s="94" t="str">
        <x:f>IFERROR(VLOOKUP(B25,'06 Training Register'!$A$6:$Y$55,4,FALSE),"")</x:f>
      </x:c>
      <x:c r="J25" s="92"/>
      <x:c r="K25" s="92"/>
      <x:c r="L25" s="92"/>
      <x:c r="M25" s="103"/>
      <x:c r="N25" s="103"/>
      <x:c r="O25" s="104" t="str">
        <x:f>IF(OR(M25="",N25=""),"",N25-M25)</x:f>
      </x:c>
      <x:c r="P25" s="103"/>
      <x:c r="Q25" s="94" t="str">
        <x:f>IF(OR(N25="",P25=""),"",IF(N25&gt;=P25,"Pass","Not Yet"))</x:f>
      </x:c>
      <x:c r="R25" s="92"/>
      <x:c r="S25" s="93"/>
      <x:c r="T25" s="102" t="str">
        <x:f>IF(OR(D25="",K25&lt;&gt;"Attended"),"",D25+3)</x:f>
      </x:c>
      <x:c r="U25" s="94" t="str">
        <x:f>IF(A25="","",IF(K25&lt;&gt;"Attended","N/A",IF(COUNTIFS('12 Training Evaluation'!$B$6:$B$155,B25,'12 Training Evaluation'!$C$6:$C$155,E25,'12 Training Evaluation'!$W$6:$W$155,"Complete")&gt;0,"Complete","Pending")))</x:f>
      </x:c>
      <x:c r="V25" s="102" t="str">
        <x:f>IF(OR(D25="",K25&lt;&gt;"Attended"),"",D25+30)</x:f>
      </x:c>
      <x:c r="W25" s="94" t="str">
        <x:f>IF(A25="","",IF(K25&lt;&gt;"Attended","N/A",IF(COUNTIFS('13 Effectiveness Review'!$B$6:$B$155,B25,'13 Effectiveness Review'!$C$6:$C$155,E25)&gt;0,"Reviewed",IF(V25&lt;TODAY(),"Overdue","Due"))))</x:f>
      </x:c>
      <x:c r="X25" s="92"/>
      <x:c r="Y25" s="92"/>
      <x:c r="Z25" s="92"/>
      <x:c r="AA25" s="85" t="str">
        <x:f>IF(E25="","",E25&amp;"|"&amp;COUNTIF($E$6:E25,E25))</x:f>
      </x:c>
      <x:c r="AB25" s="85" t="str">
        <x:f>IF(A25="","",A25)</x:f>
      </x:c>
      <x:c r="AC25" s="85" t="str">
        <x:f>IF(A25="","",B25)</x:f>
      </x:c>
      <x:c r="AD25" s="85" t="str">
        <x:f>IF(A25="","",C25)</x:f>
      </x:c>
      <x:c r="AE25" s="85" t="str">
        <x:f>IF(A25="","",D25)</x:f>
      </x:c>
      <x:c r="AF25" s="85" t="str">
        <x:f>IF(A25="","",L25)</x:f>
      </x:c>
      <x:c r="AG25" s="85" t="str">
        <x:f>IF(A25="","",K25)</x:f>
      </x:c>
      <x:c r="AH25" s="85" t="str">
        <x:f>IF(A25="","",Q25)</x:f>
      </x:c>
      <x:c r="AI25" s="85" t="str">
        <x:f>IF(A25="","",R25)</x:f>
      </x:c>
      <x:c r="AJ25" s="85" t="str">
        <x:f>IF(A25="","",U25)</x:f>
      </x:c>
      <x:c r="AK25" s="85" t="str">
        <x:f>IF(A25="","",W25)</x:f>
      </x:c>
      <x:c r="AL25" s="85" t="str">
        <x:f>IFERROR(IF(A25="","",Y25),"")</x:f>
      </x:c>
      <x:c r="AM25" s="85" t="str">
        <x:f>IFERROR(IF(A25="","",Z25),"")</x:f>
      </x:c>
    </x:row>
    <x:row r="26">
      <x:c r="A26" s="92"/>
      <x:c r="B26" s="92"/>
      <x:c r="C26" s="94" t="str">
        <x:f>IFERROR(VLOOKUP(B26,'06 Training Register'!$A$6:$Y$55,3,FALSE),"")</x:f>
      </x:c>
      <x:c r="D26" s="102" t="str">
        <x:f>IF(B26="","",IFERROR(IF(VLOOKUP(B26,'06 Training Register'!$A$6:$Y$55,15,FALSE)&gt;0,VLOOKUP(B26,'06 Training Register'!$A$6:$Y$55,15,FALSE),VLOOKUP(B26,'06 Training Register'!$A$6:$Y$55,12,FALSE)),""))</x:f>
      </x:c>
      <x:c r="E26" s="92"/>
      <x:c r="F26" s="94" t="str">
        <x:f>IFERROR(VLOOKUP(E26,'01 Staff Master'!$A$6:$M$105,2,FALSE),"")</x:f>
      </x:c>
      <x:c r="G26" s="94" t="str">
        <x:f>IFERROR(VLOOKUP(E26,'01 Staff Master'!$A$6:$M$105,3,FALSE),"")</x:f>
      </x:c>
      <x:c r="H26" s="94" t="str">
        <x:f>IFERROR(VLOOKUP(E26,'01 Staff Master'!$A$6:$M$105,5,FALSE),"")</x:f>
      </x:c>
      <x:c r="I26" s="94" t="str">
        <x:f>IFERROR(VLOOKUP(B26,'06 Training Register'!$A$6:$Y$55,4,FALSE),"")</x:f>
      </x:c>
      <x:c r="J26" s="92"/>
      <x:c r="K26" s="92"/>
      <x:c r="L26" s="92"/>
      <x:c r="M26" s="103"/>
      <x:c r="N26" s="103"/>
      <x:c r="O26" s="104" t="str">
        <x:f>IF(OR(M26="",N26=""),"",N26-M26)</x:f>
      </x:c>
      <x:c r="P26" s="103"/>
      <x:c r="Q26" s="94" t="str">
        <x:f>IF(OR(N26="",P26=""),"",IF(N26&gt;=P26,"Pass","Not Yet"))</x:f>
      </x:c>
      <x:c r="R26" s="92"/>
      <x:c r="S26" s="93"/>
      <x:c r="T26" s="102" t="str">
        <x:f>IF(OR(D26="",K26&lt;&gt;"Attended"),"",D26+3)</x:f>
      </x:c>
      <x:c r="U26" s="94" t="str">
        <x:f>IF(A26="","",IF(K26&lt;&gt;"Attended","N/A",IF(COUNTIFS('12 Training Evaluation'!$B$6:$B$155,B26,'12 Training Evaluation'!$C$6:$C$155,E26,'12 Training Evaluation'!$W$6:$W$155,"Complete")&gt;0,"Complete","Pending")))</x:f>
      </x:c>
      <x:c r="V26" s="102" t="str">
        <x:f>IF(OR(D26="",K26&lt;&gt;"Attended"),"",D26+30)</x:f>
      </x:c>
      <x:c r="W26" s="94" t="str">
        <x:f>IF(A26="","",IF(K26&lt;&gt;"Attended","N/A",IF(COUNTIFS('13 Effectiveness Review'!$B$6:$B$155,B26,'13 Effectiveness Review'!$C$6:$C$155,E26)&gt;0,"Reviewed",IF(V26&lt;TODAY(),"Overdue","Due"))))</x:f>
      </x:c>
      <x:c r="X26" s="92"/>
      <x:c r="Y26" s="92"/>
      <x:c r="Z26" s="92"/>
      <x:c r="AA26" s="85" t="str">
        <x:f>IF(E26="","",E26&amp;"|"&amp;COUNTIF($E$6:E26,E26))</x:f>
      </x:c>
      <x:c r="AB26" s="85" t="str">
        <x:f>IF(A26="","",A26)</x:f>
      </x:c>
      <x:c r="AC26" s="85" t="str">
        <x:f>IF(A26="","",B26)</x:f>
      </x:c>
      <x:c r="AD26" s="85" t="str">
        <x:f>IF(A26="","",C26)</x:f>
      </x:c>
      <x:c r="AE26" s="85" t="str">
        <x:f>IF(A26="","",D26)</x:f>
      </x:c>
      <x:c r="AF26" s="85" t="str">
        <x:f>IF(A26="","",L26)</x:f>
      </x:c>
      <x:c r="AG26" s="85" t="str">
        <x:f>IF(A26="","",K26)</x:f>
      </x:c>
      <x:c r="AH26" s="85" t="str">
        <x:f>IF(A26="","",Q26)</x:f>
      </x:c>
      <x:c r="AI26" s="85" t="str">
        <x:f>IF(A26="","",R26)</x:f>
      </x:c>
      <x:c r="AJ26" s="85" t="str">
        <x:f>IF(A26="","",U26)</x:f>
      </x:c>
      <x:c r="AK26" s="85" t="str">
        <x:f>IF(A26="","",W26)</x:f>
      </x:c>
      <x:c r="AL26" s="85" t="str">
        <x:f>IFERROR(IF(A26="","",Y26),"")</x:f>
      </x:c>
      <x:c r="AM26" s="85" t="str">
        <x:f>IFERROR(IF(A26="","",Z26),"")</x:f>
      </x:c>
    </x:row>
    <x:row r="27">
      <x:c r="A27" s="92"/>
      <x:c r="B27" s="92"/>
      <x:c r="C27" s="94" t="str">
        <x:f>IFERROR(VLOOKUP(B27,'06 Training Register'!$A$6:$Y$55,3,FALSE),"")</x:f>
      </x:c>
      <x:c r="D27" s="102" t="str">
        <x:f>IF(B27="","",IFERROR(IF(VLOOKUP(B27,'06 Training Register'!$A$6:$Y$55,15,FALSE)&gt;0,VLOOKUP(B27,'06 Training Register'!$A$6:$Y$55,15,FALSE),VLOOKUP(B27,'06 Training Register'!$A$6:$Y$55,12,FALSE)),""))</x:f>
      </x:c>
      <x:c r="E27" s="92"/>
      <x:c r="F27" s="94" t="str">
        <x:f>IFERROR(VLOOKUP(E27,'01 Staff Master'!$A$6:$M$105,2,FALSE),"")</x:f>
      </x:c>
      <x:c r="G27" s="94" t="str">
        <x:f>IFERROR(VLOOKUP(E27,'01 Staff Master'!$A$6:$M$105,3,FALSE),"")</x:f>
      </x:c>
      <x:c r="H27" s="94" t="str">
        <x:f>IFERROR(VLOOKUP(E27,'01 Staff Master'!$A$6:$M$105,5,FALSE),"")</x:f>
      </x:c>
      <x:c r="I27" s="94" t="str">
        <x:f>IFERROR(VLOOKUP(B27,'06 Training Register'!$A$6:$Y$55,4,FALSE),"")</x:f>
      </x:c>
      <x:c r="J27" s="92"/>
      <x:c r="K27" s="92"/>
      <x:c r="L27" s="92"/>
      <x:c r="M27" s="103"/>
      <x:c r="N27" s="103"/>
      <x:c r="O27" s="104" t="str">
        <x:f>IF(OR(M27="",N27=""),"",N27-M27)</x:f>
      </x:c>
      <x:c r="P27" s="103"/>
      <x:c r="Q27" s="94" t="str">
        <x:f>IF(OR(N27="",P27=""),"",IF(N27&gt;=P27,"Pass","Not Yet"))</x:f>
      </x:c>
      <x:c r="R27" s="92"/>
      <x:c r="S27" s="93"/>
      <x:c r="T27" s="102" t="str">
        <x:f>IF(OR(D27="",K27&lt;&gt;"Attended"),"",D27+3)</x:f>
      </x:c>
      <x:c r="U27" s="94" t="str">
        <x:f>IF(A27="","",IF(K27&lt;&gt;"Attended","N/A",IF(COUNTIFS('12 Training Evaluation'!$B$6:$B$155,B27,'12 Training Evaluation'!$C$6:$C$155,E27,'12 Training Evaluation'!$W$6:$W$155,"Complete")&gt;0,"Complete","Pending")))</x:f>
      </x:c>
      <x:c r="V27" s="102" t="str">
        <x:f>IF(OR(D27="",K27&lt;&gt;"Attended"),"",D27+30)</x:f>
      </x:c>
      <x:c r="W27" s="94" t="str">
        <x:f>IF(A27="","",IF(K27&lt;&gt;"Attended","N/A",IF(COUNTIFS('13 Effectiveness Review'!$B$6:$B$155,B27,'13 Effectiveness Review'!$C$6:$C$155,E27)&gt;0,"Reviewed",IF(V27&lt;TODAY(),"Overdue","Due"))))</x:f>
      </x:c>
      <x:c r="X27" s="92"/>
      <x:c r="Y27" s="92"/>
      <x:c r="Z27" s="92"/>
      <x:c r="AA27" s="85" t="str">
        <x:f>IF(E27="","",E27&amp;"|"&amp;COUNTIF($E$6:E27,E27))</x:f>
      </x:c>
      <x:c r="AB27" s="85" t="str">
        <x:f>IF(A27="","",A27)</x:f>
      </x:c>
      <x:c r="AC27" s="85" t="str">
        <x:f>IF(A27="","",B27)</x:f>
      </x:c>
      <x:c r="AD27" s="85" t="str">
        <x:f>IF(A27="","",C27)</x:f>
      </x:c>
      <x:c r="AE27" s="85" t="str">
        <x:f>IF(A27="","",D27)</x:f>
      </x:c>
      <x:c r="AF27" s="85" t="str">
        <x:f>IF(A27="","",L27)</x:f>
      </x:c>
      <x:c r="AG27" s="85" t="str">
        <x:f>IF(A27="","",K27)</x:f>
      </x:c>
      <x:c r="AH27" s="85" t="str">
        <x:f>IF(A27="","",Q27)</x:f>
      </x:c>
      <x:c r="AI27" s="85" t="str">
        <x:f>IF(A27="","",R27)</x:f>
      </x:c>
      <x:c r="AJ27" s="85" t="str">
        <x:f>IF(A27="","",U27)</x:f>
      </x:c>
      <x:c r="AK27" s="85" t="str">
        <x:f>IF(A27="","",W27)</x:f>
      </x:c>
      <x:c r="AL27" s="85" t="str">
        <x:f>IFERROR(IF(A27="","",Y27),"")</x:f>
      </x:c>
      <x:c r="AM27" s="85" t="str">
        <x:f>IFERROR(IF(A27="","",Z27),"")</x:f>
      </x:c>
    </x:row>
    <x:row r="28">
      <x:c r="A28" s="92"/>
      <x:c r="B28" s="92"/>
      <x:c r="C28" s="94" t="str">
        <x:f>IFERROR(VLOOKUP(B28,'06 Training Register'!$A$6:$Y$55,3,FALSE),"")</x:f>
      </x:c>
      <x:c r="D28" s="102" t="str">
        <x:f>IF(B28="","",IFERROR(IF(VLOOKUP(B28,'06 Training Register'!$A$6:$Y$55,15,FALSE)&gt;0,VLOOKUP(B28,'06 Training Register'!$A$6:$Y$55,15,FALSE),VLOOKUP(B28,'06 Training Register'!$A$6:$Y$55,12,FALSE)),""))</x:f>
      </x:c>
      <x:c r="E28" s="92"/>
      <x:c r="F28" s="94" t="str">
        <x:f>IFERROR(VLOOKUP(E28,'01 Staff Master'!$A$6:$M$105,2,FALSE),"")</x:f>
      </x:c>
      <x:c r="G28" s="94" t="str">
        <x:f>IFERROR(VLOOKUP(E28,'01 Staff Master'!$A$6:$M$105,3,FALSE),"")</x:f>
      </x:c>
      <x:c r="H28" s="94" t="str">
        <x:f>IFERROR(VLOOKUP(E28,'01 Staff Master'!$A$6:$M$105,5,FALSE),"")</x:f>
      </x:c>
      <x:c r="I28" s="94" t="str">
        <x:f>IFERROR(VLOOKUP(B28,'06 Training Register'!$A$6:$Y$55,4,FALSE),"")</x:f>
      </x:c>
      <x:c r="J28" s="92"/>
      <x:c r="K28" s="92"/>
      <x:c r="L28" s="92"/>
      <x:c r="M28" s="103"/>
      <x:c r="N28" s="103"/>
      <x:c r="O28" s="104" t="str">
        <x:f>IF(OR(M28="",N28=""),"",N28-M28)</x:f>
      </x:c>
      <x:c r="P28" s="103"/>
      <x:c r="Q28" s="94" t="str">
        <x:f>IF(OR(N28="",P28=""),"",IF(N28&gt;=P28,"Pass","Not Yet"))</x:f>
      </x:c>
      <x:c r="R28" s="92"/>
      <x:c r="S28" s="93"/>
      <x:c r="T28" s="102" t="str">
        <x:f>IF(OR(D28="",K28&lt;&gt;"Attended"),"",D28+3)</x:f>
      </x:c>
      <x:c r="U28" s="94" t="str">
        <x:f>IF(A28="","",IF(K28&lt;&gt;"Attended","N/A",IF(COUNTIFS('12 Training Evaluation'!$B$6:$B$155,B28,'12 Training Evaluation'!$C$6:$C$155,E28,'12 Training Evaluation'!$W$6:$W$155,"Complete")&gt;0,"Complete","Pending")))</x:f>
      </x:c>
      <x:c r="V28" s="102" t="str">
        <x:f>IF(OR(D28="",K28&lt;&gt;"Attended"),"",D28+30)</x:f>
      </x:c>
      <x:c r="W28" s="94" t="str">
        <x:f>IF(A28="","",IF(K28&lt;&gt;"Attended","N/A",IF(COUNTIFS('13 Effectiveness Review'!$B$6:$B$155,B28,'13 Effectiveness Review'!$C$6:$C$155,E28)&gt;0,"Reviewed",IF(V28&lt;TODAY(),"Overdue","Due"))))</x:f>
      </x:c>
      <x:c r="X28" s="92"/>
      <x:c r="Y28" s="92"/>
      <x:c r="Z28" s="92"/>
      <x:c r="AA28" s="85" t="str">
        <x:f>IF(E28="","",E28&amp;"|"&amp;COUNTIF($E$6:E28,E28))</x:f>
      </x:c>
      <x:c r="AB28" s="85" t="str">
        <x:f>IF(A28="","",A28)</x:f>
      </x:c>
      <x:c r="AC28" s="85" t="str">
        <x:f>IF(A28="","",B28)</x:f>
      </x:c>
      <x:c r="AD28" s="85" t="str">
        <x:f>IF(A28="","",C28)</x:f>
      </x:c>
      <x:c r="AE28" s="85" t="str">
        <x:f>IF(A28="","",D28)</x:f>
      </x:c>
      <x:c r="AF28" s="85" t="str">
        <x:f>IF(A28="","",L28)</x:f>
      </x:c>
      <x:c r="AG28" s="85" t="str">
        <x:f>IF(A28="","",K28)</x:f>
      </x:c>
      <x:c r="AH28" s="85" t="str">
        <x:f>IF(A28="","",Q28)</x:f>
      </x:c>
      <x:c r="AI28" s="85" t="str">
        <x:f>IF(A28="","",R28)</x:f>
      </x:c>
      <x:c r="AJ28" s="85" t="str">
        <x:f>IF(A28="","",U28)</x:f>
      </x:c>
      <x:c r="AK28" s="85" t="str">
        <x:f>IF(A28="","",W28)</x:f>
      </x:c>
      <x:c r="AL28" s="85" t="str">
        <x:f>IFERROR(IF(A28="","",Y28),"")</x:f>
      </x:c>
      <x:c r="AM28" s="85" t="str">
        <x:f>IFERROR(IF(A28="","",Z28),"")</x:f>
      </x:c>
    </x:row>
    <x:row r="29">
      <x:c r="A29" s="92"/>
      <x:c r="B29" s="92"/>
      <x:c r="C29" s="94" t="str">
        <x:f>IFERROR(VLOOKUP(B29,'06 Training Register'!$A$6:$Y$55,3,FALSE),"")</x:f>
      </x:c>
      <x:c r="D29" s="102" t="str">
        <x:f>IF(B29="","",IFERROR(IF(VLOOKUP(B29,'06 Training Register'!$A$6:$Y$55,15,FALSE)&gt;0,VLOOKUP(B29,'06 Training Register'!$A$6:$Y$55,15,FALSE),VLOOKUP(B29,'06 Training Register'!$A$6:$Y$55,12,FALSE)),""))</x:f>
      </x:c>
      <x:c r="E29" s="92"/>
      <x:c r="F29" s="94" t="str">
        <x:f>IFERROR(VLOOKUP(E29,'01 Staff Master'!$A$6:$M$105,2,FALSE),"")</x:f>
      </x:c>
      <x:c r="G29" s="94" t="str">
        <x:f>IFERROR(VLOOKUP(E29,'01 Staff Master'!$A$6:$M$105,3,FALSE),"")</x:f>
      </x:c>
      <x:c r="H29" s="94" t="str">
        <x:f>IFERROR(VLOOKUP(E29,'01 Staff Master'!$A$6:$M$105,5,FALSE),"")</x:f>
      </x:c>
      <x:c r="I29" s="94" t="str">
        <x:f>IFERROR(VLOOKUP(B29,'06 Training Register'!$A$6:$Y$55,4,FALSE),"")</x:f>
      </x:c>
      <x:c r="J29" s="92"/>
      <x:c r="K29" s="92"/>
      <x:c r="L29" s="92"/>
      <x:c r="M29" s="103"/>
      <x:c r="N29" s="103"/>
      <x:c r="O29" s="104" t="str">
        <x:f>IF(OR(M29="",N29=""),"",N29-M29)</x:f>
      </x:c>
      <x:c r="P29" s="103"/>
      <x:c r="Q29" s="94" t="str">
        <x:f>IF(OR(N29="",P29=""),"",IF(N29&gt;=P29,"Pass","Not Yet"))</x:f>
      </x:c>
      <x:c r="R29" s="92"/>
      <x:c r="S29" s="93"/>
      <x:c r="T29" s="102" t="str">
        <x:f>IF(OR(D29="",K29&lt;&gt;"Attended"),"",D29+3)</x:f>
      </x:c>
      <x:c r="U29" s="94" t="str">
        <x:f>IF(A29="","",IF(K29&lt;&gt;"Attended","N/A",IF(COUNTIFS('12 Training Evaluation'!$B$6:$B$155,B29,'12 Training Evaluation'!$C$6:$C$155,E29,'12 Training Evaluation'!$W$6:$W$155,"Complete")&gt;0,"Complete","Pending")))</x:f>
      </x:c>
      <x:c r="V29" s="102" t="str">
        <x:f>IF(OR(D29="",K29&lt;&gt;"Attended"),"",D29+30)</x:f>
      </x:c>
      <x:c r="W29" s="94" t="str">
        <x:f>IF(A29="","",IF(K29&lt;&gt;"Attended","N/A",IF(COUNTIFS('13 Effectiveness Review'!$B$6:$B$155,B29,'13 Effectiveness Review'!$C$6:$C$155,E29)&gt;0,"Reviewed",IF(V29&lt;TODAY(),"Overdue","Due"))))</x:f>
      </x:c>
      <x:c r="X29" s="92"/>
      <x:c r="Y29" s="92"/>
      <x:c r="Z29" s="92"/>
      <x:c r="AA29" s="85" t="str">
        <x:f>IF(E29="","",E29&amp;"|"&amp;COUNTIF($E$6:E29,E29))</x:f>
      </x:c>
      <x:c r="AB29" s="85" t="str">
        <x:f>IF(A29="","",A29)</x:f>
      </x:c>
      <x:c r="AC29" s="85" t="str">
        <x:f>IF(A29="","",B29)</x:f>
      </x:c>
      <x:c r="AD29" s="85" t="str">
        <x:f>IF(A29="","",C29)</x:f>
      </x:c>
      <x:c r="AE29" s="85" t="str">
        <x:f>IF(A29="","",D29)</x:f>
      </x:c>
      <x:c r="AF29" s="85" t="str">
        <x:f>IF(A29="","",L29)</x:f>
      </x:c>
      <x:c r="AG29" s="85" t="str">
        <x:f>IF(A29="","",K29)</x:f>
      </x:c>
      <x:c r="AH29" s="85" t="str">
        <x:f>IF(A29="","",Q29)</x:f>
      </x:c>
      <x:c r="AI29" s="85" t="str">
        <x:f>IF(A29="","",R29)</x:f>
      </x:c>
      <x:c r="AJ29" s="85" t="str">
        <x:f>IF(A29="","",U29)</x:f>
      </x:c>
      <x:c r="AK29" s="85" t="str">
        <x:f>IF(A29="","",W29)</x:f>
      </x:c>
      <x:c r="AL29" s="85" t="str">
        <x:f>IFERROR(IF(A29="","",Y29),"")</x:f>
      </x:c>
      <x:c r="AM29" s="85" t="str">
        <x:f>IFERROR(IF(A29="","",Z29),"")</x:f>
      </x:c>
    </x:row>
    <x:row r="30">
      <x:c r="A30" s="92"/>
      <x:c r="B30" s="92"/>
      <x:c r="C30" s="94" t="str">
        <x:f>IFERROR(VLOOKUP(B30,'06 Training Register'!$A$6:$Y$55,3,FALSE),"")</x:f>
      </x:c>
      <x:c r="D30" s="102" t="str">
        <x:f>IF(B30="","",IFERROR(IF(VLOOKUP(B30,'06 Training Register'!$A$6:$Y$55,15,FALSE)&gt;0,VLOOKUP(B30,'06 Training Register'!$A$6:$Y$55,15,FALSE),VLOOKUP(B30,'06 Training Register'!$A$6:$Y$55,12,FALSE)),""))</x:f>
      </x:c>
      <x:c r="E30" s="92"/>
      <x:c r="F30" s="94" t="str">
        <x:f>IFERROR(VLOOKUP(E30,'01 Staff Master'!$A$6:$M$105,2,FALSE),"")</x:f>
      </x:c>
      <x:c r="G30" s="94" t="str">
        <x:f>IFERROR(VLOOKUP(E30,'01 Staff Master'!$A$6:$M$105,3,FALSE),"")</x:f>
      </x:c>
      <x:c r="H30" s="94" t="str">
        <x:f>IFERROR(VLOOKUP(E30,'01 Staff Master'!$A$6:$M$105,5,FALSE),"")</x:f>
      </x:c>
      <x:c r="I30" s="94" t="str">
        <x:f>IFERROR(VLOOKUP(B30,'06 Training Register'!$A$6:$Y$55,4,FALSE),"")</x:f>
      </x:c>
      <x:c r="J30" s="92"/>
      <x:c r="K30" s="92"/>
      <x:c r="L30" s="92"/>
      <x:c r="M30" s="103"/>
      <x:c r="N30" s="103"/>
      <x:c r="O30" s="104" t="str">
        <x:f>IF(OR(M30="",N30=""),"",N30-M30)</x:f>
      </x:c>
      <x:c r="P30" s="103"/>
      <x:c r="Q30" s="94" t="str">
        <x:f>IF(OR(N30="",P30=""),"",IF(N30&gt;=P30,"Pass","Not Yet"))</x:f>
      </x:c>
      <x:c r="R30" s="92"/>
      <x:c r="S30" s="93"/>
      <x:c r="T30" s="102" t="str">
        <x:f>IF(OR(D30="",K30&lt;&gt;"Attended"),"",D30+3)</x:f>
      </x:c>
      <x:c r="U30" s="94" t="str">
        <x:f>IF(A30="","",IF(K30&lt;&gt;"Attended","N/A",IF(COUNTIFS('12 Training Evaluation'!$B$6:$B$155,B30,'12 Training Evaluation'!$C$6:$C$155,E30,'12 Training Evaluation'!$W$6:$W$155,"Complete")&gt;0,"Complete","Pending")))</x:f>
      </x:c>
      <x:c r="V30" s="102" t="str">
        <x:f>IF(OR(D30="",K30&lt;&gt;"Attended"),"",D30+30)</x:f>
      </x:c>
      <x:c r="W30" s="94" t="str">
        <x:f>IF(A30="","",IF(K30&lt;&gt;"Attended","N/A",IF(COUNTIFS('13 Effectiveness Review'!$B$6:$B$155,B30,'13 Effectiveness Review'!$C$6:$C$155,E30)&gt;0,"Reviewed",IF(V30&lt;TODAY(),"Overdue","Due"))))</x:f>
      </x:c>
      <x:c r="X30" s="92"/>
      <x:c r="Y30" s="92"/>
      <x:c r="Z30" s="92"/>
      <x:c r="AA30" s="85" t="str">
        <x:f>IF(E30="","",E30&amp;"|"&amp;COUNTIF($E$6:E30,E30))</x:f>
      </x:c>
      <x:c r="AB30" s="85" t="str">
        <x:f>IF(A30="","",A30)</x:f>
      </x:c>
      <x:c r="AC30" s="85" t="str">
        <x:f>IF(A30="","",B30)</x:f>
      </x:c>
      <x:c r="AD30" s="85" t="str">
        <x:f>IF(A30="","",C30)</x:f>
      </x:c>
      <x:c r="AE30" s="85" t="str">
        <x:f>IF(A30="","",D30)</x:f>
      </x:c>
      <x:c r="AF30" s="85" t="str">
        <x:f>IF(A30="","",L30)</x:f>
      </x:c>
      <x:c r="AG30" s="85" t="str">
        <x:f>IF(A30="","",K30)</x:f>
      </x:c>
      <x:c r="AH30" s="85" t="str">
        <x:f>IF(A30="","",Q30)</x:f>
      </x:c>
      <x:c r="AI30" s="85" t="str">
        <x:f>IF(A30="","",R30)</x:f>
      </x:c>
      <x:c r="AJ30" s="85" t="str">
        <x:f>IF(A30="","",U30)</x:f>
      </x:c>
      <x:c r="AK30" s="85" t="str">
        <x:f>IF(A30="","",W30)</x:f>
      </x:c>
      <x:c r="AL30" s="85" t="str">
        <x:f>IFERROR(IF(A30="","",Y30),"")</x:f>
      </x:c>
      <x:c r="AM30" s="85" t="str">
        <x:f>IFERROR(IF(A30="","",Z30),"")</x:f>
      </x:c>
    </x:row>
    <x:row r="31">
      <x:c r="A31" s="92"/>
      <x:c r="B31" s="92"/>
      <x:c r="C31" s="94" t="str">
        <x:f>IFERROR(VLOOKUP(B31,'06 Training Register'!$A$6:$Y$55,3,FALSE),"")</x:f>
      </x:c>
      <x:c r="D31" s="102" t="str">
        <x:f>IF(B31="","",IFERROR(IF(VLOOKUP(B31,'06 Training Register'!$A$6:$Y$55,15,FALSE)&gt;0,VLOOKUP(B31,'06 Training Register'!$A$6:$Y$55,15,FALSE),VLOOKUP(B31,'06 Training Register'!$A$6:$Y$55,12,FALSE)),""))</x:f>
      </x:c>
      <x:c r="E31" s="92"/>
      <x:c r="F31" s="94" t="str">
        <x:f>IFERROR(VLOOKUP(E31,'01 Staff Master'!$A$6:$M$105,2,FALSE),"")</x:f>
      </x:c>
      <x:c r="G31" s="94" t="str">
        <x:f>IFERROR(VLOOKUP(E31,'01 Staff Master'!$A$6:$M$105,3,FALSE),"")</x:f>
      </x:c>
      <x:c r="H31" s="94" t="str">
        <x:f>IFERROR(VLOOKUP(E31,'01 Staff Master'!$A$6:$M$105,5,FALSE),"")</x:f>
      </x:c>
      <x:c r="I31" s="94" t="str">
        <x:f>IFERROR(VLOOKUP(B31,'06 Training Register'!$A$6:$Y$55,4,FALSE),"")</x:f>
      </x:c>
      <x:c r="J31" s="92"/>
      <x:c r="K31" s="92"/>
      <x:c r="L31" s="92"/>
      <x:c r="M31" s="103"/>
      <x:c r="N31" s="103"/>
      <x:c r="O31" s="104" t="str">
        <x:f>IF(OR(M31="",N31=""),"",N31-M31)</x:f>
      </x:c>
      <x:c r="P31" s="103"/>
      <x:c r="Q31" s="94" t="str">
        <x:f>IF(OR(N31="",P31=""),"",IF(N31&gt;=P31,"Pass","Not Yet"))</x:f>
      </x:c>
      <x:c r="R31" s="92"/>
      <x:c r="S31" s="93"/>
      <x:c r="T31" s="102" t="str">
        <x:f>IF(OR(D31="",K31&lt;&gt;"Attended"),"",D31+3)</x:f>
      </x:c>
      <x:c r="U31" s="94" t="str">
        <x:f>IF(A31="","",IF(K31&lt;&gt;"Attended","N/A",IF(COUNTIFS('12 Training Evaluation'!$B$6:$B$155,B31,'12 Training Evaluation'!$C$6:$C$155,E31,'12 Training Evaluation'!$W$6:$W$155,"Complete")&gt;0,"Complete","Pending")))</x:f>
      </x:c>
      <x:c r="V31" s="102" t="str">
        <x:f>IF(OR(D31="",K31&lt;&gt;"Attended"),"",D31+30)</x:f>
      </x:c>
      <x:c r="W31" s="94" t="str">
        <x:f>IF(A31="","",IF(K31&lt;&gt;"Attended","N/A",IF(COUNTIFS('13 Effectiveness Review'!$B$6:$B$155,B31,'13 Effectiveness Review'!$C$6:$C$155,E31)&gt;0,"Reviewed",IF(V31&lt;TODAY(),"Overdue","Due"))))</x:f>
      </x:c>
      <x:c r="X31" s="92"/>
      <x:c r="Y31" s="92"/>
      <x:c r="Z31" s="92"/>
      <x:c r="AA31" s="85" t="str">
        <x:f>IF(E31="","",E31&amp;"|"&amp;COUNTIF($E$6:E31,E31))</x:f>
      </x:c>
      <x:c r="AB31" s="85" t="str">
        <x:f>IF(A31="","",A31)</x:f>
      </x:c>
      <x:c r="AC31" s="85" t="str">
        <x:f>IF(A31="","",B31)</x:f>
      </x:c>
      <x:c r="AD31" s="85" t="str">
        <x:f>IF(A31="","",C31)</x:f>
      </x:c>
      <x:c r="AE31" s="85" t="str">
        <x:f>IF(A31="","",D31)</x:f>
      </x:c>
      <x:c r="AF31" s="85" t="str">
        <x:f>IF(A31="","",L31)</x:f>
      </x:c>
      <x:c r="AG31" s="85" t="str">
        <x:f>IF(A31="","",K31)</x:f>
      </x:c>
      <x:c r="AH31" s="85" t="str">
        <x:f>IF(A31="","",Q31)</x:f>
      </x:c>
      <x:c r="AI31" s="85" t="str">
        <x:f>IF(A31="","",R31)</x:f>
      </x:c>
      <x:c r="AJ31" s="85" t="str">
        <x:f>IF(A31="","",U31)</x:f>
      </x:c>
      <x:c r="AK31" s="85" t="str">
        <x:f>IF(A31="","",W31)</x:f>
      </x:c>
      <x:c r="AL31" s="85" t="str">
        <x:f>IFERROR(IF(A31="","",Y31),"")</x:f>
      </x:c>
      <x:c r="AM31" s="85" t="str">
        <x:f>IFERROR(IF(A31="","",Z31),"")</x:f>
      </x:c>
    </x:row>
    <x:row r="32">
      <x:c r="A32" s="92"/>
      <x:c r="B32" s="92"/>
      <x:c r="C32" s="94" t="str">
        <x:f>IFERROR(VLOOKUP(B32,'06 Training Register'!$A$6:$Y$55,3,FALSE),"")</x:f>
      </x:c>
      <x:c r="D32" s="102" t="str">
        <x:f>IF(B32="","",IFERROR(IF(VLOOKUP(B32,'06 Training Register'!$A$6:$Y$55,15,FALSE)&gt;0,VLOOKUP(B32,'06 Training Register'!$A$6:$Y$55,15,FALSE),VLOOKUP(B32,'06 Training Register'!$A$6:$Y$55,12,FALSE)),""))</x:f>
      </x:c>
      <x:c r="E32" s="92"/>
      <x:c r="F32" s="94" t="str">
        <x:f>IFERROR(VLOOKUP(E32,'01 Staff Master'!$A$6:$M$105,2,FALSE),"")</x:f>
      </x:c>
      <x:c r="G32" s="94" t="str">
        <x:f>IFERROR(VLOOKUP(E32,'01 Staff Master'!$A$6:$M$105,3,FALSE),"")</x:f>
      </x:c>
      <x:c r="H32" s="94" t="str">
        <x:f>IFERROR(VLOOKUP(E32,'01 Staff Master'!$A$6:$M$105,5,FALSE),"")</x:f>
      </x:c>
      <x:c r="I32" s="94" t="str">
        <x:f>IFERROR(VLOOKUP(B32,'06 Training Register'!$A$6:$Y$55,4,FALSE),"")</x:f>
      </x:c>
      <x:c r="J32" s="92"/>
      <x:c r="K32" s="92"/>
      <x:c r="L32" s="92"/>
      <x:c r="M32" s="103"/>
      <x:c r="N32" s="103"/>
      <x:c r="O32" s="104" t="str">
        <x:f>IF(OR(M32="",N32=""),"",N32-M32)</x:f>
      </x:c>
      <x:c r="P32" s="103"/>
      <x:c r="Q32" s="94" t="str">
        <x:f>IF(OR(N32="",P32=""),"",IF(N32&gt;=P32,"Pass","Not Yet"))</x:f>
      </x:c>
      <x:c r="R32" s="92"/>
      <x:c r="S32" s="93"/>
      <x:c r="T32" s="102" t="str">
        <x:f>IF(OR(D32="",K32&lt;&gt;"Attended"),"",D32+3)</x:f>
      </x:c>
      <x:c r="U32" s="94" t="str">
        <x:f>IF(A32="","",IF(K32&lt;&gt;"Attended","N/A",IF(COUNTIFS('12 Training Evaluation'!$B$6:$B$155,B32,'12 Training Evaluation'!$C$6:$C$155,E32,'12 Training Evaluation'!$W$6:$W$155,"Complete")&gt;0,"Complete","Pending")))</x:f>
      </x:c>
      <x:c r="V32" s="102" t="str">
        <x:f>IF(OR(D32="",K32&lt;&gt;"Attended"),"",D32+30)</x:f>
      </x:c>
      <x:c r="W32" s="94" t="str">
        <x:f>IF(A32="","",IF(K32&lt;&gt;"Attended","N/A",IF(COUNTIFS('13 Effectiveness Review'!$B$6:$B$155,B32,'13 Effectiveness Review'!$C$6:$C$155,E32)&gt;0,"Reviewed",IF(V32&lt;TODAY(),"Overdue","Due"))))</x:f>
      </x:c>
      <x:c r="X32" s="92"/>
      <x:c r="Y32" s="92"/>
      <x:c r="Z32" s="92"/>
      <x:c r="AA32" s="85" t="str">
        <x:f>IF(E32="","",E32&amp;"|"&amp;COUNTIF($E$6:E32,E32))</x:f>
      </x:c>
      <x:c r="AB32" s="85" t="str">
        <x:f>IF(A32="","",A32)</x:f>
      </x:c>
      <x:c r="AC32" s="85" t="str">
        <x:f>IF(A32="","",B32)</x:f>
      </x:c>
      <x:c r="AD32" s="85" t="str">
        <x:f>IF(A32="","",C32)</x:f>
      </x:c>
      <x:c r="AE32" s="85" t="str">
        <x:f>IF(A32="","",D32)</x:f>
      </x:c>
      <x:c r="AF32" s="85" t="str">
        <x:f>IF(A32="","",L32)</x:f>
      </x:c>
      <x:c r="AG32" s="85" t="str">
        <x:f>IF(A32="","",K32)</x:f>
      </x:c>
      <x:c r="AH32" s="85" t="str">
        <x:f>IF(A32="","",Q32)</x:f>
      </x:c>
      <x:c r="AI32" s="85" t="str">
        <x:f>IF(A32="","",R32)</x:f>
      </x:c>
      <x:c r="AJ32" s="85" t="str">
        <x:f>IF(A32="","",U32)</x:f>
      </x:c>
      <x:c r="AK32" s="85" t="str">
        <x:f>IF(A32="","",W32)</x:f>
      </x:c>
      <x:c r="AL32" s="85" t="str">
        <x:f>IFERROR(IF(A32="","",Y32),"")</x:f>
      </x:c>
      <x:c r="AM32" s="85" t="str">
        <x:f>IFERROR(IF(A32="","",Z32),"")</x:f>
      </x:c>
    </x:row>
    <x:row r="33">
      <x:c r="A33" s="92"/>
      <x:c r="B33" s="92"/>
      <x:c r="C33" s="94" t="str">
        <x:f>IFERROR(VLOOKUP(B33,'06 Training Register'!$A$6:$Y$55,3,FALSE),"")</x:f>
      </x:c>
      <x:c r="D33" s="102" t="str">
        <x:f>IF(B33="","",IFERROR(IF(VLOOKUP(B33,'06 Training Register'!$A$6:$Y$55,15,FALSE)&gt;0,VLOOKUP(B33,'06 Training Register'!$A$6:$Y$55,15,FALSE),VLOOKUP(B33,'06 Training Register'!$A$6:$Y$55,12,FALSE)),""))</x:f>
      </x:c>
      <x:c r="E33" s="92"/>
      <x:c r="F33" s="94" t="str">
        <x:f>IFERROR(VLOOKUP(E33,'01 Staff Master'!$A$6:$M$105,2,FALSE),"")</x:f>
      </x:c>
      <x:c r="G33" s="94" t="str">
        <x:f>IFERROR(VLOOKUP(E33,'01 Staff Master'!$A$6:$M$105,3,FALSE),"")</x:f>
      </x:c>
      <x:c r="H33" s="94" t="str">
        <x:f>IFERROR(VLOOKUP(E33,'01 Staff Master'!$A$6:$M$105,5,FALSE),"")</x:f>
      </x:c>
      <x:c r="I33" s="94" t="str">
        <x:f>IFERROR(VLOOKUP(B33,'06 Training Register'!$A$6:$Y$55,4,FALSE),"")</x:f>
      </x:c>
      <x:c r="J33" s="92"/>
      <x:c r="K33" s="92"/>
      <x:c r="L33" s="92"/>
      <x:c r="M33" s="103"/>
      <x:c r="N33" s="103"/>
      <x:c r="O33" s="104" t="str">
        <x:f>IF(OR(M33="",N33=""),"",N33-M33)</x:f>
      </x:c>
      <x:c r="P33" s="103"/>
      <x:c r="Q33" s="94" t="str">
        <x:f>IF(OR(N33="",P33=""),"",IF(N33&gt;=P33,"Pass","Not Yet"))</x:f>
      </x:c>
      <x:c r="R33" s="92"/>
      <x:c r="S33" s="93"/>
      <x:c r="T33" s="102" t="str">
        <x:f>IF(OR(D33="",K33&lt;&gt;"Attended"),"",D33+3)</x:f>
      </x:c>
      <x:c r="U33" s="94" t="str">
        <x:f>IF(A33="","",IF(K33&lt;&gt;"Attended","N/A",IF(COUNTIFS('12 Training Evaluation'!$B$6:$B$155,B33,'12 Training Evaluation'!$C$6:$C$155,E33,'12 Training Evaluation'!$W$6:$W$155,"Complete")&gt;0,"Complete","Pending")))</x:f>
      </x:c>
      <x:c r="V33" s="102" t="str">
        <x:f>IF(OR(D33="",K33&lt;&gt;"Attended"),"",D33+30)</x:f>
      </x:c>
      <x:c r="W33" s="94" t="str">
        <x:f>IF(A33="","",IF(K33&lt;&gt;"Attended","N/A",IF(COUNTIFS('13 Effectiveness Review'!$B$6:$B$155,B33,'13 Effectiveness Review'!$C$6:$C$155,E33)&gt;0,"Reviewed",IF(V33&lt;TODAY(),"Overdue","Due"))))</x:f>
      </x:c>
      <x:c r="X33" s="92"/>
      <x:c r="Y33" s="92"/>
      <x:c r="Z33" s="92"/>
      <x:c r="AA33" s="85" t="str">
        <x:f>IF(E33="","",E33&amp;"|"&amp;COUNTIF($E$6:E33,E33))</x:f>
      </x:c>
      <x:c r="AB33" s="85" t="str">
        <x:f>IF(A33="","",A33)</x:f>
      </x:c>
      <x:c r="AC33" s="85" t="str">
        <x:f>IF(A33="","",B33)</x:f>
      </x:c>
      <x:c r="AD33" s="85" t="str">
        <x:f>IF(A33="","",C33)</x:f>
      </x:c>
      <x:c r="AE33" s="85" t="str">
        <x:f>IF(A33="","",D33)</x:f>
      </x:c>
      <x:c r="AF33" s="85" t="str">
        <x:f>IF(A33="","",L33)</x:f>
      </x:c>
      <x:c r="AG33" s="85" t="str">
        <x:f>IF(A33="","",K33)</x:f>
      </x:c>
      <x:c r="AH33" s="85" t="str">
        <x:f>IF(A33="","",Q33)</x:f>
      </x:c>
      <x:c r="AI33" s="85" t="str">
        <x:f>IF(A33="","",R33)</x:f>
      </x:c>
      <x:c r="AJ33" s="85" t="str">
        <x:f>IF(A33="","",U33)</x:f>
      </x:c>
      <x:c r="AK33" s="85" t="str">
        <x:f>IF(A33="","",W33)</x:f>
      </x:c>
      <x:c r="AL33" s="85" t="str">
        <x:f>IFERROR(IF(A33="","",Y33),"")</x:f>
      </x:c>
      <x:c r="AM33" s="85" t="str">
        <x:f>IFERROR(IF(A33="","",Z33),"")</x:f>
      </x:c>
    </x:row>
    <x:row r="34">
      <x:c r="A34" s="92"/>
      <x:c r="B34" s="92"/>
      <x:c r="C34" s="94" t="str">
        <x:f>IFERROR(VLOOKUP(B34,'06 Training Register'!$A$6:$Y$55,3,FALSE),"")</x:f>
      </x:c>
      <x:c r="D34" s="102" t="str">
        <x:f>IF(B34="","",IFERROR(IF(VLOOKUP(B34,'06 Training Register'!$A$6:$Y$55,15,FALSE)&gt;0,VLOOKUP(B34,'06 Training Register'!$A$6:$Y$55,15,FALSE),VLOOKUP(B34,'06 Training Register'!$A$6:$Y$55,12,FALSE)),""))</x:f>
      </x:c>
      <x:c r="E34" s="92"/>
      <x:c r="F34" s="94" t="str">
        <x:f>IFERROR(VLOOKUP(E34,'01 Staff Master'!$A$6:$M$105,2,FALSE),"")</x:f>
      </x:c>
      <x:c r="G34" s="94" t="str">
        <x:f>IFERROR(VLOOKUP(E34,'01 Staff Master'!$A$6:$M$105,3,FALSE),"")</x:f>
      </x:c>
      <x:c r="H34" s="94" t="str">
        <x:f>IFERROR(VLOOKUP(E34,'01 Staff Master'!$A$6:$M$105,5,FALSE),"")</x:f>
      </x:c>
      <x:c r="I34" s="94" t="str">
        <x:f>IFERROR(VLOOKUP(B34,'06 Training Register'!$A$6:$Y$55,4,FALSE),"")</x:f>
      </x:c>
      <x:c r="J34" s="92"/>
      <x:c r="K34" s="92"/>
      <x:c r="L34" s="92"/>
      <x:c r="M34" s="103"/>
      <x:c r="N34" s="103"/>
      <x:c r="O34" s="104" t="str">
        <x:f>IF(OR(M34="",N34=""),"",N34-M34)</x:f>
      </x:c>
      <x:c r="P34" s="103"/>
      <x:c r="Q34" s="94" t="str">
        <x:f>IF(OR(N34="",P34=""),"",IF(N34&gt;=P34,"Pass","Not Yet"))</x:f>
      </x:c>
      <x:c r="R34" s="92"/>
      <x:c r="S34" s="93"/>
      <x:c r="T34" s="102" t="str">
        <x:f>IF(OR(D34="",K34&lt;&gt;"Attended"),"",D34+3)</x:f>
      </x:c>
      <x:c r="U34" s="94" t="str">
        <x:f>IF(A34="","",IF(K34&lt;&gt;"Attended","N/A",IF(COUNTIFS('12 Training Evaluation'!$B$6:$B$155,B34,'12 Training Evaluation'!$C$6:$C$155,E34,'12 Training Evaluation'!$W$6:$W$155,"Complete")&gt;0,"Complete","Pending")))</x:f>
      </x:c>
      <x:c r="V34" s="102" t="str">
        <x:f>IF(OR(D34="",K34&lt;&gt;"Attended"),"",D34+30)</x:f>
      </x:c>
      <x:c r="W34" s="94" t="str">
        <x:f>IF(A34="","",IF(K34&lt;&gt;"Attended","N/A",IF(COUNTIFS('13 Effectiveness Review'!$B$6:$B$155,B34,'13 Effectiveness Review'!$C$6:$C$155,E34)&gt;0,"Reviewed",IF(V34&lt;TODAY(),"Overdue","Due"))))</x:f>
      </x:c>
      <x:c r="X34" s="92"/>
      <x:c r="Y34" s="92"/>
      <x:c r="Z34" s="92"/>
      <x:c r="AA34" s="85" t="str">
        <x:f>IF(E34="","",E34&amp;"|"&amp;COUNTIF($E$6:E34,E34))</x:f>
      </x:c>
      <x:c r="AB34" s="85" t="str">
        <x:f>IF(A34="","",A34)</x:f>
      </x:c>
      <x:c r="AC34" s="85" t="str">
        <x:f>IF(A34="","",B34)</x:f>
      </x:c>
      <x:c r="AD34" s="85" t="str">
        <x:f>IF(A34="","",C34)</x:f>
      </x:c>
      <x:c r="AE34" s="85" t="str">
        <x:f>IF(A34="","",D34)</x:f>
      </x:c>
      <x:c r="AF34" s="85" t="str">
        <x:f>IF(A34="","",L34)</x:f>
      </x:c>
      <x:c r="AG34" s="85" t="str">
        <x:f>IF(A34="","",K34)</x:f>
      </x:c>
      <x:c r="AH34" s="85" t="str">
        <x:f>IF(A34="","",Q34)</x:f>
      </x:c>
      <x:c r="AI34" s="85" t="str">
        <x:f>IF(A34="","",R34)</x:f>
      </x:c>
      <x:c r="AJ34" s="85" t="str">
        <x:f>IF(A34="","",U34)</x:f>
      </x:c>
      <x:c r="AK34" s="85" t="str">
        <x:f>IF(A34="","",W34)</x:f>
      </x:c>
      <x:c r="AL34" s="85" t="str">
        <x:f>IFERROR(IF(A34="","",Y34),"")</x:f>
      </x:c>
      <x:c r="AM34" s="85" t="str">
        <x:f>IFERROR(IF(A34="","",Z34),"")</x:f>
      </x:c>
    </x:row>
    <x:row r="35">
      <x:c r="A35" s="92"/>
      <x:c r="B35" s="92"/>
      <x:c r="C35" s="94" t="str">
        <x:f>IFERROR(VLOOKUP(B35,'06 Training Register'!$A$6:$Y$55,3,FALSE),"")</x:f>
      </x:c>
      <x:c r="D35" s="102" t="str">
        <x:f>IF(B35="","",IFERROR(IF(VLOOKUP(B35,'06 Training Register'!$A$6:$Y$55,15,FALSE)&gt;0,VLOOKUP(B35,'06 Training Register'!$A$6:$Y$55,15,FALSE),VLOOKUP(B35,'06 Training Register'!$A$6:$Y$55,12,FALSE)),""))</x:f>
      </x:c>
      <x:c r="E35" s="92"/>
      <x:c r="F35" s="94" t="str">
        <x:f>IFERROR(VLOOKUP(E35,'01 Staff Master'!$A$6:$M$105,2,FALSE),"")</x:f>
      </x:c>
      <x:c r="G35" s="94" t="str">
        <x:f>IFERROR(VLOOKUP(E35,'01 Staff Master'!$A$6:$M$105,3,FALSE),"")</x:f>
      </x:c>
      <x:c r="H35" s="94" t="str">
        <x:f>IFERROR(VLOOKUP(E35,'01 Staff Master'!$A$6:$M$105,5,FALSE),"")</x:f>
      </x:c>
      <x:c r="I35" s="94" t="str">
        <x:f>IFERROR(VLOOKUP(B35,'06 Training Register'!$A$6:$Y$55,4,FALSE),"")</x:f>
      </x:c>
      <x:c r="J35" s="92"/>
      <x:c r="K35" s="92"/>
      <x:c r="L35" s="92"/>
      <x:c r="M35" s="103"/>
      <x:c r="N35" s="103"/>
      <x:c r="O35" s="104" t="str">
        <x:f>IF(OR(M35="",N35=""),"",N35-M35)</x:f>
      </x:c>
      <x:c r="P35" s="103"/>
      <x:c r="Q35" s="94" t="str">
        <x:f>IF(OR(N35="",P35=""),"",IF(N35&gt;=P35,"Pass","Not Yet"))</x:f>
      </x:c>
      <x:c r="R35" s="92"/>
      <x:c r="S35" s="93"/>
      <x:c r="T35" s="102" t="str">
        <x:f>IF(OR(D35="",K35&lt;&gt;"Attended"),"",D35+3)</x:f>
      </x:c>
      <x:c r="U35" s="94" t="str">
        <x:f>IF(A35="","",IF(K35&lt;&gt;"Attended","N/A",IF(COUNTIFS('12 Training Evaluation'!$B$6:$B$155,B35,'12 Training Evaluation'!$C$6:$C$155,E35,'12 Training Evaluation'!$W$6:$W$155,"Complete")&gt;0,"Complete","Pending")))</x:f>
      </x:c>
      <x:c r="V35" s="102" t="str">
        <x:f>IF(OR(D35="",K35&lt;&gt;"Attended"),"",D35+30)</x:f>
      </x:c>
      <x:c r="W35" s="94" t="str">
        <x:f>IF(A35="","",IF(K35&lt;&gt;"Attended","N/A",IF(COUNTIFS('13 Effectiveness Review'!$B$6:$B$155,B35,'13 Effectiveness Review'!$C$6:$C$155,E35)&gt;0,"Reviewed",IF(V35&lt;TODAY(),"Overdue","Due"))))</x:f>
      </x:c>
      <x:c r="X35" s="92"/>
      <x:c r="Y35" s="92"/>
      <x:c r="Z35" s="92"/>
      <x:c r="AA35" s="85" t="str">
        <x:f>IF(E35="","",E35&amp;"|"&amp;COUNTIF($E$6:E35,E35))</x:f>
      </x:c>
      <x:c r="AB35" s="85" t="str">
        <x:f>IF(A35="","",A35)</x:f>
      </x:c>
      <x:c r="AC35" s="85" t="str">
        <x:f>IF(A35="","",B35)</x:f>
      </x:c>
      <x:c r="AD35" s="85" t="str">
        <x:f>IF(A35="","",C35)</x:f>
      </x:c>
      <x:c r="AE35" s="85" t="str">
        <x:f>IF(A35="","",D35)</x:f>
      </x:c>
      <x:c r="AF35" s="85" t="str">
        <x:f>IF(A35="","",L35)</x:f>
      </x:c>
      <x:c r="AG35" s="85" t="str">
        <x:f>IF(A35="","",K35)</x:f>
      </x:c>
      <x:c r="AH35" s="85" t="str">
        <x:f>IF(A35="","",Q35)</x:f>
      </x:c>
      <x:c r="AI35" s="85" t="str">
        <x:f>IF(A35="","",R35)</x:f>
      </x:c>
      <x:c r="AJ35" s="85" t="str">
        <x:f>IF(A35="","",U35)</x:f>
      </x:c>
      <x:c r="AK35" s="85" t="str">
        <x:f>IF(A35="","",W35)</x:f>
      </x:c>
      <x:c r="AL35" s="85" t="str">
        <x:f>IFERROR(IF(A35="","",Y35),"")</x:f>
      </x:c>
      <x:c r="AM35" s="85" t="str">
        <x:f>IFERROR(IF(A35="","",Z35),"")</x:f>
      </x:c>
    </x:row>
    <x:row r="36">
      <x:c r="A36" s="92"/>
      <x:c r="B36" s="92"/>
      <x:c r="C36" s="94" t="str">
        <x:f>IFERROR(VLOOKUP(B36,'06 Training Register'!$A$6:$Y$55,3,FALSE),"")</x:f>
      </x:c>
      <x:c r="D36" s="102" t="str">
        <x:f>IF(B36="","",IFERROR(IF(VLOOKUP(B36,'06 Training Register'!$A$6:$Y$55,15,FALSE)&gt;0,VLOOKUP(B36,'06 Training Register'!$A$6:$Y$55,15,FALSE),VLOOKUP(B36,'06 Training Register'!$A$6:$Y$55,12,FALSE)),""))</x:f>
      </x:c>
      <x:c r="E36" s="92"/>
      <x:c r="F36" s="94" t="str">
        <x:f>IFERROR(VLOOKUP(E36,'01 Staff Master'!$A$6:$M$105,2,FALSE),"")</x:f>
      </x:c>
      <x:c r="G36" s="94" t="str">
        <x:f>IFERROR(VLOOKUP(E36,'01 Staff Master'!$A$6:$M$105,3,FALSE),"")</x:f>
      </x:c>
      <x:c r="H36" s="94" t="str">
        <x:f>IFERROR(VLOOKUP(E36,'01 Staff Master'!$A$6:$M$105,5,FALSE),"")</x:f>
      </x:c>
      <x:c r="I36" s="94" t="str">
        <x:f>IFERROR(VLOOKUP(B36,'06 Training Register'!$A$6:$Y$55,4,FALSE),"")</x:f>
      </x:c>
      <x:c r="J36" s="92"/>
      <x:c r="K36" s="92"/>
      <x:c r="L36" s="92"/>
      <x:c r="M36" s="103"/>
      <x:c r="N36" s="103"/>
      <x:c r="O36" s="104" t="str">
        <x:f>IF(OR(M36="",N36=""),"",N36-M36)</x:f>
      </x:c>
      <x:c r="P36" s="103"/>
      <x:c r="Q36" s="94" t="str">
        <x:f>IF(OR(N36="",P36=""),"",IF(N36&gt;=P36,"Pass","Not Yet"))</x:f>
      </x:c>
      <x:c r="R36" s="92"/>
      <x:c r="S36" s="93"/>
      <x:c r="T36" s="102" t="str">
        <x:f>IF(OR(D36="",K36&lt;&gt;"Attended"),"",D36+3)</x:f>
      </x:c>
      <x:c r="U36" s="94" t="str">
        <x:f>IF(A36="","",IF(K36&lt;&gt;"Attended","N/A",IF(COUNTIFS('12 Training Evaluation'!$B$6:$B$155,B36,'12 Training Evaluation'!$C$6:$C$155,E36,'12 Training Evaluation'!$W$6:$W$155,"Complete")&gt;0,"Complete","Pending")))</x:f>
      </x:c>
      <x:c r="V36" s="102" t="str">
        <x:f>IF(OR(D36="",K36&lt;&gt;"Attended"),"",D36+30)</x:f>
      </x:c>
      <x:c r="W36" s="94" t="str">
        <x:f>IF(A36="","",IF(K36&lt;&gt;"Attended","N/A",IF(COUNTIFS('13 Effectiveness Review'!$B$6:$B$155,B36,'13 Effectiveness Review'!$C$6:$C$155,E36)&gt;0,"Reviewed",IF(V36&lt;TODAY(),"Overdue","Due"))))</x:f>
      </x:c>
      <x:c r="X36" s="92"/>
      <x:c r="Y36" s="92"/>
      <x:c r="Z36" s="92"/>
      <x:c r="AA36" s="85" t="str">
        <x:f>IF(E36="","",E36&amp;"|"&amp;COUNTIF($E$6:E36,E36))</x:f>
      </x:c>
      <x:c r="AB36" s="85" t="str">
        <x:f>IF(A36="","",A36)</x:f>
      </x:c>
      <x:c r="AC36" s="85" t="str">
        <x:f>IF(A36="","",B36)</x:f>
      </x:c>
      <x:c r="AD36" s="85" t="str">
        <x:f>IF(A36="","",C36)</x:f>
      </x:c>
      <x:c r="AE36" s="85" t="str">
        <x:f>IF(A36="","",D36)</x:f>
      </x:c>
      <x:c r="AF36" s="85" t="str">
        <x:f>IF(A36="","",L36)</x:f>
      </x:c>
      <x:c r="AG36" s="85" t="str">
        <x:f>IF(A36="","",K36)</x:f>
      </x:c>
      <x:c r="AH36" s="85" t="str">
        <x:f>IF(A36="","",Q36)</x:f>
      </x:c>
      <x:c r="AI36" s="85" t="str">
        <x:f>IF(A36="","",R36)</x:f>
      </x:c>
      <x:c r="AJ36" s="85" t="str">
        <x:f>IF(A36="","",U36)</x:f>
      </x:c>
      <x:c r="AK36" s="85" t="str">
        <x:f>IF(A36="","",W36)</x:f>
      </x:c>
      <x:c r="AL36" s="85" t="str">
        <x:f>IFERROR(IF(A36="","",Y36),"")</x:f>
      </x:c>
      <x:c r="AM36" s="85" t="str">
        <x:f>IFERROR(IF(A36="","",Z36),"")</x:f>
      </x:c>
    </x:row>
    <x:row r="37">
      <x:c r="A37" s="92"/>
      <x:c r="B37" s="92"/>
      <x:c r="C37" s="94" t="str">
        <x:f>IFERROR(VLOOKUP(B37,'06 Training Register'!$A$6:$Y$55,3,FALSE),"")</x:f>
      </x:c>
      <x:c r="D37" s="102" t="str">
        <x:f>IF(B37="","",IFERROR(IF(VLOOKUP(B37,'06 Training Register'!$A$6:$Y$55,15,FALSE)&gt;0,VLOOKUP(B37,'06 Training Register'!$A$6:$Y$55,15,FALSE),VLOOKUP(B37,'06 Training Register'!$A$6:$Y$55,12,FALSE)),""))</x:f>
      </x:c>
      <x:c r="E37" s="92"/>
      <x:c r="F37" s="94" t="str">
        <x:f>IFERROR(VLOOKUP(E37,'01 Staff Master'!$A$6:$M$105,2,FALSE),"")</x:f>
      </x:c>
      <x:c r="G37" s="94" t="str">
        <x:f>IFERROR(VLOOKUP(E37,'01 Staff Master'!$A$6:$M$105,3,FALSE),"")</x:f>
      </x:c>
      <x:c r="H37" s="94" t="str">
        <x:f>IFERROR(VLOOKUP(E37,'01 Staff Master'!$A$6:$M$105,5,FALSE),"")</x:f>
      </x:c>
      <x:c r="I37" s="94" t="str">
        <x:f>IFERROR(VLOOKUP(B37,'06 Training Register'!$A$6:$Y$55,4,FALSE),"")</x:f>
      </x:c>
      <x:c r="J37" s="92"/>
      <x:c r="K37" s="92"/>
      <x:c r="L37" s="92"/>
      <x:c r="M37" s="103"/>
      <x:c r="N37" s="103"/>
      <x:c r="O37" s="104" t="str">
        <x:f>IF(OR(M37="",N37=""),"",N37-M37)</x:f>
      </x:c>
      <x:c r="P37" s="103"/>
      <x:c r="Q37" s="94" t="str">
        <x:f>IF(OR(N37="",P37=""),"",IF(N37&gt;=P37,"Pass","Not Yet"))</x:f>
      </x:c>
      <x:c r="R37" s="92"/>
      <x:c r="S37" s="93"/>
      <x:c r="T37" s="102" t="str">
        <x:f>IF(OR(D37="",K37&lt;&gt;"Attended"),"",D37+3)</x:f>
      </x:c>
      <x:c r="U37" s="94" t="str">
        <x:f>IF(A37="","",IF(K37&lt;&gt;"Attended","N/A",IF(COUNTIFS('12 Training Evaluation'!$B$6:$B$155,B37,'12 Training Evaluation'!$C$6:$C$155,E37,'12 Training Evaluation'!$W$6:$W$155,"Complete")&gt;0,"Complete","Pending")))</x:f>
      </x:c>
      <x:c r="V37" s="102" t="str">
        <x:f>IF(OR(D37="",K37&lt;&gt;"Attended"),"",D37+30)</x:f>
      </x:c>
      <x:c r="W37" s="94" t="str">
        <x:f>IF(A37="","",IF(K37&lt;&gt;"Attended","N/A",IF(COUNTIFS('13 Effectiveness Review'!$B$6:$B$155,B37,'13 Effectiveness Review'!$C$6:$C$155,E37)&gt;0,"Reviewed",IF(V37&lt;TODAY(),"Overdue","Due"))))</x:f>
      </x:c>
      <x:c r="X37" s="92"/>
      <x:c r="Y37" s="92"/>
      <x:c r="Z37" s="92"/>
      <x:c r="AA37" s="85" t="str">
        <x:f>IF(E37="","",E37&amp;"|"&amp;COUNTIF($E$6:E37,E37))</x:f>
      </x:c>
      <x:c r="AB37" s="85" t="str">
        <x:f>IF(A37="","",A37)</x:f>
      </x:c>
      <x:c r="AC37" s="85" t="str">
        <x:f>IF(A37="","",B37)</x:f>
      </x:c>
      <x:c r="AD37" s="85" t="str">
        <x:f>IF(A37="","",C37)</x:f>
      </x:c>
      <x:c r="AE37" s="85" t="str">
        <x:f>IF(A37="","",D37)</x:f>
      </x:c>
      <x:c r="AF37" s="85" t="str">
        <x:f>IF(A37="","",L37)</x:f>
      </x:c>
      <x:c r="AG37" s="85" t="str">
        <x:f>IF(A37="","",K37)</x:f>
      </x:c>
      <x:c r="AH37" s="85" t="str">
        <x:f>IF(A37="","",Q37)</x:f>
      </x:c>
      <x:c r="AI37" s="85" t="str">
        <x:f>IF(A37="","",R37)</x:f>
      </x:c>
      <x:c r="AJ37" s="85" t="str">
        <x:f>IF(A37="","",U37)</x:f>
      </x:c>
      <x:c r="AK37" s="85" t="str">
        <x:f>IF(A37="","",W37)</x:f>
      </x:c>
      <x:c r="AL37" s="85" t="str">
        <x:f>IFERROR(IF(A37="","",Y37),"")</x:f>
      </x:c>
      <x:c r="AM37" s="85" t="str">
        <x:f>IFERROR(IF(A37="","",Z37),"")</x:f>
      </x:c>
    </x:row>
    <x:row r="38">
      <x:c r="A38" s="92"/>
      <x:c r="B38" s="92"/>
      <x:c r="C38" s="94" t="str">
        <x:f>IFERROR(VLOOKUP(B38,'06 Training Register'!$A$6:$Y$55,3,FALSE),"")</x:f>
      </x:c>
      <x:c r="D38" s="102" t="str">
        <x:f>IF(B38="","",IFERROR(IF(VLOOKUP(B38,'06 Training Register'!$A$6:$Y$55,15,FALSE)&gt;0,VLOOKUP(B38,'06 Training Register'!$A$6:$Y$55,15,FALSE),VLOOKUP(B38,'06 Training Register'!$A$6:$Y$55,12,FALSE)),""))</x:f>
      </x:c>
      <x:c r="E38" s="92"/>
      <x:c r="F38" s="94" t="str">
        <x:f>IFERROR(VLOOKUP(E38,'01 Staff Master'!$A$6:$M$105,2,FALSE),"")</x:f>
      </x:c>
      <x:c r="G38" s="94" t="str">
        <x:f>IFERROR(VLOOKUP(E38,'01 Staff Master'!$A$6:$M$105,3,FALSE),"")</x:f>
      </x:c>
      <x:c r="H38" s="94" t="str">
        <x:f>IFERROR(VLOOKUP(E38,'01 Staff Master'!$A$6:$M$105,5,FALSE),"")</x:f>
      </x:c>
      <x:c r="I38" s="94" t="str">
        <x:f>IFERROR(VLOOKUP(B38,'06 Training Register'!$A$6:$Y$55,4,FALSE),"")</x:f>
      </x:c>
      <x:c r="J38" s="92"/>
      <x:c r="K38" s="92"/>
      <x:c r="L38" s="92"/>
      <x:c r="M38" s="103"/>
      <x:c r="N38" s="103"/>
      <x:c r="O38" s="104" t="str">
        <x:f>IF(OR(M38="",N38=""),"",N38-M38)</x:f>
      </x:c>
      <x:c r="P38" s="103"/>
      <x:c r="Q38" s="94" t="str">
        <x:f>IF(OR(N38="",P38=""),"",IF(N38&gt;=P38,"Pass","Not Yet"))</x:f>
      </x:c>
      <x:c r="R38" s="92"/>
      <x:c r="S38" s="93"/>
      <x:c r="T38" s="102" t="str">
        <x:f>IF(OR(D38="",K38&lt;&gt;"Attended"),"",D38+3)</x:f>
      </x:c>
      <x:c r="U38" s="94" t="str">
        <x:f>IF(A38="","",IF(K38&lt;&gt;"Attended","N/A",IF(COUNTIFS('12 Training Evaluation'!$B$6:$B$155,B38,'12 Training Evaluation'!$C$6:$C$155,E38,'12 Training Evaluation'!$W$6:$W$155,"Complete")&gt;0,"Complete","Pending")))</x:f>
      </x:c>
      <x:c r="V38" s="102" t="str">
        <x:f>IF(OR(D38="",K38&lt;&gt;"Attended"),"",D38+30)</x:f>
      </x:c>
      <x:c r="W38" s="94" t="str">
        <x:f>IF(A38="","",IF(K38&lt;&gt;"Attended","N/A",IF(COUNTIFS('13 Effectiveness Review'!$B$6:$B$155,B38,'13 Effectiveness Review'!$C$6:$C$155,E38)&gt;0,"Reviewed",IF(V38&lt;TODAY(),"Overdue","Due"))))</x:f>
      </x:c>
      <x:c r="X38" s="92"/>
      <x:c r="Y38" s="92"/>
      <x:c r="Z38" s="92"/>
      <x:c r="AA38" s="85" t="str">
        <x:f>IF(E38="","",E38&amp;"|"&amp;COUNTIF($E$6:E38,E38))</x:f>
      </x:c>
      <x:c r="AB38" s="85" t="str">
        <x:f>IF(A38="","",A38)</x:f>
      </x:c>
      <x:c r="AC38" s="85" t="str">
        <x:f>IF(A38="","",B38)</x:f>
      </x:c>
      <x:c r="AD38" s="85" t="str">
        <x:f>IF(A38="","",C38)</x:f>
      </x:c>
      <x:c r="AE38" s="85" t="str">
        <x:f>IF(A38="","",D38)</x:f>
      </x:c>
      <x:c r="AF38" s="85" t="str">
        <x:f>IF(A38="","",L38)</x:f>
      </x:c>
      <x:c r="AG38" s="85" t="str">
        <x:f>IF(A38="","",K38)</x:f>
      </x:c>
      <x:c r="AH38" s="85" t="str">
        <x:f>IF(A38="","",Q38)</x:f>
      </x:c>
      <x:c r="AI38" s="85" t="str">
        <x:f>IF(A38="","",R38)</x:f>
      </x:c>
      <x:c r="AJ38" s="85" t="str">
        <x:f>IF(A38="","",U38)</x:f>
      </x:c>
      <x:c r="AK38" s="85" t="str">
        <x:f>IF(A38="","",W38)</x:f>
      </x:c>
      <x:c r="AL38" s="85" t="str">
        <x:f>IFERROR(IF(A38="","",Y38),"")</x:f>
      </x:c>
      <x:c r="AM38" s="85" t="str">
        <x:f>IFERROR(IF(A38="","",Z38),"")</x:f>
      </x:c>
    </x:row>
    <x:row r="39">
      <x:c r="A39" s="92"/>
      <x:c r="B39" s="92"/>
      <x:c r="C39" s="94" t="str">
        <x:f>IFERROR(VLOOKUP(B39,'06 Training Register'!$A$6:$Y$55,3,FALSE),"")</x:f>
      </x:c>
      <x:c r="D39" s="102" t="str">
        <x:f>IF(B39="","",IFERROR(IF(VLOOKUP(B39,'06 Training Register'!$A$6:$Y$55,15,FALSE)&gt;0,VLOOKUP(B39,'06 Training Register'!$A$6:$Y$55,15,FALSE),VLOOKUP(B39,'06 Training Register'!$A$6:$Y$55,12,FALSE)),""))</x:f>
      </x:c>
      <x:c r="E39" s="92"/>
      <x:c r="F39" s="94" t="str">
        <x:f>IFERROR(VLOOKUP(E39,'01 Staff Master'!$A$6:$M$105,2,FALSE),"")</x:f>
      </x:c>
      <x:c r="G39" s="94" t="str">
        <x:f>IFERROR(VLOOKUP(E39,'01 Staff Master'!$A$6:$M$105,3,FALSE),"")</x:f>
      </x:c>
      <x:c r="H39" s="94" t="str">
        <x:f>IFERROR(VLOOKUP(E39,'01 Staff Master'!$A$6:$M$105,5,FALSE),"")</x:f>
      </x:c>
      <x:c r="I39" s="94" t="str">
        <x:f>IFERROR(VLOOKUP(B39,'06 Training Register'!$A$6:$Y$55,4,FALSE),"")</x:f>
      </x:c>
      <x:c r="J39" s="92"/>
      <x:c r="K39" s="92"/>
      <x:c r="L39" s="92"/>
      <x:c r="M39" s="103"/>
      <x:c r="N39" s="103"/>
      <x:c r="O39" s="104" t="str">
        <x:f>IF(OR(M39="",N39=""),"",N39-M39)</x:f>
      </x:c>
      <x:c r="P39" s="103"/>
      <x:c r="Q39" s="94" t="str">
        <x:f>IF(OR(N39="",P39=""),"",IF(N39&gt;=P39,"Pass","Not Yet"))</x:f>
      </x:c>
      <x:c r="R39" s="92"/>
      <x:c r="S39" s="93"/>
      <x:c r="T39" s="102" t="str">
        <x:f>IF(OR(D39="",K39&lt;&gt;"Attended"),"",D39+3)</x:f>
      </x:c>
      <x:c r="U39" s="94" t="str">
        <x:f>IF(A39="","",IF(K39&lt;&gt;"Attended","N/A",IF(COUNTIFS('12 Training Evaluation'!$B$6:$B$155,B39,'12 Training Evaluation'!$C$6:$C$155,E39,'12 Training Evaluation'!$W$6:$W$155,"Complete")&gt;0,"Complete","Pending")))</x:f>
      </x:c>
      <x:c r="V39" s="102" t="str">
        <x:f>IF(OR(D39="",K39&lt;&gt;"Attended"),"",D39+30)</x:f>
      </x:c>
      <x:c r="W39" s="94" t="str">
        <x:f>IF(A39="","",IF(K39&lt;&gt;"Attended","N/A",IF(COUNTIFS('13 Effectiveness Review'!$B$6:$B$155,B39,'13 Effectiveness Review'!$C$6:$C$155,E39)&gt;0,"Reviewed",IF(V39&lt;TODAY(),"Overdue","Due"))))</x:f>
      </x:c>
      <x:c r="X39" s="92"/>
      <x:c r="Y39" s="92"/>
      <x:c r="Z39" s="92"/>
      <x:c r="AA39" s="85" t="str">
        <x:f>IF(E39="","",E39&amp;"|"&amp;COUNTIF($E$6:E39,E39))</x:f>
      </x:c>
      <x:c r="AB39" s="85" t="str">
        <x:f>IF(A39="","",A39)</x:f>
      </x:c>
      <x:c r="AC39" s="85" t="str">
        <x:f>IF(A39="","",B39)</x:f>
      </x:c>
      <x:c r="AD39" s="85" t="str">
        <x:f>IF(A39="","",C39)</x:f>
      </x:c>
      <x:c r="AE39" s="85" t="str">
        <x:f>IF(A39="","",D39)</x:f>
      </x:c>
      <x:c r="AF39" s="85" t="str">
        <x:f>IF(A39="","",L39)</x:f>
      </x:c>
      <x:c r="AG39" s="85" t="str">
        <x:f>IF(A39="","",K39)</x:f>
      </x:c>
      <x:c r="AH39" s="85" t="str">
        <x:f>IF(A39="","",Q39)</x:f>
      </x:c>
      <x:c r="AI39" s="85" t="str">
        <x:f>IF(A39="","",R39)</x:f>
      </x:c>
      <x:c r="AJ39" s="85" t="str">
        <x:f>IF(A39="","",U39)</x:f>
      </x:c>
      <x:c r="AK39" s="85" t="str">
        <x:f>IF(A39="","",W39)</x:f>
      </x:c>
      <x:c r="AL39" s="85" t="str">
        <x:f>IFERROR(IF(A39="","",Y39),"")</x:f>
      </x:c>
      <x:c r="AM39" s="85" t="str">
        <x:f>IFERROR(IF(A39="","",Z39),"")</x:f>
      </x:c>
    </x:row>
    <x:row r="40">
      <x:c r="A40" s="92"/>
      <x:c r="B40" s="92"/>
      <x:c r="C40" s="94" t="str">
        <x:f>IFERROR(VLOOKUP(B40,'06 Training Register'!$A$6:$Y$55,3,FALSE),"")</x:f>
      </x:c>
      <x:c r="D40" s="102" t="str">
        <x:f>IF(B40="","",IFERROR(IF(VLOOKUP(B40,'06 Training Register'!$A$6:$Y$55,15,FALSE)&gt;0,VLOOKUP(B40,'06 Training Register'!$A$6:$Y$55,15,FALSE),VLOOKUP(B40,'06 Training Register'!$A$6:$Y$55,12,FALSE)),""))</x:f>
      </x:c>
      <x:c r="E40" s="92"/>
      <x:c r="F40" s="94" t="str">
        <x:f>IFERROR(VLOOKUP(E40,'01 Staff Master'!$A$6:$M$105,2,FALSE),"")</x:f>
      </x:c>
      <x:c r="G40" s="94" t="str">
        <x:f>IFERROR(VLOOKUP(E40,'01 Staff Master'!$A$6:$M$105,3,FALSE),"")</x:f>
      </x:c>
      <x:c r="H40" s="94" t="str">
        <x:f>IFERROR(VLOOKUP(E40,'01 Staff Master'!$A$6:$M$105,5,FALSE),"")</x:f>
      </x:c>
      <x:c r="I40" s="94" t="str">
        <x:f>IFERROR(VLOOKUP(B40,'06 Training Register'!$A$6:$Y$55,4,FALSE),"")</x:f>
      </x:c>
      <x:c r="J40" s="92"/>
      <x:c r="K40" s="92"/>
      <x:c r="L40" s="92"/>
      <x:c r="M40" s="103"/>
      <x:c r="N40" s="103"/>
      <x:c r="O40" s="104" t="str">
        <x:f>IF(OR(M40="",N40=""),"",N40-M40)</x:f>
      </x:c>
      <x:c r="P40" s="103"/>
      <x:c r="Q40" s="94" t="str">
        <x:f>IF(OR(N40="",P40=""),"",IF(N40&gt;=P40,"Pass","Not Yet"))</x:f>
      </x:c>
      <x:c r="R40" s="92"/>
      <x:c r="S40" s="93"/>
      <x:c r="T40" s="102" t="str">
        <x:f>IF(OR(D40="",K40&lt;&gt;"Attended"),"",D40+3)</x:f>
      </x:c>
      <x:c r="U40" s="94" t="str">
        <x:f>IF(A40="","",IF(K40&lt;&gt;"Attended","N/A",IF(COUNTIFS('12 Training Evaluation'!$B$6:$B$155,B40,'12 Training Evaluation'!$C$6:$C$155,E40,'12 Training Evaluation'!$W$6:$W$155,"Complete")&gt;0,"Complete","Pending")))</x:f>
      </x:c>
      <x:c r="V40" s="102" t="str">
        <x:f>IF(OR(D40="",K40&lt;&gt;"Attended"),"",D40+30)</x:f>
      </x:c>
      <x:c r="W40" s="94" t="str">
        <x:f>IF(A40="","",IF(K40&lt;&gt;"Attended","N/A",IF(COUNTIFS('13 Effectiveness Review'!$B$6:$B$155,B40,'13 Effectiveness Review'!$C$6:$C$155,E40)&gt;0,"Reviewed",IF(V40&lt;TODAY(),"Overdue","Due"))))</x:f>
      </x:c>
      <x:c r="X40" s="92"/>
      <x:c r="Y40" s="92"/>
      <x:c r="Z40" s="92"/>
      <x:c r="AA40" s="85" t="str">
        <x:f>IF(E40="","",E40&amp;"|"&amp;COUNTIF($E$6:E40,E40))</x:f>
      </x:c>
      <x:c r="AB40" s="85" t="str">
        <x:f>IF(A40="","",A40)</x:f>
      </x:c>
      <x:c r="AC40" s="85" t="str">
        <x:f>IF(A40="","",B40)</x:f>
      </x:c>
      <x:c r="AD40" s="85" t="str">
        <x:f>IF(A40="","",C40)</x:f>
      </x:c>
      <x:c r="AE40" s="85" t="str">
        <x:f>IF(A40="","",D40)</x:f>
      </x:c>
      <x:c r="AF40" s="85" t="str">
        <x:f>IF(A40="","",L40)</x:f>
      </x:c>
      <x:c r="AG40" s="85" t="str">
        <x:f>IF(A40="","",K40)</x:f>
      </x:c>
      <x:c r="AH40" s="85" t="str">
        <x:f>IF(A40="","",Q40)</x:f>
      </x:c>
      <x:c r="AI40" s="85" t="str">
        <x:f>IF(A40="","",R40)</x:f>
      </x:c>
      <x:c r="AJ40" s="85" t="str">
        <x:f>IF(A40="","",U40)</x:f>
      </x:c>
      <x:c r="AK40" s="85" t="str">
        <x:f>IF(A40="","",W40)</x:f>
      </x:c>
      <x:c r="AL40" s="85" t="str">
        <x:f>IFERROR(IF(A40="","",Y40),"")</x:f>
      </x:c>
      <x:c r="AM40" s="85" t="str">
        <x:f>IFERROR(IF(A40="","",Z40),"")</x:f>
      </x:c>
    </x:row>
    <x:row r="41">
      <x:c r="A41" s="92"/>
      <x:c r="B41" s="92"/>
      <x:c r="C41" s="94" t="str">
        <x:f>IFERROR(VLOOKUP(B41,'06 Training Register'!$A$6:$Y$55,3,FALSE),"")</x:f>
      </x:c>
      <x:c r="D41" s="102" t="str">
        <x:f>IF(B41="","",IFERROR(IF(VLOOKUP(B41,'06 Training Register'!$A$6:$Y$55,15,FALSE)&gt;0,VLOOKUP(B41,'06 Training Register'!$A$6:$Y$55,15,FALSE),VLOOKUP(B41,'06 Training Register'!$A$6:$Y$55,12,FALSE)),""))</x:f>
      </x:c>
      <x:c r="E41" s="92"/>
      <x:c r="F41" s="94" t="str">
        <x:f>IFERROR(VLOOKUP(E41,'01 Staff Master'!$A$6:$M$105,2,FALSE),"")</x:f>
      </x:c>
      <x:c r="G41" s="94" t="str">
        <x:f>IFERROR(VLOOKUP(E41,'01 Staff Master'!$A$6:$M$105,3,FALSE),"")</x:f>
      </x:c>
      <x:c r="H41" s="94" t="str">
        <x:f>IFERROR(VLOOKUP(E41,'01 Staff Master'!$A$6:$M$105,5,FALSE),"")</x:f>
      </x:c>
      <x:c r="I41" s="94" t="str">
        <x:f>IFERROR(VLOOKUP(B41,'06 Training Register'!$A$6:$Y$55,4,FALSE),"")</x:f>
      </x:c>
      <x:c r="J41" s="92"/>
      <x:c r="K41" s="92"/>
      <x:c r="L41" s="92"/>
      <x:c r="M41" s="103"/>
      <x:c r="N41" s="103"/>
      <x:c r="O41" s="104" t="str">
        <x:f>IF(OR(M41="",N41=""),"",N41-M41)</x:f>
      </x:c>
      <x:c r="P41" s="103"/>
      <x:c r="Q41" s="94" t="str">
        <x:f>IF(OR(N41="",P41=""),"",IF(N41&gt;=P41,"Pass","Not Yet"))</x:f>
      </x:c>
      <x:c r="R41" s="92"/>
      <x:c r="S41" s="93"/>
      <x:c r="T41" s="102" t="str">
        <x:f>IF(OR(D41="",K41&lt;&gt;"Attended"),"",D41+3)</x:f>
      </x:c>
      <x:c r="U41" s="94" t="str">
        <x:f>IF(A41="","",IF(K41&lt;&gt;"Attended","N/A",IF(COUNTIFS('12 Training Evaluation'!$B$6:$B$155,B41,'12 Training Evaluation'!$C$6:$C$155,E41,'12 Training Evaluation'!$W$6:$W$155,"Complete")&gt;0,"Complete","Pending")))</x:f>
      </x:c>
      <x:c r="V41" s="102" t="str">
        <x:f>IF(OR(D41="",K41&lt;&gt;"Attended"),"",D41+30)</x:f>
      </x:c>
      <x:c r="W41" s="94" t="str">
        <x:f>IF(A41="","",IF(K41&lt;&gt;"Attended","N/A",IF(COUNTIFS('13 Effectiveness Review'!$B$6:$B$155,B41,'13 Effectiveness Review'!$C$6:$C$155,E41)&gt;0,"Reviewed",IF(V41&lt;TODAY(),"Overdue","Due"))))</x:f>
      </x:c>
      <x:c r="X41" s="92"/>
      <x:c r="Y41" s="92"/>
      <x:c r="Z41" s="92"/>
      <x:c r="AA41" s="85" t="str">
        <x:f>IF(E41="","",E41&amp;"|"&amp;COUNTIF($E$6:E41,E41))</x:f>
      </x:c>
      <x:c r="AB41" s="85" t="str">
        <x:f>IF(A41="","",A41)</x:f>
      </x:c>
      <x:c r="AC41" s="85" t="str">
        <x:f>IF(A41="","",B41)</x:f>
      </x:c>
      <x:c r="AD41" s="85" t="str">
        <x:f>IF(A41="","",C41)</x:f>
      </x:c>
      <x:c r="AE41" s="85" t="str">
        <x:f>IF(A41="","",D41)</x:f>
      </x:c>
      <x:c r="AF41" s="85" t="str">
        <x:f>IF(A41="","",L41)</x:f>
      </x:c>
      <x:c r="AG41" s="85" t="str">
        <x:f>IF(A41="","",K41)</x:f>
      </x:c>
      <x:c r="AH41" s="85" t="str">
        <x:f>IF(A41="","",Q41)</x:f>
      </x:c>
      <x:c r="AI41" s="85" t="str">
        <x:f>IF(A41="","",R41)</x:f>
      </x:c>
      <x:c r="AJ41" s="85" t="str">
        <x:f>IF(A41="","",U41)</x:f>
      </x:c>
      <x:c r="AK41" s="85" t="str">
        <x:f>IF(A41="","",W41)</x:f>
      </x:c>
      <x:c r="AL41" s="85" t="str">
        <x:f>IFERROR(IF(A41="","",Y41),"")</x:f>
      </x:c>
      <x:c r="AM41" s="85" t="str">
        <x:f>IFERROR(IF(A41="","",Z41),"")</x:f>
      </x:c>
    </x:row>
    <x:row r="42">
      <x:c r="A42" s="92"/>
      <x:c r="B42" s="92"/>
      <x:c r="C42" s="94" t="str">
        <x:f>IFERROR(VLOOKUP(B42,'06 Training Register'!$A$6:$Y$55,3,FALSE),"")</x:f>
      </x:c>
      <x:c r="D42" s="102" t="str">
        <x:f>IF(B42="","",IFERROR(IF(VLOOKUP(B42,'06 Training Register'!$A$6:$Y$55,15,FALSE)&gt;0,VLOOKUP(B42,'06 Training Register'!$A$6:$Y$55,15,FALSE),VLOOKUP(B42,'06 Training Register'!$A$6:$Y$55,12,FALSE)),""))</x:f>
      </x:c>
      <x:c r="E42" s="92"/>
      <x:c r="F42" s="94" t="str">
        <x:f>IFERROR(VLOOKUP(E42,'01 Staff Master'!$A$6:$M$105,2,FALSE),"")</x:f>
      </x:c>
      <x:c r="G42" s="94" t="str">
        <x:f>IFERROR(VLOOKUP(E42,'01 Staff Master'!$A$6:$M$105,3,FALSE),"")</x:f>
      </x:c>
      <x:c r="H42" s="94" t="str">
        <x:f>IFERROR(VLOOKUP(E42,'01 Staff Master'!$A$6:$M$105,5,FALSE),"")</x:f>
      </x:c>
      <x:c r="I42" s="94" t="str">
        <x:f>IFERROR(VLOOKUP(B42,'06 Training Register'!$A$6:$Y$55,4,FALSE),"")</x:f>
      </x:c>
      <x:c r="J42" s="92"/>
      <x:c r="K42" s="92"/>
      <x:c r="L42" s="92"/>
      <x:c r="M42" s="103"/>
      <x:c r="N42" s="103"/>
      <x:c r="O42" s="104" t="str">
        <x:f>IF(OR(M42="",N42=""),"",N42-M42)</x:f>
      </x:c>
      <x:c r="P42" s="103"/>
      <x:c r="Q42" s="94" t="str">
        <x:f>IF(OR(N42="",P42=""),"",IF(N42&gt;=P42,"Pass","Not Yet"))</x:f>
      </x:c>
      <x:c r="R42" s="92"/>
      <x:c r="S42" s="93"/>
      <x:c r="T42" s="102" t="str">
        <x:f>IF(OR(D42="",K42&lt;&gt;"Attended"),"",D42+3)</x:f>
      </x:c>
      <x:c r="U42" s="94" t="str">
        <x:f>IF(A42="","",IF(K42&lt;&gt;"Attended","N/A",IF(COUNTIFS('12 Training Evaluation'!$B$6:$B$155,B42,'12 Training Evaluation'!$C$6:$C$155,E42,'12 Training Evaluation'!$W$6:$W$155,"Complete")&gt;0,"Complete","Pending")))</x:f>
      </x:c>
      <x:c r="V42" s="102" t="str">
        <x:f>IF(OR(D42="",K42&lt;&gt;"Attended"),"",D42+30)</x:f>
      </x:c>
      <x:c r="W42" s="94" t="str">
        <x:f>IF(A42="","",IF(K42&lt;&gt;"Attended","N/A",IF(COUNTIFS('13 Effectiveness Review'!$B$6:$B$155,B42,'13 Effectiveness Review'!$C$6:$C$155,E42)&gt;0,"Reviewed",IF(V42&lt;TODAY(),"Overdue","Due"))))</x:f>
      </x:c>
      <x:c r="X42" s="92"/>
      <x:c r="Y42" s="92"/>
      <x:c r="Z42" s="92"/>
      <x:c r="AA42" s="85" t="str">
        <x:f>IF(E42="","",E42&amp;"|"&amp;COUNTIF($E$6:E42,E42))</x:f>
      </x:c>
      <x:c r="AB42" s="85" t="str">
        <x:f>IF(A42="","",A42)</x:f>
      </x:c>
      <x:c r="AC42" s="85" t="str">
        <x:f>IF(A42="","",B42)</x:f>
      </x:c>
      <x:c r="AD42" s="85" t="str">
        <x:f>IF(A42="","",C42)</x:f>
      </x:c>
      <x:c r="AE42" s="85" t="str">
        <x:f>IF(A42="","",D42)</x:f>
      </x:c>
      <x:c r="AF42" s="85" t="str">
        <x:f>IF(A42="","",L42)</x:f>
      </x:c>
      <x:c r="AG42" s="85" t="str">
        <x:f>IF(A42="","",K42)</x:f>
      </x:c>
      <x:c r="AH42" s="85" t="str">
        <x:f>IF(A42="","",Q42)</x:f>
      </x:c>
      <x:c r="AI42" s="85" t="str">
        <x:f>IF(A42="","",R42)</x:f>
      </x:c>
      <x:c r="AJ42" s="85" t="str">
        <x:f>IF(A42="","",U42)</x:f>
      </x:c>
      <x:c r="AK42" s="85" t="str">
        <x:f>IF(A42="","",W42)</x:f>
      </x:c>
      <x:c r="AL42" s="85" t="str">
        <x:f>IFERROR(IF(A42="","",Y42),"")</x:f>
      </x:c>
      <x:c r="AM42" s="85" t="str">
        <x:f>IFERROR(IF(A42="","",Z42),"")</x:f>
      </x:c>
    </x:row>
    <x:row r="43">
      <x:c r="A43" s="92"/>
      <x:c r="B43" s="92"/>
      <x:c r="C43" s="94" t="str">
        <x:f>IFERROR(VLOOKUP(B43,'06 Training Register'!$A$6:$Y$55,3,FALSE),"")</x:f>
      </x:c>
      <x:c r="D43" s="102" t="str">
        <x:f>IF(B43="","",IFERROR(IF(VLOOKUP(B43,'06 Training Register'!$A$6:$Y$55,15,FALSE)&gt;0,VLOOKUP(B43,'06 Training Register'!$A$6:$Y$55,15,FALSE),VLOOKUP(B43,'06 Training Register'!$A$6:$Y$55,12,FALSE)),""))</x:f>
      </x:c>
      <x:c r="E43" s="92"/>
      <x:c r="F43" s="94" t="str">
        <x:f>IFERROR(VLOOKUP(E43,'01 Staff Master'!$A$6:$M$105,2,FALSE),"")</x:f>
      </x:c>
      <x:c r="G43" s="94" t="str">
        <x:f>IFERROR(VLOOKUP(E43,'01 Staff Master'!$A$6:$M$105,3,FALSE),"")</x:f>
      </x:c>
      <x:c r="H43" s="94" t="str">
        <x:f>IFERROR(VLOOKUP(E43,'01 Staff Master'!$A$6:$M$105,5,FALSE),"")</x:f>
      </x:c>
      <x:c r="I43" s="94" t="str">
        <x:f>IFERROR(VLOOKUP(B43,'06 Training Register'!$A$6:$Y$55,4,FALSE),"")</x:f>
      </x:c>
      <x:c r="J43" s="92"/>
      <x:c r="K43" s="92"/>
      <x:c r="L43" s="92"/>
      <x:c r="M43" s="103"/>
      <x:c r="N43" s="103"/>
      <x:c r="O43" s="104" t="str">
        <x:f>IF(OR(M43="",N43=""),"",N43-M43)</x:f>
      </x:c>
      <x:c r="P43" s="103"/>
      <x:c r="Q43" s="94" t="str">
        <x:f>IF(OR(N43="",P43=""),"",IF(N43&gt;=P43,"Pass","Not Yet"))</x:f>
      </x:c>
      <x:c r="R43" s="92"/>
      <x:c r="S43" s="93"/>
      <x:c r="T43" s="102" t="str">
        <x:f>IF(OR(D43="",K43&lt;&gt;"Attended"),"",D43+3)</x:f>
      </x:c>
      <x:c r="U43" s="94" t="str">
        <x:f>IF(A43="","",IF(K43&lt;&gt;"Attended","N/A",IF(COUNTIFS('12 Training Evaluation'!$B$6:$B$155,B43,'12 Training Evaluation'!$C$6:$C$155,E43,'12 Training Evaluation'!$W$6:$W$155,"Complete")&gt;0,"Complete","Pending")))</x:f>
      </x:c>
      <x:c r="V43" s="102" t="str">
        <x:f>IF(OR(D43="",K43&lt;&gt;"Attended"),"",D43+30)</x:f>
      </x:c>
      <x:c r="W43" s="94" t="str">
        <x:f>IF(A43="","",IF(K43&lt;&gt;"Attended","N/A",IF(COUNTIFS('13 Effectiveness Review'!$B$6:$B$155,B43,'13 Effectiveness Review'!$C$6:$C$155,E43)&gt;0,"Reviewed",IF(V43&lt;TODAY(),"Overdue","Due"))))</x:f>
      </x:c>
      <x:c r="X43" s="92"/>
      <x:c r="Y43" s="92"/>
      <x:c r="Z43" s="92"/>
      <x:c r="AA43" s="85" t="str">
        <x:f>IF(E43="","",E43&amp;"|"&amp;COUNTIF($E$6:E43,E43))</x:f>
      </x:c>
      <x:c r="AB43" s="85" t="str">
        <x:f>IF(A43="","",A43)</x:f>
      </x:c>
      <x:c r="AC43" s="85" t="str">
        <x:f>IF(A43="","",B43)</x:f>
      </x:c>
      <x:c r="AD43" s="85" t="str">
        <x:f>IF(A43="","",C43)</x:f>
      </x:c>
      <x:c r="AE43" s="85" t="str">
        <x:f>IF(A43="","",D43)</x:f>
      </x:c>
      <x:c r="AF43" s="85" t="str">
        <x:f>IF(A43="","",L43)</x:f>
      </x:c>
      <x:c r="AG43" s="85" t="str">
        <x:f>IF(A43="","",K43)</x:f>
      </x:c>
      <x:c r="AH43" s="85" t="str">
        <x:f>IF(A43="","",Q43)</x:f>
      </x:c>
      <x:c r="AI43" s="85" t="str">
        <x:f>IF(A43="","",R43)</x:f>
      </x:c>
      <x:c r="AJ43" s="85" t="str">
        <x:f>IF(A43="","",U43)</x:f>
      </x:c>
      <x:c r="AK43" s="85" t="str">
        <x:f>IF(A43="","",W43)</x:f>
      </x:c>
      <x:c r="AL43" s="85" t="str">
        <x:f>IFERROR(IF(A43="","",Y43),"")</x:f>
      </x:c>
      <x:c r="AM43" s="85" t="str">
        <x:f>IFERROR(IF(A43="","",Z43),"")</x:f>
      </x:c>
    </x:row>
    <x:row r="44">
      <x:c r="A44" s="92"/>
      <x:c r="B44" s="92"/>
      <x:c r="C44" s="94" t="str">
        <x:f>IFERROR(VLOOKUP(B44,'06 Training Register'!$A$6:$Y$55,3,FALSE),"")</x:f>
      </x:c>
      <x:c r="D44" s="102" t="str">
        <x:f>IF(B44="","",IFERROR(IF(VLOOKUP(B44,'06 Training Register'!$A$6:$Y$55,15,FALSE)&gt;0,VLOOKUP(B44,'06 Training Register'!$A$6:$Y$55,15,FALSE),VLOOKUP(B44,'06 Training Register'!$A$6:$Y$55,12,FALSE)),""))</x:f>
      </x:c>
      <x:c r="E44" s="92"/>
      <x:c r="F44" s="94" t="str">
        <x:f>IFERROR(VLOOKUP(E44,'01 Staff Master'!$A$6:$M$105,2,FALSE),"")</x:f>
      </x:c>
      <x:c r="G44" s="94" t="str">
        <x:f>IFERROR(VLOOKUP(E44,'01 Staff Master'!$A$6:$M$105,3,FALSE),"")</x:f>
      </x:c>
      <x:c r="H44" s="94" t="str">
        <x:f>IFERROR(VLOOKUP(E44,'01 Staff Master'!$A$6:$M$105,5,FALSE),"")</x:f>
      </x:c>
      <x:c r="I44" s="94" t="str">
        <x:f>IFERROR(VLOOKUP(B44,'06 Training Register'!$A$6:$Y$55,4,FALSE),"")</x:f>
      </x:c>
      <x:c r="J44" s="92"/>
      <x:c r="K44" s="92"/>
      <x:c r="L44" s="92"/>
      <x:c r="M44" s="103"/>
      <x:c r="N44" s="103"/>
      <x:c r="O44" s="104" t="str">
        <x:f>IF(OR(M44="",N44=""),"",N44-M44)</x:f>
      </x:c>
      <x:c r="P44" s="103"/>
      <x:c r="Q44" s="94" t="str">
        <x:f>IF(OR(N44="",P44=""),"",IF(N44&gt;=P44,"Pass","Not Yet"))</x:f>
      </x:c>
      <x:c r="R44" s="92"/>
      <x:c r="S44" s="93"/>
      <x:c r="T44" s="102" t="str">
        <x:f>IF(OR(D44="",K44&lt;&gt;"Attended"),"",D44+3)</x:f>
      </x:c>
      <x:c r="U44" s="94" t="str">
        <x:f>IF(A44="","",IF(K44&lt;&gt;"Attended","N/A",IF(COUNTIFS('12 Training Evaluation'!$B$6:$B$155,B44,'12 Training Evaluation'!$C$6:$C$155,E44,'12 Training Evaluation'!$W$6:$W$155,"Complete")&gt;0,"Complete","Pending")))</x:f>
      </x:c>
      <x:c r="V44" s="102" t="str">
        <x:f>IF(OR(D44="",K44&lt;&gt;"Attended"),"",D44+30)</x:f>
      </x:c>
      <x:c r="W44" s="94" t="str">
        <x:f>IF(A44="","",IF(K44&lt;&gt;"Attended","N/A",IF(COUNTIFS('13 Effectiveness Review'!$B$6:$B$155,B44,'13 Effectiveness Review'!$C$6:$C$155,E44)&gt;0,"Reviewed",IF(V44&lt;TODAY(),"Overdue","Due"))))</x:f>
      </x:c>
      <x:c r="X44" s="92"/>
      <x:c r="Y44" s="92"/>
      <x:c r="Z44" s="92"/>
      <x:c r="AA44" s="85" t="str">
        <x:f>IF(E44="","",E44&amp;"|"&amp;COUNTIF($E$6:E44,E44))</x:f>
      </x:c>
      <x:c r="AB44" s="85" t="str">
        <x:f>IF(A44="","",A44)</x:f>
      </x:c>
      <x:c r="AC44" s="85" t="str">
        <x:f>IF(A44="","",B44)</x:f>
      </x:c>
      <x:c r="AD44" s="85" t="str">
        <x:f>IF(A44="","",C44)</x:f>
      </x:c>
      <x:c r="AE44" s="85" t="str">
        <x:f>IF(A44="","",D44)</x:f>
      </x:c>
      <x:c r="AF44" s="85" t="str">
        <x:f>IF(A44="","",L44)</x:f>
      </x:c>
      <x:c r="AG44" s="85" t="str">
        <x:f>IF(A44="","",K44)</x:f>
      </x:c>
      <x:c r="AH44" s="85" t="str">
        <x:f>IF(A44="","",Q44)</x:f>
      </x:c>
      <x:c r="AI44" s="85" t="str">
        <x:f>IF(A44="","",R44)</x:f>
      </x:c>
      <x:c r="AJ44" s="85" t="str">
        <x:f>IF(A44="","",U44)</x:f>
      </x:c>
      <x:c r="AK44" s="85" t="str">
        <x:f>IF(A44="","",W44)</x:f>
      </x:c>
      <x:c r="AL44" s="85" t="str">
        <x:f>IFERROR(IF(A44="","",Y44),"")</x:f>
      </x:c>
      <x:c r="AM44" s="85" t="str">
        <x:f>IFERROR(IF(A44="","",Z44),"")</x:f>
      </x:c>
    </x:row>
    <x:row r="45">
      <x:c r="A45" s="92"/>
      <x:c r="B45" s="92"/>
      <x:c r="C45" s="94" t="str">
        <x:f>IFERROR(VLOOKUP(B45,'06 Training Register'!$A$6:$Y$55,3,FALSE),"")</x:f>
      </x:c>
      <x:c r="D45" s="102" t="str">
        <x:f>IF(B45="","",IFERROR(IF(VLOOKUP(B45,'06 Training Register'!$A$6:$Y$55,15,FALSE)&gt;0,VLOOKUP(B45,'06 Training Register'!$A$6:$Y$55,15,FALSE),VLOOKUP(B45,'06 Training Register'!$A$6:$Y$55,12,FALSE)),""))</x:f>
      </x:c>
      <x:c r="E45" s="92"/>
      <x:c r="F45" s="94" t="str">
        <x:f>IFERROR(VLOOKUP(E45,'01 Staff Master'!$A$6:$M$105,2,FALSE),"")</x:f>
      </x:c>
      <x:c r="G45" s="94" t="str">
        <x:f>IFERROR(VLOOKUP(E45,'01 Staff Master'!$A$6:$M$105,3,FALSE),"")</x:f>
      </x:c>
      <x:c r="H45" s="94" t="str">
        <x:f>IFERROR(VLOOKUP(E45,'01 Staff Master'!$A$6:$M$105,5,FALSE),"")</x:f>
      </x:c>
      <x:c r="I45" s="94" t="str">
        <x:f>IFERROR(VLOOKUP(B45,'06 Training Register'!$A$6:$Y$55,4,FALSE),"")</x:f>
      </x:c>
      <x:c r="J45" s="92"/>
      <x:c r="K45" s="92"/>
      <x:c r="L45" s="92"/>
      <x:c r="M45" s="103"/>
      <x:c r="N45" s="103"/>
      <x:c r="O45" s="104" t="str">
        <x:f>IF(OR(M45="",N45=""),"",N45-M45)</x:f>
      </x:c>
      <x:c r="P45" s="103"/>
      <x:c r="Q45" s="94" t="str">
        <x:f>IF(OR(N45="",P45=""),"",IF(N45&gt;=P45,"Pass","Not Yet"))</x:f>
      </x:c>
      <x:c r="R45" s="92"/>
      <x:c r="S45" s="93"/>
      <x:c r="T45" s="102" t="str">
        <x:f>IF(OR(D45="",K45&lt;&gt;"Attended"),"",D45+3)</x:f>
      </x:c>
      <x:c r="U45" s="94" t="str">
        <x:f>IF(A45="","",IF(K45&lt;&gt;"Attended","N/A",IF(COUNTIFS('12 Training Evaluation'!$B$6:$B$155,B45,'12 Training Evaluation'!$C$6:$C$155,E45,'12 Training Evaluation'!$W$6:$W$155,"Complete")&gt;0,"Complete","Pending")))</x:f>
      </x:c>
      <x:c r="V45" s="102" t="str">
        <x:f>IF(OR(D45="",K45&lt;&gt;"Attended"),"",D45+30)</x:f>
      </x:c>
      <x:c r="W45" s="94" t="str">
        <x:f>IF(A45="","",IF(K45&lt;&gt;"Attended","N/A",IF(COUNTIFS('13 Effectiveness Review'!$B$6:$B$155,B45,'13 Effectiveness Review'!$C$6:$C$155,E45)&gt;0,"Reviewed",IF(V45&lt;TODAY(),"Overdue","Due"))))</x:f>
      </x:c>
      <x:c r="X45" s="92"/>
      <x:c r="Y45" s="92"/>
      <x:c r="Z45" s="92"/>
      <x:c r="AA45" s="85" t="str">
        <x:f>IF(E45="","",E45&amp;"|"&amp;COUNTIF($E$6:E45,E45))</x:f>
      </x:c>
      <x:c r="AB45" s="85" t="str">
        <x:f>IF(A45="","",A45)</x:f>
      </x:c>
      <x:c r="AC45" s="85" t="str">
        <x:f>IF(A45="","",B45)</x:f>
      </x:c>
      <x:c r="AD45" s="85" t="str">
        <x:f>IF(A45="","",C45)</x:f>
      </x:c>
      <x:c r="AE45" s="85" t="str">
        <x:f>IF(A45="","",D45)</x:f>
      </x:c>
      <x:c r="AF45" s="85" t="str">
        <x:f>IF(A45="","",L45)</x:f>
      </x:c>
      <x:c r="AG45" s="85" t="str">
        <x:f>IF(A45="","",K45)</x:f>
      </x:c>
      <x:c r="AH45" s="85" t="str">
        <x:f>IF(A45="","",Q45)</x:f>
      </x:c>
      <x:c r="AI45" s="85" t="str">
        <x:f>IF(A45="","",R45)</x:f>
      </x:c>
      <x:c r="AJ45" s="85" t="str">
        <x:f>IF(A45="","",U45)</x:f>
      </x:c>
      <x:c r="AK45" s="85" t="str">
        <x:f>IF(A45="","",W45)</x:f>
      </x:c>
      <x:c r="AL45" s="85" t="str">
        <x:f>IFERROR(IF(A45="","",Y45),"")</x:f>
      </x:c>
      <x:c r="AM45" s="85" t="str">
        <x:f>IFERROR(IF(A45="","",Z45),"")</x:f>
      </x:c>
    </x:row>
    <x:row r="46">
      <x:c r="A46" s="92"/>
      <x:c r="B46" s="92"/>
      <x:c r="C46" s="94" t="str">
        <x:f>IFERROR(VLOOKUP(B46,'06 Training Register'!$A$6:$Y$55,3,FALSE),"")</x:f>
      </x:c>
      <x:c r="D46" s="102" t="str">
        <x:f>IF(B46="","",IFERROR(IF(VLOOKUP(B46,'06 Training Register'!$A$6:$Y$55,15,FALSE)&gt;0,VLOOKUP(B46,'06 Training Register'!$A$6:$Y$55,15,FALSE),VLOOKUP(B46,'06 Training Register'!$A$6:$Y$55,12,FALSE)),""))</x:f>
      </x:c>
      <x:c r="E46" s="92"/>
      <x:c r="F46" s="94" t="str">
        <x:f>IFERROR(VLOOKUP(E46,'01 Staff Master'!$A$6:$M$105,2,FALSE),"")</x:f>
      </x:c>
      <x:c r="G46" s="94" t="str">
        <x:f>IFERROR(VLOOKUP(E46,'01 Staff Master'!$A$6:$M$105,3,FALSE),"")</x:f>
      </x:c>
      <x:c r="H46" s="94" t="str">
        <x:f>IFERROR(VLOOKUP(E46,'01 Staff Master'!$A$6:$M$105,5,FALSE),"")</x:f>
      </x:c>
      <x:c r="I46" s="94" t="str">
        <x:f>IFERROR(VLOOKUP(B46,'06 Training Register'!$A$6:$Y$55,4,FALSE),"")</x:f>
      </x:c>
      <x:c r="J46" s="92"/>
      <x:c r="K46" s="92"/>
      <x:c r="L46" s="92"/>
      <x:c r="M46" s="103"/>
      <x:c r="N46" s="103"/>
      <x:c r="O46" s="104" t="str">
        <x:f>IF(OR(M46="",N46=""),"",N46-M46)</x:f>
      </x:c>
      <x:c r="P46" s="103"/>
      <x:c r="Q46" s="94" t="str">
        <x:f>IF(OR(N46="",P46=""),"",IF(N46&gt;=P46,"Pass","Not Yet"))</x:f>
      </x:c>
      <x:c r="R46" s="92"/>
      <x:c r="S46" s="93"/>
      <x:c r="T46" s="102" t="str">
        <x:f>IF(OR(D46="",K46&lt;&gt;"Attended"),"",D46+3)</x:f>
      </x:c>
      <x:c r="U46" s="94" t="str">
        <x:f>IF(A46="","",IF(K46&lt;&gt;"Attended","N/A",IF(COUNTIFS('12 Training Evaluation'!$B$6:$B$155,B46,'12 Training Evaluation'!$C$6:$C$155,E46,'12 Training Evaluation'!$W$6:$W$155,"Complete")&gt;0,"Complete","Pending")))</x:f>
      </x:c>
      <x:c r="V46" s="102" t="str">
        <x:f>IF(OR(D46="",K46&lt;&gt;"Attended"),"",D46+30)</x:f>
      </x:c>
      <x:c r="W46" s="94" t="str">
        <x:f>IF(A46="","",IF(K46&lt;&gt;"Attended","N/A",IF(COUNTIFS('13 Effectiveness Review'!$B$6:$B$155,B46,'13 Effectiveness Review'!$C$6:$C$155,E46)&gt;0,"Reviewed",IF(V46&lt;TODAY(),"Overdue","Due"))))</x:f>
      </x:c>
      <x:c r="X46" s="92"/>
      <x:c r="Y46" s="92"/>
      <x:c r="Z46" s="92"/>
      <x:c r="AA46" s="85" t="str">
        <x:f>IF(E46="","",E46&amp;"|"&amp;COUNTIF($E$6:E46,E46))</x:f>
      </x:c>
      <x:c r="AB46" s="85" t="str">
        <x:f>IF(A46="","",A46)</x:f>
      </x:c>
      <x:c r="AC46" s="85" t="str">
        <x:f>IF(A46="","",B46)</x:f>
      </x:c>
      <x:c r="AD46" s="85" t="str">
        <x:f>IF(A46="","",C46)</x:f>
      </x:c>
      <x:c r="AE46" s="85" t="str">
        <x:f>IF(A46="","",D46)</x:f>
      </x:c>
      <x:c r="AF46" s="85" t="str">
        <x:f>IF(A46="","",L46)</x:f>
      </x:c>
      <x:c r="AG46" s="85" t="str">
        <x:f>IF(A46="","",K46)</x:f>
      </x:c>
      <x:c r="AH46" s="85" t="str">
        <x:f>IF(A46="","",Q46)</x:f>
      </x:c>
      <x:c r="AI46" s="85" t="str">
        <x:f>IF(A46="","",R46)</x:f>
      </x:c>
      <x:c r="AJ46" s="85" t="str">
        <x:f>IF(A46="","",U46)</x:f>
      </x:c>
      <x:c r="AK46" s="85" t="str">
        <x:f>IF(A46="","",W46)</x:f>
      </x:c>
      <x:c r="AL46" s="85" t="str">
        <x:f>IFERROR(IF(A46="","",Y46),"")</x:f>
      </x:c>
      <x:c r="AM46" s="85" t="str">
        <x:f>IFERROR(IF(A46="","",Z46),"")</x:f>
      </x:c>
    </x:row>
    <x:row r="47">
      <x:c r="A47" s="92"/>
      <x:c r="B47" s="92"/>
      <x:c r="C47" s="94" t="str">
        <x:f>IFERROR(VLOOKUP(B47,'06 Training Register'!$A$6:$Y$55,3,FALSE),"")</x:f>
      </x:c>
      <x:c r="D47" s="102" t="str">
        <x:f>IF(B47="","",IFERROR(IF(VLOOKUP(B47,'06 Training Register'!$A$6:$Y$55,15,FALSE)&gt;0,VLOOKUP(B47,'06 Training Register'!$A$6:$Y$55,15,FALSE),VLOOKUP(B47,'06 Training Register'!$A$6:$Y$55,12,FALSE)),""))</x:f>
      </x:c>
      <x:c r="E47" s="92"/>
      <x:c r="F47" s="94" t="str">
        <x:f>IFERROR(VLOOKUP(E47,'01 Staff Master'!$A$6:$M$105,2,FALSE),"")</x:f>
      </x:c>
      <x:c r="G47" s="94" t="str">
        <x:f>IFERROR(VLOOKUP(E47,'01 Staff Master'!$A$6:$M$105,3,FALSE),"")</x:f>
      </x:c>
      <x:c r="H47" s="94" t="str">
        <x:f>IFERROR(VLOOKUP(E47,'01 Staff Master'!$A$6:$M$105,5,FALSE),"")</x:f>
      </x:c>
      <x:c r="I47" s="94" t="str">
        <x:f>IFERROR(VLOOKUP(B47,'06 Training Register'!$A$6:$Y$55,4,FALSE),"")</x:f>
      </x:c>
      <x:c r="J47" s="92"/>
      <x:c r="K47" s="92"/>
      <x:c r="L47" s="92"/>
      <x:c r="M47" s="103"/>
      <x:c r="N47" s="103"/>
      <x:c r="O47" s="104" t="str">
        <x:f>IF(OR(M47="",N47=""),"",N47-M47)</x:f>
      </x:c>
      <x:c r="P47" s="103"/>
      <x:c r="Q47" s="94" t="str">
        <x:f>IF(OR(N47="",P47=""),"",IF(N47&gt;=P47,"Pass","Not Yet"))</x:f>
      </x:c>
      <x:c r="R47" s="92"/>
      <x:c r="S47" s="93"/>
      <x:c r="T47" s="102" t="str">
        <x:f>IF(OR(D47="",K47&lt;&gt;"Attended"),"",D47+3)</x:f>
      </x:c>
      <x:c r="U47" s="94" t="str">
        <x:f>IF(A47="","",IF(K47&lt;&gt;"Attended","N/A",IF(COUNTIFS('12 Training Evaluation'!$B$6:$B$155,B47,'12 Training Evaluation'!$C$6:$C$155,E47,'12 Training Evaluation'!$W$6:$W$155,"Complete")&gt;0,"Complete","Pending")))</x:f>
      </x:c>
      <x:c r="V47" s="102" t="str">
        <x:f>IF(OR(D47="",K47&lt;&gt;"Attended"),"",D47+30)</x:f>
      </x:c>
      <x:c r="W47" s="94" t="str">
        <x:f>IF(A47="","",IF(K47&lt;&gt;"Attended","N/A",IF(COUNTIFS('13 Effectiveness Review'!$B$6:$B$155,B47,'13 Effectiveness Review'!$C$6:$C$155,E47)&gt;0,"Reviewed",IF(V47&lt;TODAY(),"Overdue","Due"))))</x:f>
      </x:c>
      <x:c r="X47" s="92"/>
      <x:c r="Y47" s="92"/>
      <x:c r="Z47" s="92"/>
      <x:c r="AA47" s="85" t="str">
        <x:f>IF(E47="","",E47&amp;"|"&amp;COUNTIF($E$6:E47,E47))</x:f>
      </x:c>
      <x:c r="AB47" s="85" t="str">
        <x:f>IF(A47="","",A47)</x:f>
      </x:c>
      <x:c r="AC47" s="85" t="str">
        <x:f>IF(A47="","",B47)</x:f>
      </x:c>
      <x:c r="AD47" s="85" t="str">
        <x:f>IF(A47="","",C47)</x:f>
      </x:c>
      <x:c r="AE47" s="85" t="str">
        <x:f>IF(A47="","",D47)</x:f>
      </x:c>
      <x:c r="AF47" s="85" t="str">
        <x:f>IF(A47="","",L47)</x:f>
      </x:c>
      <x:c r="AG47" s="85" t="str">
        <x:f>IF(A47="","",K47)</x:f>
      </x:c>
      <x:c r="AH47" s="85" t="str">
        <x:f>IF(A47="","",Q47)</x:f>
      </x:c>
      <x:c r="AI47" s="85" t="str">
        <x:f>IF(A47="","",R47)</x:f>
      </x:c>
      <x:c r="AJ47" s="85" t="str">
        <x:f>IF(A47="","",U47)</x:f>
      </x:c>
      <x:c r="AK47" s="85" t="str">
        <x:f>IF(A47="","",W47)</x:f>
      </x:c>
      <x:c r="AL47" s="85" t="str">
        <x:f>IFERROR(IF(A47="","",Y47),"")</x:f>
      </x:c>
      <x:c r="AM47" s="85" t="str">
        <x:f>IFERROR(IF(A47="","",Z47),"")</x:f>
      </x:c>
    </x:row>
    <x:row r="48">
      <x:c r="A48" s="92"/>
      <x:c r="B48" s="92"/>
      <x:c r="C48" s="94" t="str">
        <x:f>IFERROR(VLOOKUP(B48,'06 Training Register'!$A$6:$Y$55,3,FALSE),"")</x:f>
      </x:c>
      <x:c r="D48" s="102" t="str">
        <x:f>IF(B48="","",IFERROR(IF(VLOOKUP(B48,'06 Training Register'!$A$6:$Y$55,15,FALSE)&gt;0,VLOOKUP(B48,'06 Training Register'!$A$6:$Y$55,15,FALSE),VLOOKUP(B48,'06 Training Register'!$A$6:$Y$55,12,FALSE)),""))</x:f>
      </x:c>
      <x:c r="E48" s="92"/>
      <x:c r="F48" s="94" t="str">
        <x:f>IFERROR(VLOOKUP(E48,'01 Staff Master'!$A$6:$M$105,2,FALSE),"")</x:f>
      </x:c>
      <x:c r="G48" s="94" t="str">
        <x:f>IFERROR(VLOOKUP(E48,'01 Staff Master'!$A$6:$M$105,3,FALSE),"")</x:f>
      </x:c>
      <x:c r="H48" s="94" t="str">
        <x:f>IFERROR(VLOOKUP(E48,'01 Staff Master'!$A$6:$M$105,5,FALSE),"")</x:f>
      </x:c>
      <x:c r="I48" s="94" t="str">
        <x:f>IFERROR(VLOOKUP(B48,'06 Training Register'!$A$6:$Y$55,4,FALSE),"")</x:f>
      </x:c>
      <x:c r="J48" s="92"/>
      <x:c r="K48" s="92"/>
      <x:c r="L48" s="92"/>
      <x:c r="M48" s="103"/>
      <x:c r="N48" s="103"/>
      <x:c r="O48" s="104" t="str">
        <x:f>IF(OR(M48="",N48=""),"",N48-M48)</x:f>
      </x:c>
      <x:c r="P48" s="103"/>
      <x:c r="Q48" s="94" t="str">
        <x:f>IF(OR(N48="",P48=""),"",IF(N48&gt;=P48,"Pass","Not Yet"))</x:f>
      </x:c>
      <x:c r="R48" s="92"/>
      <x:c r="S48" s="93"/>
      <x:c r="T48" s="102" t="str">
        <x:f>IF(OR(D48="",K48&lt;&gt;"Attended"),"",D48+3)</x:f>
      </x:c>
      <x:c r="U48" s="94" t="str">
        <x:f>IF(A48="","",IF(K48&lt;&gt;"Attended","N/A",IF(COUNTIFS('12 Training Evaluation'!$B$6:$B$155,B48,'12 Training Evaluation'!$C$6:$C$155,E48,'12 Training Evaluation'!$W$6:$W$155,"Complete")&gt;0,"Complete","Pending")))</x:f>
      </x:c>
      <x:c r="V48" s="102" t="str">
        <x:f>IF(OR(D48="",K48&lt;&gt;"Attended"),"",D48+30)</x:f>
      </x:c>
      <x:c r="W48" s="94" t="str">
        <x:f>IF(A48="","",IF(K48&lt;&gt;"Attended","N/A",IF(COUNTIFS('13 Effectiveness Review'!$B$6:$B$155,B48,'13 Effectiveness Review'!$C$6:$C$155,E48)&gt;0,"Reviewed",IF(V48&lt;TODAY(),"Overdue","Due"))))</x:f>
      </x:c>
      <x:c r="X48" s="92"/>
      <x:c r="Y48" s="92"/>
      <x:c r="Z48" s="92"/>
      <x:c r="AA48" s="85" t="str">
        <x:f>IF(E48="","",E48&amp;"|"&amp;COUNTIF($E$6:E48,E48))</x:f>
      </x:c>
      <x:c r="AB48" s="85" t="str">
        <x:f>IF(A48="","",A48)</x:f>
      </x:c>
      <x:c r="AC48" s="85" t="str">
        <x:f>IF(A48="","",B48)</x:f>
      </x:c>
      <x:c r="AD48" s="85" t="str">
        <x:f>IF(A48="","",C48)</x:f>
      </x:c>
      <x:c r="AE48" s="85" t="str">
        <x:f>IF(A48="","",D48)</x:f>
      </x:c>
      <x:c r="AF48" s="85" t="str">
        <x:f>IF(A48="","",L48)</x:f>
      </x:c>
      <x:c r="AG48" s="85" t="str">
        <x:f>IF(A48="","",K48)</x:f>
      </x:c>
      <x:c r="AH48" s="85" t="str">
        <x:f>IF(A48="","",Q48)</x:f>
      </x:c>
      <x:c r="AI48" s="85" t="str">
        <x:f>IF(A48="","",R48)</x:f>
      </x:c>
      <x:c r="AJ48" s="85" t="str">
        <x:f>IF(A48="","",U48)</x:f>
      </x:c>
      <x:c r="AK48" s="85" t="str">
        <x:f>IF(A48="","",W48)</x:f>
      </x:c>
      <x:c r="AL48" s="85" t="str">
        <x:f>IFERROR(IF(A48="","",Y48),"")</x:f>
      </x:c>
      <x:c r="AM48" s="85" t="str">
        <x:f>IFERROR(IF(A48="","",Z48),"")</x:f>
      </x:c>
    </x:row>
    <x:row r="49">
      <x:c r="A49" s="92"/>
      <x:c r="B49" s="92"/>
      <x:c r="C49" s="94" t="str">
        <x:f>IFERROR(VLOOKUP(B49,'06 Training Register'!$A$6:$Y$55,3,FALSE),"")</x:f>
      </x:c>
      <x:c r="D49" s="102" t="str">
        <x:f>IF(B49="","",IFERROR(IF(VLOOKUP(B49,'06 Training Register'!$A$6:$Y$55,15,FALSE)&gt;0,VLOOKUP(B49,'06 Training Register'!$A$6:$Y$55,15,FALSE),VLOOKUP(B49,'06 Training Register'!$A$6:$Y$55,12,FALSE)),""))</x:f>
      </x:c>
      <x:c r="E49" s="92"/>
      <x:c r="F49" s="94" t="str">
        <x:f>IFERROR(VLOOKUP(E49,'01 Staff Master'!$A$6:$M$105,2,FALSE),"")</x:f>
      </x:c>
      <x:c r="G49" s="94" t="str">
        <x:f>IFERROR(VLOOKUP(E49,'01 Staff Master'!$A$6:$M$105,3,FALSE),"")</x:f>
      </x:c>
      <x:c r="H49" s="94" t="str">
        <x:f>IFERROR(VLOOKUP(E49,'01 Staff Master'!$A$6:$M$105,5,FALSE),"")</x:f>
      </x:c>
      <x:c r="I49" s="94" t="str">
        <x:f>IFERROR(VLOOKUP(B49,'06 Training Register'!$A$6:$Y$55,4,FALSE),"")</x:f>
      </x:c>
      <x:c r="J49" s="92"/>
      <x:c r="K49" s="92"/>
      <x:c r="L49" s="92"/>
      <x:c r="M49" s="103"/>
      <x:c r="N49" s="103"/>
      <x:c r="O49" s="104" t="str">
        <x:f>IF(OR(M49="",N49=""),"",N49-M49)</x:f>
      </x:c>
      <x:c r="P49" s="103"/>
      <x:c r="Q49" s="94" t="str">
        <x:f>IF(OR(N49="",P49=""),"",IF(N49&gt;=P49,"Pass","Not Yet"))</x:f>
      </x:c>
      <x:c r="R49" s="92"/>
      <x:c r="S49" s="93"/>
      <x:c r="T49" s="102" t="str">
        <x:f>IF(OR(D49="",K49&lt;&gt;"Attended"),"",D49+3)</x:f>
      </x:c>
      <x:c r="U49" s="94" t="str">
        <x:f>IF(A49="","",IF(K49&lt;&gt;"Attended","N/A",IF(COUNTIFS('12 Training Evaluation'!$B$6:$B$155,B49,'12 Training Evaluation'!$C$6:$C$155,E49,'12 Training Evaluation'!$W$6:$W$155,"Complete")&gt;0,"Complete","Pending")))</x:f>
      </x:c>
      <x:c r="V49" s="102" t="str">
        <x:f>IF(OR(D49="",K49&lt;&gt;"Attended"),"",D49+30)</x:f>
      </x:c>
      <x:c r="W49" s="94" t="str">
        <x:f>IF(A49="","",IF(K49&lt;&gt;"Attended","N/A",IF(COUNTIFS('13 Effectiveness Review'!$B$6:$B$155,B49,'13 Effectiveness Review'!$C$6:$C$155,E49)&gt;0,"Reviewed",IF(V49&lt;TODAY(),"Overdue","Due"))))</x:f>
      </x:c>
      <x:c r="X49" s="92"/>
      <x:c r="Y49" s="92"/>
      <x:c r="Z49" s="92"/>
      <x:c r="AA49" s="85" t="str">
        <x:f>IF(E49="","",E49&amp;"|"&amp;COUNTIF($E$6:E49,E49))</x:f>
      </x:c>
      <x:c r="AB49" s="85" t="str">
        <x:f>IF(A49="","",A49)</x:f>
      </x:c>
      <x:c r="AC49" s="85" t="str">
        <x:f>IF(A49="","",B49)</x:f>
      </x:c>
      <x:c r="AD49" s="85" t="str">
        <x:f>IF(A49="","",C49)</x:f>
      </x:c>
      <x:c r="AE49" s="85" t="str">
        <x:f>IF(A49="","",D49)</x:f>
      </x:c>
      <x:c r="AF49" s="85" t="str">
        <x:f>IF(A49="","",L49)</x:f>
      </x:c>
      <x:c r="AG49" s="85" t="str">
        <x:f>IF(A49="","",K49)</x:f>
      </x:c>
      <x:c r="AH49" s="85" t="str">
        <x:f>IF(A49="","",Q49)</x:f>
      </x:c>
      <x:c r="AI49" s="85" t="str">
        <x:f>IF(A49="","",R49)</x:f>
      </x:c>
      <x:c r="AJ49" s="85" t="str">
        <x:f>IF(A49="","",U49)</x:f>
      </x:c>
      <x:c r="AK49" s="85" t="str">
        <x:f>IF(A49="","",W49)</x:f>
      </x:c>
      <x:c r="AL49" s="85" t="str">
        <x:f>IFERROR(IF(A49="","",Y49),"")</x:f>
      </x:c>
      <x:c r="AM49" s="85" t="str">
        <x:f>IFERROR(IF(A49="","",Z49),"")</x:f>
      </x:c>
    </x:row>
    <x:row r="50">
      <x:c r="A50" s="92"/>
      <x:c r="B50" s="92"/>
      <x:c r="C50" s="94" t="str">
        <x:f>IFERROR(VLOOKUP(B50,'06 Training Register'!$A$6:$Y$55,3,FALSE),"")</x:f>
      </x:c>
      <x:c r="D50" s="102" t="str">
        <x:f>IF(B50="","",IFERROR(IF(VLOOKUP(B50,'06 Training Register'!$A$6:$Y$55,15,FALSE)&gt;0,VLOOKUP(B50,'06 Training Register'!$A$6:$Y$55,15,FALSE),VLOOKUP(B50,'06 Training Register'!$A$6:$Y$55,12,FALSE)),""))</x:f>
      </x:c>
      <x:c r="E50" s="92"/>
      <x:c r="F50" s="94" t="str">
        <x:f>IFERROR(VLOOKUP(E50,'01 Staff Master'!$A$6:$M$105,2,FALSE),"")</x:f>
      </x:c>
      <x:c r="G50" s="94" t="str">
        <x:f>IFERROR(VLOOKUP(E50,'01 Staff Master'!$A$6:$M$105,3,FALSE),"")</x:f>
      </x:c>
      <x:c r="H50" s="94" t="str">
        <x:f>IFERROR(VLOOKUP(E50,'01 Staff Master'!$A$6:$M$105,5,FALSE),"")</x:f>
      </x:c>
      <x:c r="I50" s="94" t="str">
        <x:f>IFERROR(VLOOKUP(B50,'06 Training Register'!$A$6:$Y$55,4,FALSE),"")</x:f>
      </x:c>
      <x:c r="J50" s="92"/>
      <x:c r="K50" s="92"/>
      <x:c r="L50" s="92"/>
      <x:c r="M50" s="103"/>
      <x:c r="N50" s="103"/>
      <x:c r="O50" s="104" t="str">
        <x:f>IF(OR(M50="",N50=""),"",N50-M50)</x:f>
      </x:c>
      <x:c r="P50" s="103"/>
      <x:c r="Q50" s="94" t="str">
        <x:f>IF(OR(N50="",P50=""),"",IF(N50&gt;=P50,"Pass","Not Yet"))</x:f>
      </x:c>
      <x:c r="R50" s="92"/>
      <x:c r="S50" s="93"/>
      <x:c r="T50" s="102" t="str">
        <x:f>IF(OR(D50="",K50&lt;&gt;"Attended"),"",D50+3)</x:f>
      </x:c>
      <x:c r="U50" s="94" t="str">
        <x:f>IF(A50="","",IF(K50&lt;&gt;"Attended","N/A",IF(COUNTIFS('12 Training Evaluation'!$B$6:$B$155,B50,'12 Training Evaluation'!$C$6:$C$155,E50,'12 Training Evaluation'!$W$6:$W$155,"Complete")&gt;0,"Complete","Pending")))</x:f>
      </x:c>
      <x:c r="V50" s="102" t="str">
        <x:f>IF(OR(D50="",K50&lt;&gt;"Attended"),"",D50+30)</x:f>
      </x:c>
      <x:c r="W50" s="94" t="str">
        <x:f>IF(A50="","",IF(K50&lt;&gt;"Attended","N/A",IF(COUNTIFS('13 Effectiveness Review'!$B$6:$B$155,B50,'13 Effectiveness Review'!$C$6:$C$155,E50)&gt;0,"Reviewed",IF(V50&lt;TODAY(),"Overdue","Due"))))</x:f>
      </x:c>
      <x:c r="X50" s="92"/>
      <x:c r="Y50" s="92"/>
      <x:c r="Z50" s="92"/>
      <x:c r="AA50" s="85" t="str">
        <x:f>IF(E50="","",E50&amp;"|"&amp;COUNTIF($E$6:E50,E50))</x:f>
      </x:c>
      <x:c r="AB50" s="85" t="str">
        <x:f>IF(A50="","",A50)</x:f>
      </x:c>
      <x:c r="AC50" s="85" t="str">
        <x:f>IF(A50="","",B50)</x:f>
      </x:c>
      <x:c r="AD50" s="85" t="str">
        <x:f>IF(A50="","",C50)</x:f>
      </x:c>
      <x:c r="AE50" s="85" t="str">
        <x:f>IF(A50="","",D50)</x:f>
      </x:c>
      <x:c r="AF50" s="85" t="str">
        <x:f>IF(A50="","",L50)</x:f>
      </x:c>
      <x:c r="AG50" s="85" t="str">
        <x:f>IF(A50="","",K50)</x:f>
      </x:c>
      <x:c r="AH50" s="85" t="str">
        <x:f>IF(A50="","",Q50)</x:f>
      </x:c>
      <x:c r="AI50" s="85" t="str">
        <x:f>IF(A50="","",R50)</x:f>
      </x:c>
      <x:c r="AJ50" s="85" t="str">
        <x:f>IF(A50="","",U50)</x:f>
      </x:c>
      <x:c r="AK50" s="85" t="str">
        <x:f>IF(A50="","",W50)</x:f>
      </x:c>
      <x:c r="AL50" s="85" t="str">
        <x:f>IFERROR(IF(A50="","",Y50),"")</x:f>
      </x:c>
      <x:c r="AM50" s="85" t="str">
        <x:f>IFERROR(IF(A50="","",Z50),"")</x:f>
      </x:c>
    </x:row>
    <x:row r="51">
      <x:c r="A51" s="92"/>
      <x:c r="B51" s="92"/>
      <x:c r="C51" s="94" t="str">
        <x:f>IFERROR(VLOOKUP(B51,'06 Training Register'!$A$6:$Y$55,3,FALSE),"")</x:f>
      </x:c>
      <x:c r="D51" s="102" t="str">
        <x:f>IF(B51="","",IFERROR(IF(VLOOKUP(B51,'06 Training Register'!$A$6:$Y$55,15,FALSE)&gt;0,VLOOKUP(B51,'06 Training Register'!$A$6:$Y$55,15,FALSE),VLOOKUP(B51,'06 Training Register'!$A$6:$Y$55,12,FALSE)),""))</x:f>
      </x:c>
      <x:c r="E51" s="92"/>
      <x:c r="F51" s="94" t="str">
        <x:f>IFERROR(VLOOKUP(E51,'01 Staff Master'!$A$6:$M$105,2,FALSE),"")</x:f>
      </x:c>
      <x:c r="G51" s="94" t="str">
        <x:f>IFERROR(VLOOKUP(E51,'01 Staff Master'!$A$6:$M$105,3,FALSE),"")</x:f>
      </x:c>
      <x:c r="H51" s="94" t="str">
        <x:f>IFERROR(VLOOKUP(E51,'01 Staff Master'!$A$6:$M$105,5,FALSE),"")</x:f>
      </x:c>
      <x:c r="I51" s="94" t="str">
        <x:f>IFERROR(VLOOKUP(B51,'06 Training Register'!$A$6:$Y$55,4,FALSE),"")</x:f>
      </x:c>
      <x:c r="J51" s="92"/>
      <x:c r="K51" s="92"/>
      <x:c r="L51" s="92"/>
      <x:c r="M51" s="103"/>
      <x:c r="N51" s="103"/>
      <x:c r="O51" s="104" t="str">
        <x:f>IF(OR(M51="",N51=""),"",N51-M51)</x:f>
      </x:c>
      <x:c r="P51" s="103"/>
      <x:c r="Q51" s="94" t="str">
        <x:f>IF(OR(N51="",P51=""),"",IF(N51&gt;=P51,"Pass","Not Yet"))</x:f>
      </x:c>
      <x:c r="R51" s="92"/>
      <x:c r="S51" s="93"/>
      <x:c r="T51" s="102" t="str">
        <x:f>IF(OR(D51="",K51&lt;&gt;"Attended"),"",D51+3)</x:f>
      </x:c>
      <x:c r="U51" s="94" t="str">
        <x:f>IF(A51="","",IF(K51&lt;&gt;"Attended","N/A",IF(COUNTIFS('12 Training Evaluation'!$B$6:$B$155,B51,'12 Training Evaluation'!$C$6:$C$155,E51,'12 Training Evaluation'!$W$6:$W$155,"Complete")&gt;0,"Complete","Pending")))</x:f>
      </x:c>
      <x:c r="V51" s="102" t="str">
        <x:f>IF(OR(D51="",K51&lt;&gt;"Attended"),"",D51+30)</x:f>
      </x:c>
      <x:c r="W51" s="94" t="str">
        <x:f>IF(A51="","",IF(K51&lt;&gt;"Attended","N/A",IF(COUNTIFS('13 Effectiveness Review'!$B$6:$B$155,B51,'13 Effectiveness Review'!$C$6:$C$155,E51)&gt;0,"Reviewed",IF(V51&lt;TODAY(),"Overdue","Due"))))</x:f>
      </x:c>
      <x:c r="X51" s="92"/>
      <x:c r="Y51" s="92"/>
      <x:c r="Z51" s="92"/>
      <x:c r="AA51" s="85" t="str">
        <x:f>IF(E51="","",E51&amp;"|"&amp;COUNTIF($E$6:E51,E51))</x:f>
      </x:c>
      <x:c r="AB51" s="85" t="str">
        <x:f>IF(A51="","",A51)</x:f>
      </x:c>
      <x:c r="AC51" s="85" t="str">
        <x:f>IF(A51="","",B51)</x:f>
      </x:c>
      <x:c r="AD51" s="85" t="str">
        <x:f>IF(A51="","",C51)</x:f>
      </x:c>
      <x:c r="AE51" s="85" t="str">
        <x:f>IF(A51="","",D51)</x:f>
      </x:c>
      <x:c r="AF51" s="85" t="str">
        <x:f>IF(A51="","",L51)</x:f>
      </x:c>
      <x:c r="AG51" s="85" t="str">
        <x:f>IF(A51="","",K51)</x:f>
      </x:c>
      <x:c r="AH51" s="85" t="str">
        <x:f>IF(A51="","",Q51)</x:f>
      </x:c>
      <x:c r="AI51" s="85" t="str">
        <x:f>IF(A51="","",R51)</x:f>
      </x:c>
      <x:c r="AJ51" s="85" t="str">
        <x:f>IF(A51="","",U51)</x:f>
      </x:c>
      <x:c r="AK51" s="85" t="str">
        <x:f>IF(A51="","",W51)</x:f>
      </x:c>
      <x:c r="AL51" s="85" t="str">
        <x:f>IFERROR(IF(A51="","",Y51),"")</x:f>
      </x:c>
      <x:c r="AM51" s="85" t="str">
        <x:f>IFERROR(IF(A51="","",Z51),"")</x:f>
      </x:c>
    </x:row>
    <x:row r="52">
      <x:c r="A52" s="92"/>
      <x:c r="B52" s="92"/>
      <x:c r="C52" s="94" t="str">
        <x:f>IFERROR(VLOOKUP(B52,'06 Training Register'!$A$6:$Y$55,3,FALSE),"")</x:f>
      </x:c>
      <x:c r="D52" s="102" t="str">
        <x:f>IF(B52="","",IFERROR(IF(VLOOKUP(B52,'06 Training Register'!$A$6:$Y$55,15,FALSE)&gt;0,VLOOKUP(B52,'06 Training Register'!$A$6:$Y$55,15,FALSE),VLOOKUP(B52,'06 Training Register'!$A$6:$Y$55,12,FALSE)),""))</x:f>
      </x:c>
      <x:c r="E52" s="92"/>
      <x:c r="F52" s="94" t="str">
        <x:f>IFERROR(VLOOKUP(E52,'01 Staff Master'!$A$6:$M$105,2,FALSE),"")</x:f>
      </x:c>
      <x:c r="G52" s="94" t="str">
        <x:f>IFERROR(VLOOKUP(E52,'01 Staff Master'!$A$6:$M$105,3,FALSE),"")</x:f>
      </x:c>
      <x:c r="H52" s="94" t="str">
        <x:f>IFERROR(VLOOKUP(E52,'01 Staff Master'!$A$6:$M$105,5,FALSE),"")</x:f>
      </x:c>
      <x:c r="I52" s="94" t="str">
        <x:f>IFERROR(VLOOKUP(B52,'06 Training Register'!$A$6:$Y$55,4,FALSE),"")</x:f>
      </x:c>
      <x:c r="J52" s="92"/>
      <x:c r="K52" s="92"/>
      <x:c r="L52" s="92"/>
      <x:c r="M52" s="103"/>
      <x:c r="N52" s="103"/>
      <x:c r="O52" s="104" t="str">
        <x:f>IF(OR(M52="",N52=""),"",N52-M52)</x:f>
      </x:c>
      <x:c r="P52" s="103"/>
      <x:c r="Q52" s="94" t="str">
        <x:f>IF(OR(N52="",P52=""),"",IF(N52&gt;=P52,"Pass","Not Yet"))</x:f>
      </x:c>
      <x:c r="R52" s="92"/>
      <x:c r="S52" s="93"/>
      <x:c r="T52" s="102" t="str">
        <x:f>IF(OR(D52="",K52&lt;&gt;"Attended"),"",D52+3)</x:f>
      </x:c>
      <x:c r="U52" s="94" t="str">
        <x:f>IF(A52="","",IF(K52&lt;&gt;"Attended","N/A",IF(COUNTIFS('12 Training Evaluation'!$B$6:$B$155,B52,'12 Training Evaluation'!$C$6:$C$155,E52,'12 Training Evaluation'!$W$6:$W$155,"Complete")&gt;0,"Complete","Pending")))</x:f>
      </x:c>
      <x:c r="V52" s="102" t="str">
        <x:f>IF(OR(D52="",K52&lt;&gt;"Attended"),"",D52+30)</x:f>
      </x:c>
      <x:c r="W52" s="94" t="str">
        <x:f>IF(A52="","",IF(K52&lt;&gt;"Attended","N/A",IF(COUNTIFS('13 Effectiveness Review'!$B$6:$B$155,B52,'13 Effectiveness Review'!$C$6:$C$155,E52)&gt;0,"Reviewed",IF(V52&lt;TODAY(),"Overdue","Due"))))</x:f>
      </x:c>
      <x:c r="X52" s="92"/>
      <x:c r="Y52" s="92"/>
      <x:c r="Z52" s="92"/>
      <x:c r="AA52" s="85" t="str">
        <x:f>IF(E52="","",E52&amp;"|"&amp;COUNTIF($E$6:E52,E52))</x:f>
      </x:c>
      <x:c r="AB52" s="85" t="str">
        <x:f>IF(A52="","",A52)</x:f>
      </x:c>
      <x:c r="AC52" s="85" t="str">
        <x:f>IF(A52="","",B52)</x:f>
      </x:c>
      <x:c r="AD52" s="85" t="str">
        <x:f>IF(A52="","",C52)</x:f>
      </x:c>
      <x:c r="AE52" s="85" t="str">
        <x:f>IF(A52="","",D52)</x:f>
      </x:c>
      <x:c r="AF52" s="85" t="str">
        <x:f>IF(A52="","",L52)</x:f>
      </x:c>
      <x:c r="AG52" s="85" t="str">
        <x:f>IF(A52="","",K52)</x:f>
      </x:c>
      <x:c r="AH52" s="85" t="str">
        <x:f>IF(A52="","",Q52)</x:f>
      </x:c>
      <x:c r="AI52" s="85" t="str">
        <x:f>IF(A52="","",R52)</x:f>
      </x:c>
      <x:c r="AJ52" s="85" t="str">
        <x:f>IF(A52="","",U52)</x:f>
      </x:c>
      <x:c r="AK52" s="85" t="str">
        <x:f>IF(A52="","",W52)</x:f>
      </x:c>
      <x:c r="AL52" s="85" t="str">
        <x:f>IFERROR(IF(A52="","",Y52),"")</x:f>
      </x:c>
      <x:c r="AM52" s="85" t="str">
        <x:f>IFERROR(IF(A52="","",Z52),"")</x:f>
      </x:c>
    </x:row>
    <x:row r="53">
      <x:c r="A53" s="92"/>
      <x:c r="B53" s="92"/>
      <x:c r="C53" s="94" t="str">
        <x:f>IFERROR(VLOOKUP(B53,'06 Training Register'!$A$6:$Y$55,3,FALSE),"")</x:f>
      </x:c>
      <x:c r="D53" s="102" t="str">
        <x:f>IF(B53="","",IFERROR(IF(VLOOKUP(B53,'06 Training Register'!$A$6:$Y$55,15,FALSE)&gt;0,VLOOKUP(B53,'06 Training Register'!$A$6:$Y$55,15,FALSE),VLOOKUP(B53,'06 Training Register'!$A$6:$Y$55,12,FALSE)),""))</x:f>
      </x:c>
      <x:c r="E53" s="92"/>
      <x:c r="F53" s="94" t="str">
        <x:f>IFERROR(VLOOKUP(E53,'01 Staff Master'!$A$6:$M$105,2,FALSE),"")</x:f>
      </x:c>
      <x:c r="G53" s="94" t="str">
        <x:f>IFERROR(VLOOKUP(E53,'01 Staff Master'!$A$6:$M$105,3,FALSE),"")</x:f>
      </x:c>
      <x:c r="H53" s="94" t="str">
        <x:f>IFERROR(VLOOKUP(E53,'01 Staff Master'!$A$6:$M$105,5,FALSE),"")</x:f>
      </x:c>
      <x:c r="I53" s="94" t="str">
        <x:f>IFERROR(VLOOKUP(B53,'06 Training Register'!$A$6:$Y$55,4,FALSE),"")</x:f>
      </x:c>
      <x:c r="J53" s="92"/>
      <x:c r="K53" s="92"/>
      <x:c r="L53" s="92"/>
      <x:c r="M53" s="103"/>
      <x:c r="N53" s="103"/>
      <x:c r="O53" s="104" t="str">
        <x:f>IF(OR(M53="",N53=""),"",N53-M53)</x:f>
      </x:c>
      <x:c r="P53" s="103"/>
      <x:c r="Q53" s="94" t="str">
        <x:f>IF(OR(N53="",P53=""),"",IF(N53&gt;=P53,"Pass","Not Yet"))</x:f>
      </x:c>
      <x:c r="R53" s="92"/>
      <x:c r="S53" s="93"/>
      <x:c r="T53" s="102" t="str">
        <x:f>IF(OR(D53="",K53&lt;&gt;"Attended"),"",D53+3)</x:f>
      </x:c>
      <x:c r="U53" s="94" t="str">
        <x:f>IF(A53="","",IF(K53&lt;&gt;"Attended","N/A",IF(COUNTIFS('12 Training Evaluation'!$B$6:$B$155,B53,'12 Training Evaluation'!$C$6:$C$155,E53,'12 Training Evaluation'!$W$6:$W$155,"Complete")&gt;0,"Complete","Pending")))</x:f>
      </x:c>
      <x:c r="V53" s="102" t="str">
        <x:f>IF(OR(D53="",K53&lt;&gt;"Attended"),"",D53+30)</x:f>
      </x:c>
      <x:c r="W53" s="94" t="str">
        <x:f>IF(A53="","",IF(K53&lt;&gt;"Attended","N/A",IF(COUNTIFS('13 Effectiveness Review'!$B$6:$B$155,B53,'13 Effectiveness Review'!$C$6:$C$155,E53)&gt;0,"Reviewed",IF(V53&lt;TODAY(),"Overdue","Due"))))</x:f>
      </x:c>
      <x:c r="X53" s="92"/>
      <x:c r="Y53" s="92"/>
      <x:c r="Z53" s="92"/>
      <x:c r="AA53" s="85" t="str">
        <x:f>IF(E53="","",E53&amp;"|"&amp;COUNTIF($E$6:E53,E53))</x:f>
      </x:c>
      <x:c r="AB53" s="85" t="str">
        <x:f>IF(A53="","",A53)</x:f>
      </x:c>
      <x:c r="AC53" s="85" t="str">
        <x:f>IF(A53="","",B53)</x:f>
      </x:c>
      <x:c r="AD53" s="85" t="str">
        <x:f>IF(A53="","",C53)</x:f>
      </x:c>
      <x:c r="AE53" s="85" t="str">
        <x:f>IF(A53="","",D53)</x:f>
      </x:c>
      <x:c r="AF53" s="85" t="str">
        <x:f>IF(A53="","",L53)</x:f>
      </x:c>
      <x:c r="AG53" s="85" t="str">
        <x:f>IF(A53="","",K53)</x:f>
      </x:c>
      <x:c r="AH53" s="85" t="str">
        <x:f>IF(A53="","",Q53)</x:f>
      </x:c>
      <x:c r="AI53" s="85" t="str">
        <x:f>IF(A53="","",R53)</x:f>
      </x:c>
      <x:c r="AJ53" s="85" t="str">
        <x:f>IF(A53="","",U53)</x:f>
      </x:c>
      <x:c r="AK53" s="85" t="str">
        <x:f>IF(A53="","",W53)</x:f>
      </x:c>
      <x:c r="AL53" s="85" t="str">
        <x:f>IFERROR(IF(A53="","",Y53),"")</x:f>
      </x:c>
      <x:c r="AM53" s="85" t="str">
        <x:f>IFERROR(IF(A53="","",Z53),"")</x:f>
      </x:c>
    </x:row>
    <x:row r="54">
      <x:c r="A54" s="92"/>
      <x:c r="B54" s="92"/>
      <x:c r="C54" s="94" t="str">
        <x:f>IFERROR(VLOOKUP(B54,'06 Training Register'!$A$6:$Y$55,3,FALSE),"")</x:f>
      </x:c>
      <x:c r="D54" s="102" t="str">
        <x:f>IF(B54="","",IFERROR(IF(VLOOKUP(B54,'06 Training Register'!$A$6:$Y$55,15,FALSE)&gt;0,VLOOKUP(B54,'06 Training Register'!$A$6:$Y$55,15,FALSE),VLOOKUP(B54,'06 Training Register'!$A$6:$Y$55,12,FALSE)),""))</x:f>
      </x:c>
      <x:c r="E54" s="92"/>
      <x:c r="F54" s="94" t="str">
        <x:f>IFERROR(VLOOKUP(E54,'01 Staff Master'!$A$6:$M$105,2,FALSE),"")</x:f>
      </x:c>
      <x:c r="G54" s="94" t="str">
        <x:f>IFERROR(VLOOKUP(E54,'01 Staff Master'!$A$6:$M$105,3,FALSE),"")</x:f>
      </x:c>
      <x:c r="H54" s="94" t="str">
        <x:f>IFERROR(VLOOKUP(E54,'01 Staff Master'!$A$6:$M$105,5,FALSE),"")</x:f>
      </x:c>
      <x:c r="I54" s="94" t="str">
        <x:f>IFERROR(VLOOKUP(B54,'06 Training Register'!$A$6:$Y$55,4,FALSE),"")</x:f>
      </x:c>
      <x:c r="J54" s="92"/>
      <x:c r="K54" s="92"/>
      <x:c r="L54" s="92"/>
      <x:c r="M54" s="103"/>
      <x:c r="N54" s="103"/>
      <x:c r="O54" s="104" t="str">
        <x:f>IF(OR(M54="",N54=""),"",N54-M54)</x:f>
      </x:c>
      <x:c r="P54" s="103"/>
      <x:c r="Q54" s="94" t="str">
        <x:f>IF(OR(N54="",P54=""),"",IF(N54&gt;=P54,"Pass","Not Yet"))</x:f>
      </x:c>
      <x:c r="R54" s="92"/>
      <x:c r="S54" s="93"/>
      <x:c r="T54" s="102" t="str">
        <x:f>IF(OR(D54="",K54&lt;&gt;"Attended"),"",D54+3)</x:f>
      </x:c>
      <x:c r="U54" s="94" t="str">
        <x:f>IF(A54="","",IF(K54&lt;&gt;"Attended","N/A",IF(COUNTIFS('12 Training Evaluation'!$B$6:$B$155,B54,'12 Training Evaluation'!$C$6:$C$155,E54,'12 Training Evaluation'!$W$6:$W$155,"Complete")&gt;0,"Complete","Pending")))</x:f>
      </x:c>
      <x:c r="V54" s="102" t="str">
        <x:f>IF(OR(D54="",K54&lt;&gt;"Attended"),"",D54+30)</x:f>
      </x:c>
      <x:c r="W54" s="94" t="str">
        <x:f>IF(A54="","",IF(K54&lt;&gt;"Attended","N/A",IF(COUNTIFS('13 Effectiveness Review'!$B$6:$B$155,B54,'13 Effectiveness Review'!$C$6:$C$155,E54)&gt;0,"Reviewed",IF(V54&lt;TODAY(),"Overdue","Due"))))</x:f>
      </x:c>
      <x:c r="X54" s="92"/>
      <x:c r="Y54" s="92"/>
      <x:c r="Z54" s="92"/>
      <x:c r="AA54" s="85" t="str">
        <x:f>IF(E54="","",E54&amp;"|"&amp;COUNTIF($E$6:E54,E54))</x:f>
      </x:c>
      <x:c r="AB54" s="85" t="str">
        <x:f>IF(A54="","",A54)</x:f>
      </x:c>
      <x:c r="AC54" s="85" t="str">
        <x:f>IF(A54="","",B54)</x:f>
      </x:c>
      <x:c r="AD54" s="85" t="str">
        <x:f>IF(A54="","",C54)</x:f>
      </x:c>
      <x:c r="AE54" s="85" t="str">
        <x:f>IF(A54="","",D54)</x:f>
      </x:c>
      <x:c r="AF54" s="85" t="str">
        <x:f>IF(A54="","",L54)</x:f>
      </x:c>
      <x:c r="AG54" s="85" t="str">
        <x:f>IF(A54="","",K54)</x:f>
      </x:c>
      <x:c r="AH54" s="85" t="str">
        <x:f>IF(A54="","",Q54)</x:f>
      </x:c>
      <x:c r="AI54" s="85" t="str">
        <x:f>IF(A54="","",R54)</x:f>
      </x:c>
      <x:c r="AJ54" s="85" t="str">
        <x:f>IF(A54="","",U54)</x:f>
      </x:c>
      <x:c r="AK54" s="85" t="str">
        <x:f>IF(A54="","",W54)</x:f>
      </x:c>
      <x:c r="AL54" s="85" t="str">
        <x:f>IFERROR(IF(A54="","",Y54),"")</x:f>
      </x:c>
      <x:c r="AM54" s="85" t="str">
        <x:f>IFERROR(IF(A54="","",Z54),"")</x:f>
      </x:c>
    </x:row>
    <x:row r="55">
      <x:c r="A55" s="92"/>
      <x:c r="B55" s="92"/>
      <x:c r="C55" s="94" t="str">
        <x:f>IFERROR(VLOOKUP(B55,'06 Training Register'!$A$6:$Y$55,3,FALSE),"")</x:f>
      </x:c>
      <x:c r="D55" s="102" t="str">
        <x:f>IF(B55="","",IFERROR(IF(VLOOKUP(B55,'06 Training Register'!$A$6:$Y$55,15,FALSE)&gt;0,VLOOKUP(B55,'06 Training Register'!$A$6:$Y$55,15,FALSE),VLOOKUP(B55,'06 Training Register'!$A$6:$Y$55,12,FALSE)),""))</x:f>
      </x:c>
      <x:c r="E55" s="92"/>
      <x:c r="F55" s="94" t="str">
        <x:f>IFERROR(VLOOKUP(E55,'01 Staff Master'!$A$6:$M$105,2,FALSE),"")</x:f>
      </x:c>
      <x:c r="G55" s="94" t="str">
        <x:f>IFERROR(VLOOKUP(E55,'01 Staff Master'!$A$6:$M$105,3,FALSE),"")</x:f>
      </x:c>
      <x:c r="H55" s="94" t="str">
        <x:f>IFERROR(VLOOKUP(E55,'01 Staff Master'!$A$6:$M$105,5,FALSE),"")</x:f>
      </x:c>
      <x:c r="I55" s="94" t="str">
        <x:f>IFERROR(VLOOKUP(B55,'06 Training Register'!$A$6:$Y$55,4,FALSE),"")</x:f>
      </x:c>
      <x:c r="J55" s="92"/>
      <x:c r="K55" s="92"/>
      <x:c r="L55" s="92"/>
      <x:c r="M55" s="103"/>
      <x:c r="N55" s="103"/>
      <x:c r="O55" s="104" t="str">
        <x:f>IF(OR(M55="",N55=""),"",N55-M55)</x:f>
      </x:c>
      <x:c r="P55" s="103"/>
      <x:c r="Q55" s="94" t="str">
        <x:f>IF(OR(N55="",P55=""),"",IF(N55&gt;=P55,"Pass","Not Yet"))</x:f>
      </x:c>
      <x:c r="R55" s="92"/>
      <x:c r="S55" s="93"/>
      <x:c r="T55" s="102" t="str">
        <x:f>IF(OR(D55="",K55&lt;&gt;"Attended"),"",D55+3)</x:f>
      </x:c>
      <x:c r="U55" s="94" t="str">
        <x:f>IF(A55="","",IF(K55&lt;&gt;"Attended","N/A",IF(COUNTIFS('12 Training Evaluation'!$B$6:$B$155,B55,'12 Training Evaluation'!$C$6:$C$155,E55,'12 Training Evaluation'!$W$6:$W$155,"Complete")&gt;0,"Complete","Pending")))</x:f>
      </x:c>
      <x:c r="V55" s="102" t="str">
        <x:f>IF(OR(D55="",K55&lt;&gt;"Attended"),"",D55+30)</x:f>
      </x:c>
      <x:c r="W55" s="94" t="str">
        <x:f>IF(A55="","",IF(K55&lt;&gt;"Attended","N/A",IF(COUNTIFS('13 Effectiveness Review'!$B$6:$B$155,B55,'13 Effectiveness Review'!$C$6:$C$155,E55)&gt;0,"Reviewed",IF(V55&lt;TODAY(),"Overdue","Due"))))</x:f>
      </x:c>
      <x:c r="X55" s="92"/>
      <x:c r="Y55" s="92"/>
      <x:c r="Z55" s="92"/>
      <x:c r="AA55" s="85" t="str">
        <x:f>IF(E55="","",E55&amp;"|"&amp;COUNTIF($E$6:E55,E55))</x:f>
      </x:c>
      <x:c r="AB55" s="85" t="str">
        <x:f>IF(A55="","",A55)</x:f>
      </x:c>
      <x:c r="AC55" s="85" t="str">
        <x:f>IF(A55="","",B55)</x:f>
      </x:c>
      <x:c r="AD55" s="85" t="str">
        <x:f>IF(A55="","",C55)</x:f>
      </x:c>
      <x:c r="AE55" s="85" t="str">
        <x:f>IF(A55="","",D55)</x:f>
      </x:c>
      <x:c r="AF55" s="85" t="str">
        <x:f>IF(A55="","",L55)</x:f>
      </x:c>
      <x:c r="AG55" s="85" t="str">
        <x:f>IF(A55="","",K55)</x:f>
      </x:c>
      <x:c r="AH55" s="85" t="str">
        <x:f>IF(A55="","",Q55)</x:f>
      </x:c>
      <x:c r="AI55" s="85" t="str">
        <x:f>IF(A55="","",R55)</x:f>
      </x:c>
      <x:c r="AJ55" s="85" t="str">
        <x:f>IF(A55="","",U55)</x:f>
      </x:c>
      <x:c r="AK55" s="85" t="str">
        <x:f>IF(A55="","",W55)</x:f>
      </x:c>
      <x:c r="AL55" s="85" t="str">
        <x:f>IFERROR(IF(A55="","",Y55),"")</x:f>
      </x:c>
      <x:c r="AM55" s="85" t="str">
        <x:f>IFERROR(IF(A55="","",Z55),"")</x:f>
      </x:c>
    </x:row>
    <x:row r="56">
      <x:c r="A56" s="92"/>
      <x:c r="B56" s="92"/>
      <x:c r="C56" s="94" t="str">
        <x:f>IFERROR(VLOOKUP(B56,'06 Training Register'!$A$6:$Y$55,3,FALSE),"")</x:f>
      </x:c>
      <x:c r="D56" s="102" t="str">
        <x:f>IF(B56="","",IFERROR(IF(VLOOKUP(B56,'06 Training Register'!$A$6:$Y$55,15,FALSE)&gt;0,VLOOKUP(B56,'06 Training Register'!$A$6:$Y$55,15,FALSE),VLOOKUP(B56,'06 Training Register'!$A$6:$Y$55,12,FALSE)),""))</x:f>
      </x:c>
      <x:c r="E56" s="92"/>
      <x:c r="F56" s="94" t="str">
        <x:f>IFERROR(VLOOKUP(E56,'01 Staff Master'!$A$6:$M$105,2,FALSE),"")</x:f>
      </x:c>
      <x:c r="G56" s="94" t="str">
        <x:f>IFERROR(VLOOKUP(E56,'01 Staff Master'!$A$6:$M$105,3,FALSE),"")</x:f>
      </x:c>
      <x:c r="H56" s="94" t="str">
        <x:f>IFERROR(VLOOKUP(E56,'01 Staff Master'!$A$6:$M$105,5,FALSE),"")</x:f>
      </x:c>
      <x:c r="I56" s="94" t="str">
        <x:f>IFERROR(VLOOKUP(B56,'06 Training Register'!$A$6:$Y$55,4,FALSE),"")</x:f>
      </x:c>
      <x:c r="J56" s="92"/>
      <x:c r="K56" s="92"/>
      <x:c r="L56" s="92"/>
      <x:c r="M56" s="103"/>
      <x:c r="N56" s="103"/>
      <x:c r="O56" s="104" t="str">
        <x:f>IF(OR(M56="",N56=""),"",N56-M56)</x:f>
      </x:c>
      <x:c r="P56" s="103"/>
      <x:c r="Q56" s="94" t="str">
        <x:f>IF(OR(N56="",P56=""),"",IF(N56&gt;=P56,"Pass","Not Yet"))</x:f>
      </x:c>
      <x:c r="R56" s="92"/>
      <x:c r="S56" s="93"/>
      <x:c r="T56" s="102" t="str">
        <x:f>IF(OR(D56="",K56&lt;&gt;"Attended"),"",D56+3)</x:f>
      </x:c>
      <x:c r="U56" s="94" t="str">
        <x:f>IF(A56="","",IF(K56&lt;&gt;"Attended","N/A",IF(COUNTIFS('12 Training Evaluation'!$B$6:$B$155,B56,'12 Training Evaluation'!$C$6:$C$155,E56,'12 Training Evaluation'!$W$6:$W$155,"Complete")&gt;0,"Complete","Pending")))</x:f>
      </x:c>
      <x:c r="V56" s="102" t="str">
        <x:f>IF(OR(D56="",K56&lt;&gt;"Attended"),"",D56+30)</x:f>
      </x:c>
      <x:c r="W56" s="94" t="str">
        <x:f>IF(A56="","",IF(K56&lt;&gt;"Attended","N/A",IF(COUNTIFS('13 Effectiveness Review'!$B$6:$B$155,B56,'13 Effectiveness Review'!$C$6:$C$155,E56)&gt;0,"Reviewed",IF(V56&lt;TODAY(),"Overdue","Due"))))</x:f>
      </x:c>
      <x:c r="X56" s="92"/>
      <x:c r="Y56" s="92"/>
      <x:c r="Z56" s="92"/>
      <x:c r="AA56" s="85" t="str">
        <x:f>IF(E56="","",E56&amp;"|"&amp;COUNTIF($E$6:E56,E56))</x:f>
      </x:c>
      <x:c r="AB56" s="85" t="str">
        <x:f>IF(A56="","",A56)</x:f>
      </x:c>
      <x:c r="AC56" s="85" t="str">
        <x:f>IF(A56="","",B56)</x:f>
      </x:c>
      <x:c r="AD56" s="85" t="str">
        <x:f>IF(A56="","",C56)</x:f>
      </x:c>
      <x:c r="AE56" s="85" t="str">
        <x:f>IF(A56="","",D56)</x:f>
      </x:c>
      <x:c r="AF56" s="85" t="str">
        <x:f>IF(A56="","",L56)</x:f>
      </x:c>
      <x:c r="AG56" s="85" t="str">
        <x:f>IF(A56="","",K56)</x:f>
      </x:c>
      <x:c r="AH56" s="85" t="str">
        <x:f>IF(A56="","",Q56)</x:f>
      </x:c>
      <x:c r="AI56" s="85" t="str">
        <x:f>IF(A56="","",R56)</x:f>
      </x:c>
      <x:c r="AJ56" s="85" t="str">
        <x:f>IF(A56="","",U56)</x:f>
      </x:c>
      <x:c r="AK56" s="85" t="str">
        <x:f>IF(A56="","",W56)</x:f>
      </x:c>
      <x:c r="AL56" s="85" t="str">
        <x:f>IFERROR(IF(A56="","",Y56),"")</x:f>
      </x:c>
      <x:c r="AM56" s="85" t="str">
        <x:f>IFERROR(IF(A56="","",Z56),"")</x:f>
      </x:c>
    </x:row>
    <x:row r="57">
      <x:c r="A57" s="92"/>
      <x:c r="B57" s="92"/>
      <x:c r="C57" s="94" t="str">
        <x:f>IFERROR(VLOOKUP(B57,'06 Training Register'!$A$6:$Y$55,3,FALSE),"")</x:f>
      </x:c>
      <x:c r="D57" s="102" t="str">
        <x:f>IF(B57="","",IFERROR(IF(VLOOKUP(B57,'06 Training Register'!$A$6:$Y$55,15,FALSE)&gt;0,VLOOKUP(B57,'06 Training Register'!$A$6:$Y$55,15,FALSE),VLOOKUP(B57,'06 Training Register'!$A$6:$Y$55,12,FALSE)),""))</x:f>
      </x:c>
      <x:c r="E57" s="92"/>
      <x:c r="F57" s="94" t="str">
        <x:f>IFERROR(VLOOKUP(E57,'01 Staff Master'!$A$6:$M$105,2,FALSE),"")</x:f>
      </x:c>
      <x:c r="G57" s="94" t="str">
        <x:f>IFERROR(VLOOKUP(E57,'01 Staff Master'!$A$6:$M$105,3,FALSE),"")</x:f>
      </x:c>
      <x:c r="H57" s="94" t="str">
        <x:f>IFERROR(VLOOKUP(E57,'01 Staff Master'!$A$6:$M$105,5,FALSE),"")</x:f>
      </x:c>
      <x:c r="I57" s="94" t="str">
        <x:f>IFERROR(VLOOKUP(B57,'06 Training Register'!$A$6:$Y$55,4,FALSE),"")</x:f>
      </x:c>
      <x:c r="J57" s="92"/>
      <x:c r="K57" s="92"/>
      <x:c r="L57" s="92"/>
      <x:c r="M57" s="103"/>
      <x:c r="N57" s="103"/>
      <x:c r="O57" s="104" t="str">
        <x:f>IF(OR(M57="",N57=""),"",N57-M57)</x:f>
      </x:c>
      <x:c r="P57" s="103"/>
      <x:c r="Q57" s="94" t="str">
        <x:f>IF(OR(N57="",P57=""),"",IF(N57&gt;=P57,"Pass","Not Yet"))</x:f>
      </x:c>
      <x:c r="R57" s="92"/>
      <x:c r="S57" s="93"/>
      <x:c r="T57" s="102" t="str">
        <x:f>IF(OR(D57="",K57&lt;&gt;"Attended"),"",D57+3)</x:f>
      </x:c>
      <x:c r="U57" s="94" t="str">
        <x:f>IF(A57="","",IF(K57&lt;&gt;"Attended","N/A",IF(COUNTIFS('12 Training Evaluation'!$B$6:$B$155,B57,'12 Training Evaluation'!$C$6:$C$155,E57,'12 Training Evaluation'!$W$6:$W$155,"Complete")&gt;0,"Complete","Pending")))</x:f>
      </x:c>
      <x:c r="V57" s="102" t="str">
        <x:f>IF(OR(D57="",K57&lt;&gt;"Attended"),"",D57+30)</x:f>
      </x:c>
      <x:c r="W57" s="94" t="str">
        <x:f>IF(A57="","",IF(K57&lt;&gt;"Attended","N/A",IF(COUNTIFS('13 Effectiveness Review'!$B$6:$B$155,B57,'13 Effectiveness Review'!$C$6:$C$155,E57)&gt;0,"Reviewed",IF(V57&lt;TODAY(),"Overdue","Due"))))</x:f>
      </x:c>
      <x:c r="X57" s="92"/>
      <x:c r="Y57" s="92"/>
      <x:c r="Z57" s="92"/>
      <x:c r="AA57" s="85" t="str">
        <x:f>IF(E57="","",E57&amp;"|"&amp;COUNTIF($E$6:E57,E57))</x:f>
      </x:c>
      <x:c r="AB57" s="85" t="str">
        <x:f>IF(A57="","",A57)</x:f>
      </x:c>
      <x:c r="AC57" s="85" t="str">
        <x:f>IF(A57="","",B57)</x:f>
      </x:c>
      <x:c r="AD57" s="85" t="str">
        <x:f>IF(A57="","",C57)</x:f>
      </x:c>
      <x:c r="AE57" s="85" t="str">
        <x:f>IF(A57="","",D57)</x:f>
      </x:c>
      <x:c r="AF57" s="85" t="str">
        <x:f>IF(A57="","",L57)</x:f>
      </x:c>
      <x:c r="AG57" s="85" t="str">
        <x:f>IF(A57="","",K57)</x:f>
      </x:c>
      <x:c r="AH57" s="85" t="str">
        <x:f>IF(A57="","",Q57)</x:f>
      </x:c>
      <x:c r="AI57" s="85" t="str">
        <x:f>IF(A57="","",R57)</x:f>
      </x:c>
      <x:c r="AJ57" s="85" t="str">
        <x:f>IF(A57="","",U57)</x:f>
      </x:c>
      <x:c r="AK57" s="85" t="str">
        <x:f>IF(A57="","",W57)</x:f>
      </x:c>
      <x:c r="AL57" s="85" t="str">
        <x:f>IFERROR(IF(A57="","",Y57),"")</x:f>
      </x:c>
      <x:c r="AM57" s="85" t="str">
        <x:f>IFERROR(IF(A57="","",Z57),"")</x:f>
      </x:c>
    </x:row>
    <x:row r="58">
      <x:c r="A58" s="92"/>
      <x:c r="B58" s="92"/>
      <x:c r="C58" s="94" t="str">
        <x:f>IFERROR(VLOOKUP(B58,'06 Training Register'!$A$6:$Y$55,3,FALSE),"")</x:f>
      </x:c>
      <x:c r="D58" s="102" t="str">
        <x:f>IF(B58="","",IFERROR(IF(VLOOKUP(B58,'06 Training Register'!$A$6:$Y$55,15,FALSE)&gt;0,VLOOKUP(B58,'06 Training Register'!$A$6:$Y$55,15,FALSE),VLOOKUP(B58,'06 Training Register'!$A$6:$Y$55,12,FALSE)),""))</x:f>
      </x:c>
      <x:c r="E58" s="92"/>
      <x:c r="F58" s="94" t="str">
        <x:f>IFERROR(VLOOKUP(E58,'01 Staff Master'!$A$6:$M$105,2,FALSE),"")</x:f>
      </x:c>
      <x:c r="G58" s="94" t="str">
        <x:f>IFERROR(VLOOKUP(E58,'01 Staff Master'!$A$6:$M$105,3,FALSE),"")</x:f>
      </x:c>
      <x:c r="H58" s="94" t="str">
        <x:f>IFERROR(VLOOKUP(E58,'01 Staff Master'!$A$6:$M$105,5,FALSE),"")</x:f>
      </x:c>
      <x:c r="I58" s="94" t="str">
        <x:f>IFERROR(VLOOKUP(B58,'06 Training Register'!$A$6:$Y$55,4,FALSE),"")</x:f>
      </x:c>
      <x:c r="J58" s="92"/>
      <x:c r="K58" s="92"/>
      <x:c r="L58" s="92"/>
      <x:c r="M58" s="103"/>
      <x:c r="N58" s="103"/>
      <x:c r="O58" s="104" t="str">
        <x:f>IF(OR(M58="",N58=""),"",N58-M58)</x:f>
      </x:c>
      <x:c r="P58" s="103"/>
      <x:c r="Q58" s="94" t="str">
        <x:f>IF(OR(N58="",P58=""),"",IF(N58&gt;=P58,"Pass","Not Yet"))</x:f>
      </x:c>
      <x:c r="R58" s="92"/>
      <x:c r="S58" s="93"/>
      <x:c r="T58" s="102" t="str">
        <x:f>IF(OR(D58="",K58&lt;&gt;"Attended"),"",D58+3)</x:f>
      </x:c>
      <x:c r="U58" s="94" t="str">
        <x:f>IF(A58="","",IF(K58&lt;&gt;"Attended","N/A",IF(COUNTIFS('12 Training Evaluation'!$B$6:$B$155,B58,'12 Training Evaluation'!$C$6:$C$155,E58,'12 Training Evaluation'!$W$6:$W$155,"Complete")&gt;0,"Complete","Pending")))</x:f>
      </x:c>
      <x:c r="V58" s="102" t="str">
        <x:f>IF(OR(D58="",K58&lt;&gt;"Attended"),"",D58+30)</x:f>
      </x:c>
      <x:c r="W58" s="94" t="str">
        <x:f>IF(A58="","",IF(K58&lt;&gt;"Attended","N/A",IF(COUNTIFS('13 Effectiveness Review'!$B$6:$B$155,B58,'13 Effectiveness Review'!$C$6:$C$155,E58)&gt;0,"Reviewed",IF(V58&lt;TODAY(),"Overdue","Due"))))</x:f>
      </x:c>
      <x:c r="X58" s="92"/>
      <x:c r="Y58" s="92"/>
      <x:c r="Z58" s="92"/>
      <x:c r="AA58" s="85" t="str">
        <x:f>IF(E58="","",E58&amp;"|"&amp;COUNTIF($E$6:E58,E58))</x:f>
      </x:c>
      <x:c r="AB58" s="85" t="str">
        <x:f>IF(A58="","",A58)</x:f>
      </x:c>
      <x:c r="AC58" s="85" t="str">
        <x:f>IF(A58="","",B58)</x:f>
      </x:c>
      <x:c r="AD58" s="85" t="str">
        <x:f>IF(A58="","",C58)</x:f>
      </x:c>
      <x:c r="AE58" s="85" t="str">
        <x:f>IF(A58="","",D58)</x:f>
      </x:c>
      <x:c r="AF58" s="85" t="str">
        <x:f>IF(A58="","",L58)</x:f>
      </x:c>
      <x:c r="AG58" s="85" t="str">
        <x:f>IF(A58="","",K58)</x:f>
      </x:c>
      <x:c r="AH58" s="85" t="str">
        <x:f>IF(A58="","",Q58)</x:f>
      </x:c>
      <x:c r="AI58" s="85" t="str">
        <x:f>IF(A58="","",R58)</x:f>
      </x:c>
      <x:c r="AJ58" s="85" t="str">
        <x:f>IF(A58="","",U58)</x:f>
      </x:c>
      <x:c r="AK58" s="85" t="str">
        <x:f>IF(A58="","",W58)</x:f>
      </x:c>
      <x:c r="AL58" s="85" t="str">
        <x:f>IFERROR(IF(A58="","",Y58),"")</x:f>
      </x:c>
      <x:c r="AM58" s="85" t="str">
        <x:f>IFERROR(IF(A58="","",Z58),"")</x:f>
      </x:c>
    </x:row>
    <x:row r="59">
      <x:c r="A59" s="92"/>
      <x:c r="B59" s="92"/>
      <x:c r="C59" s="94" t="str">
        <x:f>IFERROR(VLOOKUP(B59,'06 Training Register'!$A$6:$Y$55,3,FALSE),"")</x:f>
      </x:c>
      <x:c r="D59" s="102" t="str">
        <x:f>IF(B59="","",IFERROR(IF(VLOOKUP(B59,'06 Training Register'!$A$6:$Y$55,15,FALSE)&gt;0,VLOOKUP(B59,'06 Training Register'!$A$6:$Y$55,15,FALSE),VLOOKUP(B59,'06 Training Register'!$A$6:$Y$55,12,FALSE)),""))</x:f>
      </x:c>
      <x:c r="E59" s="92"/>
      <x:c r="F59" s="94" t="str">
        <x:f>IFERROR(VLOOKUP(E59,'01 Staff Master'!$A$6:$M$105,2,FALSE),"")</x:f>
      </x:c>
      <x:c r="G59" s="94" t="str">
        <x:f>IFERROR(VLOOKUP(E59,'01 Staff Master'!$A$6:$M$105,3,FALSE),"")</x:f>
      </x:c>
      <x:c r="H59" s="94" t="str">
        <x:f>IFERROR(VLOOKUP(E59,'01 Staff Master'!$A$6:$M$105,5,FALSE),"")</x:f>
      </x:c>
      <x:c r="I59" s="94" t="str">
        <x:f>IFERROR(VLOOKUP(B59,'06 Training Register'!$A$6:$Y$55,4,FALSE),"")</x:f>
      </x:c>
      <x:c r="J59" s="92"/>
      <x:c r="K59" s="92"/>
      <x:c r="L59" s="92"/>
      <x:c r="M59" s="103"/>
      <x:c r="N59" s="103"/>
      <x:c r="O59" s="104" t="str">
        <x:f>IF(OR(M59="",N59=""),"",N59-M59)</x:f>
      </x:c>
      <x:c r="P59" s="103"/>
      <x:c r="Q59" s="94" t="str">
        <x:f>IF(OR(N59="",P59=""),"",IF(N59&gt;=P59,"Pass","Not Yet"))</x:f>
      </x:c>
      <x:c r="R59" s="92"/>
      <x:c r="S59" s="93"/>
      <x:c r="T59" s="102" t="str">
        <x:f>IF(OR(D59="",K59&lt;&gt;"Attended"),"",D59+3)</x:f>
      </x:c>
      <x:c r="U59" s="94" t="str">
        <x:f>IF(A59="","",IF(K59&lt;&gt;"Attended","N/A",IF(COUNTIFS('12 Training Evaluation'!$B$6:$B$155,B59,'12 Training Evaluation'!$C$6:$C$155,E59,'12 Training Evaluation'!$W$6:$W$155,"Complete")&gt;0,"Complete","Pending")))</x:f>
      </x:c>
      <x:c r="V59" s="102" t="str">
        <x:f>IF(OR(D59="",K59&lt;&gt;"Attended"),"",D59+30)</x:f>
      </x:c>
      <x:c r="W59" s="94" t="str">
        <x:f>IF(A59="","",IF(K59&lt;&gt;"Attended","N/A",IF(COUNTIFS('13 Effectiveness Review'!$B$6:$B$155,B59,'13 Effectiveness Review'!$C$6:$C$155,E59)&gt;0,"Reviewed",IF(V59&lt;TODAY(),"Overdue","Due"))))</x:f>
      </x:c>
      <x:c r="X59" s="92"/>
      <x:c r="Y59" s="92"/>
      <x:c r="Z59" s="92"/>
      <x:c r="AA59" s="85" t="str">
        <x:f>IF(E59="","",E59&amp;"|"&amp;COUNTIF($E$6:E59,E59))</x:f>
      </x:c>
      <x:c r="AB59" s="85" t="str">
        <x:f>IF(A59="","",A59)</x:f>
      </x:c>
      <x:c r="AC59" s="85" t="str">
        <x:f>IF(A59="","",B59)</x:f>
      </x:c>
      <x:c r="AD59" s="85" t="str">
        <x:f>IF(A59="","",C59)</x:f>
      </x:c>
      <x:c r="AE59" s="85" t="str">
        <x:f>IF(A59="","",D59)</x:f>
      </x:c>
      <x:c r="AF59" s="85" t="str">
        <x:f>IF(A59="","",L59)</x:f>
      </x:c>
      <x:c r="AG59" s="85" t="str">
        <x:f>IF(A59="","",K59)</x:f>
      </x:c>
      <x:c r="AH59" s="85" t="str">
        <x:f>IF(A59="","",Q59)</x:f>
      </x:c>
      <x:c r="AI59" s="85" t="str">
        <x:f>IF(A59="","",R59)</x:f>
      </x:c>
      <x:c r="AJ59" s="85" t="str">
        <x:f>IF(A59="","",U59)</x:f>
      </x:c>
      <x:c r="AK59" s="85" t="str">
        <x:f>IF(A59="","",W59)</x:f>
      </x:c>
      <x:c r="AL59" s="85" t="str">
        <x:f>IFERROR(IF(A59="","",Y59),"")</x:f>
      </x:c>
      <x:c r="AM59" s="85" t="str">
        <x:f>IFERROR(IF(A59="","",Z59),"")</x:f>
      </x:c>
    </x:row>
    <x:row r="60">
      <x:c r="A60" s="92"/>
      <x:c r="B60" s="92"/>
      <x:c r="C60" s="94" t="str">
        <x:f>IFERROR(VLOOKUP(B60,'06 Training Register'!$A$6:$Y$55,3,FALSE),"")</x:f>
      </x:c>
      <x:c r="D60" s="102" t="str">
        <x:f>IF(B60="","",IFERROR(IF(VLOOKUP(B60,'06 Training Register'!$A$6:$Y$55,15,FALSE)&gt;0,VLOOKUP(B60,'06 Training Register'!$A$6:$Y$55,15,FALSE),VLOOKUP(B60,'06 Training Register'!$A$6:$Y$55,12,FALSE)),""))</x:f>
      </x:c>
      <x:c r="E60" s="92"/>
      <x:c r="F60" s="94" t="str">
        <x:f>IFERROR(VLOOKUP(E60,'01 Staff Master'!$A$6:$M$105,2,FALSE),"")</x:f>
      </x:c>
      <x:c r="G60" s="94" t="str">
        <x:f>IFERROR(VLOOKUP(E60,'01 Staff Master'!$A$6:$M$105,3,FALSE),"")</x:f>
      </x:c>
      <x:c r="H60" s="94" t="str">
        <x:f>IFERROR(VLOOKUP(E60,'01 Staff Master'!$A$6:$M$105,5,FALSE),"")</x:f>
      </x:c>
      <x:c r="I60" s="94" t="str">
        <x:f>IFERROR(VLOOKUP(B60,'06 Training Register'!$A$6:$Y$55,4,FALSE),"")</x:f>
      </x:c>
      <x:c r="J60" s="92"/>
      <x:c r="K60" s="92"/>
      <x:c r="L60" s="92"/>
      <x:c r="M60" s="103"/>
      <x:c r="N60" s="103"/>
      <x:c r="O60" s="104" t="str">
        <x:f>IF(OR(M60="",N60=""),"",N60-M60)</x:f>
      </x:c>
      <x:c r="P60" s="103"/>
      <x:c r="Q60" s="94" t="str">
        <x:f>IF(OR(N60="",P60=""),"",IF(N60&gt;=P60,"Pass","Not Yet"))</x:f>
      </x:c>
      <x:c r="R60" s="92"/>
      <x:c r="S60" s="93"/>
      <x:c r="T60" s="102" t="str">
        <x:f>IF(OR(D60="",K60&lt;&gt;"Attended"),"",D60+3)</x:f>
      </x:c>
      <x:c r="U60" s="94" t="str">
        <x:f>IF(A60="","",IF(K60&lt;&gt;"Attended","N/A",IF(COUNTIFS('12 Training Evaluation'!$B$6:$B$155,B60,'12 Training Evaluation'!$C$6:$C$155,E60,'12 Training Evaluation'!$W$6:$W$155,"Complete")&gt;0,"Complete","Pending")))</x:f>
      </x:c>
      <x:c r="V60" s="102" t="str">
        <x:f>IF(OR(D60="",K60&lt;&gt;"Attended"),"",D60+30)</x:f>
      </x:c>
      <x:c r="W60" s="94" t="str">
        <x:f>IF(A60="","",IF(K60&lt;&gt;"Attended","N/A",IF(COUNTIFS('13 Effectiveness Review'!$B$6:$B$155,B60,'13 Effectiveness Review'!$C$6:$C$155,E60)&gt;0,"Reviewed",IF(V60&lt;TODAY(),"Overdue","Due"))))</x:f>
      </x:c>
      <x:c r="X60" s="92"/>
      <x:c r="Y60" s="92"/>
      <x:c r="Z60" s="92"/>
      <x:c r="AA60" s="85" t="str">
        <x:f>IF(E60="","",E60&amp;"|"&amp;COUNTIF($E$6:E60,E60))</x:f>
      </x:c>
      <x:c r="AB60" s="85" t="str">
        <x:f>IF(A60="","",A60)</x:f>
      </x:c>
      <x:c r="AC60" s="85" t="str">
        <x:f>IF(A60="","",B60)</x:f>
      </x:c>
      <x:c r="AD60" s="85" t="str">
        <x:f>IF(A60="","",C60)</x:f>
      </x:c>
      <x:c r="AE60" s="85" t="str">
        <x:f>IF(A60="","",D60)</x:f>
      </x:c>
      <x:c r="AF60" s="85" t="str">
        <x:f>IF(A60="","",L60)</x:f>
      </x:c>
      <x:c r="AG60" s="85" t="str">
        <x:f>IF(A60="","",K60)</x:f>
      </x:c>
      <x:c r="AH60" s="85" t="str">
        <x:f>IF(A60="","",Q60)</x:f>
      </x:c>
      <x:c r="AI60" s="85" t="str">
        <x:f>IF(A60="","",R60)</x:f>
      </x:c>
      <x:c r="AJ60" s="85" t="str">
        <x:f>IF(A60="","",U60)</x:f>
      </x:c>
      <x:c r="AK60" s="85" t="str">
        <x:f>IF(A60="","",W60)</x:f>
      </x:c>
      <x:c r="AL60" s="85" t="str">
        <x:f>IFERROR(IF(A60="","",Y60),"")</x:f>
      </x:c>
      <x:c r="AM60" s="85" t="str">
        <x:f>IFERROR(IF(A60="","",Z60),"")</x:f>
      </x:c>
    </x:row>
    <x:row r="61">
      <x:c r="A61" s="92"/>
      <x:c r="B61" s="92"/>
      <x:c r="C61" s="94" t="str">
        <x:f>IFERROR(VLOOKUP(B61,'06 Training Register'!$A$6:$Y$55,3,FALSE),"")</x:f>
      </x:c>
      <x:c r="D61" s="102" t="str">
        <x:f>IF(B61="","",IFERROR(IF(VLOOKUP(B61,'06 Training Register'!$A$6:$Y$55,15,FALSE)&gt;0,VLOOKUP(B61,'06 Training Register'!$A$6:$Y$55,15,FALSE),VLOOKUP(B61,'06 Training Register'!$A$6:$Y$55,12,FALSE)),""))</x:f>
      </x:c>
      <x:c r="E61" s="92"/>
      <x:c r="F61" s="94" t="str">
        <x:f>IFERROR(VLOOKUP(E61,'01 Staff Master'!$A$6:$M$105,2,FALSE),"")</x:f>
      </x:c>
      <x:c r="G61" s="94" t="str">
        <x:f>IFERROR(VLOOKUP(E61,'01 Staff Master'!$A$6:$M$105,3,FALSE),"")</x:f>
      </x:c>
      <x:c r="H61" s="94" t="str">
        <x:f>IFERROR(VLOOKUP(E61,'01 Staff Master'!$A$6:$M$105,5,FALSE),"")</x:f>
      </x:c>
      <x:c r="I61" s="94" t="str">
        <x:f>IFERROR(VLOOKUP(B61,'06 Training Register'!$A$6:$Y$55,4,FALSE),"")</x:f>
      </x:c>
      <x:c r="J61" s="92"/>
      <x:c r="K61" s="92"/>
      <x:c r="L61" s="92"/>
      <x:c r="M61" s="103"/>
      <x:c r="N61" s="103"/>
      <x:c r="O61" s="104" t="str">
        <x:f>IF(OR(M61="",N61=""),"",N61-M61)</x:f>
      </x:c>
      <x:c r="P61" s="103"/>
      <x:c r="Q61" s="94" t="str">
        <x:f>IF(OR(N61="",P61=""),"",IF(N61&gt;=P61,"Pass","Not Yet"))</x:f>
      </x:c>
      <x:c r="R61" s="92"/>
      <x:c r="S61" s="93"/>
      <x:c r="T61" s="102" t="str">
        <x:f>IF(OR(D61="",K61&lt;&gt;"Attended"),"",D61+3)</x:f>
      </x:c>
      <x:c r="U61" s="94" t="str">
        <x:f>IF(A61="","",IF(K61&lt;&gt;"Attended","N/A",IF(COUNTIFS('12 Training Evaluation'!$B$6:$B$155,B61,'12 Training Evaluation'!$C$6:$C$155,E61,'12 Training Evaluation'!$W$6:$W$155,"Complete")&gt;0,"Complete","Pending")))</x:f>
      </x:c>
      <x:c r="V61" s="102" t="str">
        <x:f>IF(OR(D61="",K61&lt;&gt;"Attended"),"",D61+30)</x:f>
      </x:c>
      <x:c r="W61" s="94" t="str">
        <x:f>IF(A61="","",IF(K61&lt;&gt;"Attended","N/A",IF(COUNTIFS('13 Effectiveness Review'!$B$6:$B$155,B61,'13 Effectiveness Review'!$C$6:$C$155,E61)&gt;0,"Reviewed",IF(V61&lt;TODAY(),"Overdue","Due"))))</x:f>
      </x:c>
      <x:c r="X61" s="92"/>
      <x:c r="Y61" s="92"/>
      <x:c r="Z61" s="92"/>
      <x:c r="AA61" s="85" t="str">
        <x:f>IF(E61="","",E61&amp;"|"&amp;COUNTIF($E$6:E61,E61))</x:f>
      </x:c>
      <x:c r="AB61" s="85" t="str">
        <x:f>IF(A61="","",A61)</x:f>
      </x:c>
      <x:c r="AC61" s="85" t="str">
        <x:f>IF(A61="","",B61)</x:f>
      </x:c>
      <x:c r="AD61" s="85" t="str">
        <x:f>IF(A61="","",C61)</x:f>
      </x:c>
      <x:c r="AE61" s="85" t="str">
        <x:f>IF(A61="","",D61)</x:f>
      </x:c>
      <x:c r="AF61" s="85" t="str">
        <x:f>IF(A61="","",L61)</x:f>
      </x:c>
      <x:c r="AG61" s="85" t="str">
        <x:f>IF(A61="","",K61)</x:f>
      </x:c>
      <x:c r="AH61" s="85" t="str">
        <x:f>IF(A61="","",Q61)</x:f>
      </x:c>
      <x:c r="AI61" s="85" t="str">
        <x:f>IF(A61="","",R61)</x:f>
      </x:c>
      <x:c r="AJ61" s="85" t="str">
        <x:f>IF(A61="","",U61)</x:f>
      </x:c>
      <x:c r="AK61" s="85" t="str">
        <x:f>IF(A61="","",W61)</x:f>
      </x:c>
      <x:c r="AL61" s="85" t="str">
        <x:f>IFERROR(IF(A61="","",Y61),"")</x:f>
      </x:c>
      <x:c r="AM61" s="85" t="str">
        <x:f>IFERROR(IF(A61="","",Z61),"")</x:f>
      </x:c>
    </x:row>
    <x:row r="62">
      <x:c r="A62" s="92"/>
      <x:c r="B62" s="92"/>
      <x:c r="C62" s="94" t="str">
        <x:f>IFERROR(VLOOKUP(B62,'06 Training Register'!$A$6:$Y$55,3,FALSE),"")</x:f>
      </x:c>
      <x:c r="D62" s="102" t="str">
        <x:f>IF(B62="","",IFERROR(IF(VLOOKUP(B62,'06 Training Register'!$A$6:$Y$55,15,FALSE)&gt;0,VLOOKUP(B62,'06 Training Register'!$A$6:$Y$55,15,FALSE),VLOOKUP(B62,'06 Training Register'!$A$6:$Y$55,12,FALSE)),""))</x:f>
      </x:c>
      <x:c r="E62" s="92"/>
      <x:c r="F62" s="94" t="str">
        <x:f>IFERROR(VLOOKUP(E62,'01 Staff Master'!$A$6:$M$105,2,FALSE),"")</x:f>
      </x:c>
      <x:c r="G62" s="94" t="str">
        <x:f>IFERROR(VLOOKUP(E62,'01 Staff Master'!$A$6:$M$105,3,FALSE),"")</x:f>
      </x:c>
      <x:c r="H62" s="94" t="str">
        <x:f>IFERROR(VLOOKUP(E62,'01 Staff Master'!$A$6:$M$105,5,FALSE),"")</x:f>
      </x:c>
      <x:c r="I62" s="94" t="str">
        <x:f>IFERROR(VLOOKUP(B62,'06 Training Register'!$A$6:$Y$55,4,FALSE),"")</x:f>
      </x:c>
      <x:c r="J62" s="92"/>
      <x:c r="K62" s="92"/>
      <x:c r="L62" s="92"/>
      <x:c r="M62" s="103"/>
      <x:c r="N62" s="103"/>
      <x:c r="O62" s="104" t="str">
        <x:f>IF(OR(M62="",N62=""),"",N62-M62)</x:f>
      </x:c>
      <x:c r="P62" s="103"/>
      <x:c r="Q62" s="94" t="str">
        <x:f>IF(OR(N62="",P62=""),"",IF(N62&gt;=P62,"Pass","Not Yet"))</x:f>
      </x:c>
      <x:c r="R62" s="92"/>
      <x:c r="S62" s="93"/>
      <x:c r="T62" s="102" t="str">
        <x:f>IF(OR(D62="",K62&lt;&gt;"Attended"),"",D62+3)</x:f>
      </x:c>
      <x:c r="U62" s="94" t="str">
        <x:f>IF(A62="","",IF(K62&lt;&gt;"Attended","N/A",IF(COUNTIFS('12 Training Evaluation'!$B$6:$B$155,B62,'12 Training Evaluation'!$C$6:$C$155,E62,'12 Training Evaluation'!$W$6:$W$155,"Complete")&gt;0,"Complete","Pending")))</x:f>
      </x:c>
      <x:c r="V62" s="102" t="str">
        <x:f>IF(OR(D62="",K62&lt;&gt;"Attended"),"",D62+30)</x:f>
      </x:c>
      <x:c r="W62" s="94" t="str">
        <x:f>IF(A62="","",IF(K62&lt;&gt;"Attended","N/A",IF(COUNTIFS('13 Effectiveness Review'!$B$6:$B$155,B62,'13 Effectiveness Review'!$C$6:$C$155,E62)&gt;0,"Reviewed",IF(V62&lt;TODAY(),"Overdue","Due"))))</x:f>
      </x:c>
      <x:c r="X62" s="92"/>
      <x:c r="Y62" s="92"/>
      <x:c r="Z62" s="92"/>
      <x:c r="AA62" s="85" t="str">
        <x:f>IF(E62="","",E62&amp;"|"&amp;COUNTIF($E$6:E62,E62))</x:f>
      </x:c>
      <x:c r="AB62" s="85" t="str">
        <x:f>IF(A62="","",A62)</x:f>
      </x:c>
      <x:c r="AC62" s="85" t="str">
        <x:f>IF(A62="","",B62)</x:f>
      </x:c>
      <x:c r="AD62" s="85" t="str">
        <x:f>IF(A62="","",C62)</x:f>
      </x:c>
      <x:c r="AE62" s="85" t="str">
        <x:f>IF(A62="","",D62)</x:f>
      </x:c>
      <x:c r="AF62" s="85" t="str">
        <x:f>IF(A62="","",L62)</x:f>
      </x:c>
      <x:c r="AG62" s="85" t="str">
        <x:f>IF(A62="","",K62)</x:f>
      </x:c>
      <x:c r="AH62" s="85" t="str">
        <x:f>IF(A62="","",Q62)</x:f>
      </x:c>
      <x:c r="AI62" s="85" t="str">
        <x:f>IF(A62="","",R62)</x:f>
      </x:c>
      <x:c r="AJ62" s="85" t="str">
        <x:f>IF(A62="","",U62)</x:f>
      </x:c>
      <x:c r="AK62" s="85" t="str">
        <x:f>IF(A62="","",W62)</x:f>
      </x:c>
      <x:c r="AL62" s="85" t="str">
        <x:f>IFERROR(IF(A62="","",Y62),"")</x:f>
      </x:c>
      <x:c r="AM62" s="85" t="str">
        <x:f>IFERROR(IF(A62="","",Z62),"")</x:f>
      </x:c>
    </x:row>
    <x:row r="63">
      <x:c r="A63" s="92"/>
      <x:c r="B63" s="92"/>
      <x:c r="C63" s="94" t="str">
        <x:f>IFERROR(VLOOKUP(B63,'06 Training Register'!$A$6:$Y$55,3,FALSE),"")</x:f>
      </x:c>
      <x:c r="D63" s="102" t="str">
        <x:f>IF(B63="","",IFERROR(IF(VLOOKUP(B63,'06 Training Register'!$A$6:$Y$55,15,FALSE)&gt;0,VLOOKUP(B63,'06 Training Register'!$A$6:$Y$55,15,FALSE),VLOOKUP(B63,'06 Training Register'!$A$6:$Y$55,12,FALSE)),""))</x:f>
      </x:c>
      <x:c r="E63" s="92"/>
      <x:c r="F63" s="94" t="str">
        <x:f>IFERROR(VLOOKUP(E63,'01 Staff Master'!$A$6:$M$105,2,FALSE),"")</x:f>
      </x:c>
      <x:c r="G63" s="94" t="str">
        <x:f>IFERROR(VLOOKUP(E63,'01 Staff Master'!$A$6:$M$105,3,FALSE),"")</x:f>
      </x:c>
      <x:c r="H63" s="94" t="str">
        <x:f>IFERROR(VLOOKUP(E63,'01 Staff Master'!$A$6:$M$105,5,FALSE),"")</x:f>
      </x:c>
      <x:c r="I63" s="94" t="str">
        <x:f>IFERROR(VLOOKUP(B63,'06 Training Register'!$A$6:$Y$55,4,FALSE),"")</x:f>
      </x:c>
      <x:c r="J63" s="92"/>
      <x:c r="K63" s="92"/>
      <x:c r="L63" s="92"/>
      <x:c r="M63" s="103"/>
      <x:c r="N63" s="103"/>
      <x:c r="O63" s="104" t="str">
        <x:f>IF(OR(M63="",N63=""),"",N63-M63)</x:f>
      </x:c>
      <x:c r="P63" s="103"/>
      <x:c r="Q63" s="94" t="str">
        <x:f>IF(OR(N63="",P63=""),"",IF(N63&gt;=P63,"Pass","Not Yet"))</x:f>
      </x:c>
      <x:c r="R63" s="92"/>
      <x:c r="S63" s="93"/>
      <x:c r="T63" s="102" t="str">
        <x:f>IF(OR(D63="",K63&lt;&gt;"Attended"),"",D63+3)</x:f>
      </x:c>
      <x:c r="U63" s="94" t="str">
        <x:f>IF(A63="","",IF(K63&lt;&gt;"Attended","N/A",IF(COUNTIFS('12 Training Evaluation'!$B$6:$B$155,B63,'12 Training Evaluation'!$C$6:$C$155,E63,'12 Training Evaluation'!$W$6:$W$155,"Complete")&gt;0,"Complete","Pending")))</x:f>
      </x:c>
      <x:c r="V63" s="102" t="str">
        <x:f>IF(OR(D63="",K63&lt;&gt;"Attended"),"",D63+30)</x:f>
      </x:c>
      <x:c r="W63" s="94" t="str">
        <x:f>IF(A63="","",IF(K63&lt;&gt;"Attended","N/A",IF(COUNTIFS('13 Effectiveness Review'!$B$6:$B$155,B63,'13 Effectiveness Review'!$C$6:$C$155,E63)&gt;0,"Reviewed",IF(V63&lt;TODAY(),"Overdue","Due"))))</x:f>
      </x:c>
      <x:c r="X63" s="92"/>
      <x:c r="Y63" s="92"/>
      <x:c r="Z63" s="92"/>
      <x:c r="AA63" s="85" t="str">
        <x:f>IF(E63="","",E63&amp;"|"&amp;COUNTIF($E$6:E63,E63))</x:f>
      </x:c>
      <x:c r="AB63" s="85" t="str">
        <x:f>IF(A63="","",A63)</x:f>
      </x:c>
      <x:c r="AC63" s="85" t="str">
        <x:f>IF(A63="","",B63)</x:f>
      </x:c>
      <x:c r="AD63" s="85" t="str">
        <x:f>IF(A63="","",C63)</x:f>
      </x:c>
      <x:c r="AE63" s="85" t="str">
        <x:f>IF(A63="","",D63)</x:f>
      </x:c>
      <x:c r="AF63" s="85" t="str">
        <x:f>IF(A63="","",L63)</x:f>
      </x:c>
      <x:c r="AG63" s="85" t="str">
        <x:f>IF(A63="","",K63)</x:f>
      </x:c>
      <x:c r="AH63" s="85" t="str">
        <x:f>IF(A63="","",Q63)</x:f>
      </x:c>
      <x:c r="AI63" s="85" t="str">
        <x:f>IF(A63="","",R63)</x:f>
      </x:c>
      <x:c r="AJ63" s="85" t="str">
        <x:f>IF(A63="","",U63)</x:f>
      </x:c>
      <x:c r="AK63" s="85" t="str">
        <x:f>IF(A63="","",W63)</x:f>
      </x:c>
      <x:c r="AL63" s="85" t="str">
        <x:f>IFERROR(IF(A63="","",Y63),"")</x:f>
      </x:c>
      <x:c r="AM63" s="85" t="str">
        <x:f>IFERROR(IF(A63="","",Z63),"")</x:f>
      </x:c>
    </x:row>
    <x:row r="64">
      <x:c r="A64" s="92"/>
      <x:c r="B64" s="92"/>
      <x:c r="C64" s="94" t="str">
        <x:f>IFERROR(VLOOKUP(B64,'06 Training Register'!$A$6:$Y$55,3,FALSE),"")</x:f>
      </x:c>
      <x:c r="D64" s="102" t="str">
        <x:f>IF(B64="","",IFERROR(IF(VLOOKUP(B64,'06 Training Register'!$A$6:$Y$55,15,FALSE)&gt;0,VLOOKUP(B64,'06 Training Register'!$A$6:$Y$55,15,FALSE),VLOOKUP(B64,'06 Training Register'!$A$6:$Y$55,12,FALSE)),""))</x:f>
      </x:c>
      <x:c r="E64" s="92"/>
      <x:c r="F64" s="94" t="str">
        <x:f>IFERROR(VLOOKUP(E64,'01 Staff Master'!$A$6:$M$105,2,FALSE),"")</x:f>
      </x:c>
      <x:c r="G64" s="94" t="str">
        <x:f>IFERROR(VLOOKUP(E64,'01 Staff Master'!$A$6:$M$105,3,FALSE),"")</x:f>
      </x:c>
      <x:c r="H64" s="94" t="str">
        <x:f>IFERROR(VLOOKUP(E64,'01 Staff Master'!$A$6:$M$105,5,FALSE),"")</x:f>
      </x:c>
      <x:c r="I64" s="94" t="str">
        <x:f>IFERROR(VLOOKUP(B64,'06 Training Register'!$A$6:$Y$55,4,FALSE),"")</x:f>
      </x:c>
      <x:c r="J64" s="92"/>
      <x:c r="K64" s="92"/>
      <x:c r="L64" s="92"/>
      <x:c r="M64" s="103"/>
      <x:c r="N64" s="103"/>
      <x:c r="O64" s="104" t="str">
        <x:f>IF(OR(M64="",N64=""),"",N64-M64)</x:f>
      </x:c>
      <x:c r="P64" s="103"/>
      <x:c r="Q64" s="94" t="str">
        <x:f>IF(OR(N64="",P64=""),"",IF(N64&gt;=P64,"Pass","Not Yet"))</x:f>
      </x:c>
      <x:c r="R64" s="92"/>
      <x:c r="S64" s="93"/>
      <x:c r="T64" s="102" t="str">
        <x:f>IF(OR(D64="",K64&lt;&gt;"Attended"),"",D64+3)</x:f>
      </x:c>
      <x:c r="U64" s="94" t="str">
        <x:f>IF(A64="","",IF(K64&lt;&gt;"Attended","N/A",IF(COUNTIFS('12 Training Evaluation'!$B$6:$B$155,B64,'12 Training Evaluation'!$C$6:$C$155,E64,'12 Training Evaluation'!$W$6:$W$155,"Complete")&gt;0,"Complete","Pending")))</x:f>
      </x:c>
      <x:c r="V64" s="102" t="str">
        <x:f>IF(OR(D64="",K64&lt;&gt;"Attended"),"",D64+30)</x:f>
      </x:c>
      <x:c r="W64" s="94" t="str">
        <x:f>IF(A64="","",IF(K64&lt;&gt;"Attended","N/A",IF(COUNTIFS('13 Effectiveness Review'!$B$6:$B$155,B64,'13 Effectiveness Review'!$C$6:$C$155,E64)&gt;0,"Reviewed",IF(V64&lt;TODAY(),"Overdue","Due"))))</x:f>
      </x:c>
      <x:c r="X64" s="92"/>
      <x:c r="Y64" s="92"/>
      <x:c r="Z64" s="92"/>
      <x:c r="AA64" s="85" t="str">
        <x:f>IF(E64="","",E64&amp;"|"&amp;COUNTIF($E$6:E64,E64))</x:f>
      </x:c>
      <x:c r="AB64" s="85" t="str">
        <x:f>IF(A64="","",A64)</x:f>
      </x:c>
      <x:c r="AC64" s="85" t="str">
        <x:f>IF(A64="","",B64)</x:f>
      </x:c>
      <x:c r="AD64" s="85" t="str">
        <x:f>IF(A64="","",C64)</x:f>
      </x:c>
      <x:c r="AE64" s="85" t="str">
        <x:f>IF(A64="","",D64)</x:f>
      </x:c>
      <x:c r="AF64" s="85" t="str">
        <x:f>IF(A64="","",L64)</x:f>
      </x:c>
      <x:c r="AG64" s="85" t="str">
        <x:f>IF(A64="","",K64)</x:f>
      </x:c>
      <x:c r="AH64" s="85" t="str">
        <x:f>IF(A64="","",Q64)</x:f>
      </x:c>
      <x:c r="AI64" s="85" t="str">
        <x:f>IF(A64="","",R64)</x:f>
      </x:c>
      <x:c r="AJ64" s="85" t="str">
        <x:f>IF(A64="","",U64)</x:f>
      </x:c>
      <x:c r="AK64" s="85" t="str">
        <x:f>IF(A64="","",W64)</x:f>
      </x:c>
      <x:c r="AL64" s="85" t="str">
        <x:f>IFERROR(IF(A64="","",Y64),"")</x:f>
      </x:c>
      <x:c r="AM64" s="85" t="str">
        <x:f>IFERROR(IF(A64="","",Z64),"")</x:f>
      </x:c>
    </x:row>
    <x:row r="65">
      <x:c r="A65" s="92"/>
      <x:c r="B65" s="92"/>
      <x:c r="C65" s="94" t="str">
        <x:f>IFERROR(VLOOKUP(B65,'06 Training Register'!$A$6:$Y$55,3,FALSE),"")</x:f>
      </x:c>
      <x:c r="D65" s="102" t="str">
        <x:f>IF(B65="","",IFERROR(IF(VLOOKUP(B65,'06 Training Register'!$A$6:$Y$55,15,FALSE)&gt;0,VLOOKUP(B65,'06 Training Register'!$A$6:$Y$55,15,FALSE),VLOOKUP(B65,'06 Training Register'!$A$6:$Y$55,12,FALSE)),""))</x:f>
      </x:c>
      <x:c r="E65" s="92"/>
      <x:c r="F65" s="94" t="str">
        <x:f>IFERROR(VLOOKUP(E65,'01 Staff Master'!$A$6:$M$105,2,FALSE),"")</x:f>
      </x:c>
      <x:c r="G65" s="94" t="str">
        <x:f>IFERROR(VLOOKUP(E65,'01 Staff Master'!$A$6:$M$105,3,FALSE),"")</x:f>
      </x:c>
      <x:c r="H65" s="94" t="str">
        <x:f>IFERROR(VLOOKUP(E65,'01 Staff Master'!$A$6:$M$105,5,FALSE),"")</x:f>
      </x:c>
      <x:c r="I65" s="94" t="str">
        <x:f>IFERROR(VLOOKUP(B65,'06 Training Register'!$A$6:$Y$55,4,FALSE),"")</x:f>
      </x:c>
      <x:c r="J65" s="92"/>
      <x:c r="K65" s="92"/>
      <x:c r="L65" s="92"/>
      <x:c r="M65" s="103"/>
      <x:c r="N65" s="103"/>
      <x:c r="O65" s="104" t="str">
        <x:f>IF(OR(M65="",N65=""),"",N65-M65)</x:f>
      </x:c>
      <x:c r="P65" s="103"/>
      <x:c r="Q65" s="94" t="str">
        <x:f>IF(OR(N65="",P65=""),"",IF(N65&gt;=P65,"Pass","Not Yet"))</x:f>
      </x:c>
      <x:c r="R65" s="92"/>
      <x:c r="S65" s="93"/>
      <x:c r="T65" s="102" t="str">
        <x:f>IF(OR(D65="",K65&lt;&gt;"Attended"),"",D65+3)</x:f>
      </x:c>
      <x:c r="U65" s="94" t="str">
        <x:f>IF(A65="","",IF(K65&lt;&gt;"Attended","N/A",IF(COUNTIFS('12 Training Evaluation'!$B$6:$B$155,B65,'12 Training Evaluation'!$C$6:$C$155,E65,'12 Training Evaluation'!$W$6:$W$155,"Complete")&gt;0,"Complete","Pending")))</x:f>
      </x:c>
      <x:c r="V65" s="102" t="str">
        <x:f>IF(OR(D65="",K65&lt;&gt;"Attended"),"",D65+30)</x:f>
      </x:c>
      <x:c r="W65" s="94" t="str">
        <x:f>IF(A65="","",IF(K65&lt;&gt;"Attended","N/A",IF(COUNTIFS('13 Effectiveness Review'!$B$6:$B$155,B65,'13 Effectiveness Review'!$C$6:$C$155,E65)&gt;0,"Reviewed",IF(V65&lt;TODAY(),"Overdue","Due"))))</x:f>
      </x:c>
      <x:c r="X65" s="92"/>
      <x:c r="Y65" s="92"/>
      <x:c r="Z65" s="92"/>
      <x:c r="AA65" s="85" t="str">
        <x:f>IF(E65="","",E65&amp;"|"&amp;COUNTIF($E$6:E65,E65))</x:f>
      </x:c>
      <x:c r="AB65" s="85" t="str">
        <x:f>IF(A65="","",A65)</x:f>
      </x:c>
      <x:c r="AC65" s="85" t="str">
        <x:f>IF(A65="","",B65)</x:f>
      </x:c>
      <x:c r="AD65" s="85" t="str">
        <x:f>IF(A65="","",C65)</x:f>
      </x:c>
      <x:c r="AE65" s="85" t="str">
        <x:f>IF(A65="","",D65)</x:f>
      </x:c>
      <x:c r="AF65" s="85" t="str">
        <x:f>IF(A65="","",L65)</x:f>
      </x:c>
      <x:c r="AG65" s="85" t="str">
        <x:f>IF(A65="","",K65)</x:f>
      </x:c>
      <x:c r="AH65" s="85" t="str">
        <x:f>IF(A65="","",Q65)</x:f>
      </x:c>
      <x:c r="AI65" s="85" t="str">
        <x:f>IF(A65="","",R65)</x:f>
      </x:c>
      <x:c r="AJ65" s="85" t="str">
        <x:f>IF(A65="","",U65)</x:f>
      </x:c>
      <x:c r="AK65" s="85" t="str">
        <x:f>IF(A65="","",W65)</x:f>
      </x:c>
      <x:c r="AL65" s="85" t="str">
        <x:f>IFERROR(IF(A65="","",Y65),"")</x:f>
      </x:c>
      <x:c r="AM65" s="85" t="str">
        <x:f>IFERROR(IF(A65="","",Z65),"")</x:f>
      </x:c>
    </x:row>
    <x:row r="66">
      <x:c r="A66" s="92"/>
      <x:c r="B66" s="92"/>
      <x:c r="C66" s="94" t="str">
        <x:f>IFERROR(VLOOKUP(B66,'06 Training Register'!$A$6:$Y$55,3,FALSE),"")</x:f>
      </x:c>
      <x:c r="D66" s="102" t="str">
        <x:f>IF(B66="","",IFERROR(IF(VLOOKUP(B66,'06 Training Register'!$A$6:$Y$55,15,FALSE)&gt;0,VLOOKUP(B66,'06 Training Register'!$A$6:$Y$55,15,FALSE),VLOOKUP(B66,'06 Training Register'!$A$6:$Y$55,12,FALSE)),""))</x:f>
      </x:c>
      <x:c r="E66" s="92"/>
      <x:c r="F66" s="94" t="str">
        <x:f>IFERROR(VLOOKUP(E66,'01 Staff Master'!$A$6:$M$105,2,FALSE),"")</x:f>
      </x:c>
      <x:c r="G66" s="94" t="str">
        <x:f>IFERROR(VLOOKUP(E66,'01 Staff Master'!$A$6:$M$105,3,FALSE),"")</x:f>
      </x:c>
      <x:c r="H66" s="94" t="str">
        <x:f>IFERROR(VLOOKUP(E66,'01 Staff Master'!$A$6:$M$105,5,FALSE),"")</x:f>
      </x:c>
      <x:c r="I66" s="94" t="str">
        <x:f>IFERROR(VLOOKUP(B66,'06 Training Register'!$A$6:$Y$55,4,FALSE),"")</x:f>
      </x:c>
      <x:c r="J66" s="92"/>
      <x:c r="K66" s="92"/>
      <x:c r="L66" s="92"/>
      <x:c r="M66" s="103"/>
      <x:c r="N66" s="103"/>
      <x:c r="O66" s="104" t="str">
        <x:f>IF(OR(M66="",N66=""),"",N66-M66)</x:f>
      </x:c>
      <x:c r="P66" s="103"/>
      <x:c r="Q66" s="94" t="str">
        <x:f>IF(OR(N66="",P66=""),"",IF(N66&gt;=P66,"Pass","Not Yet"))</x:f>
      </x:c>
      <x:c r="R66" s="92"/>
      <x:c r="S66" s="93"/>
      <x:c r="T66" s="102" t="str">
        <x:f>IF(OR(D66="",K66&lt;&gt;"Attended"),"",D66+3)</x:f>
      </x:c>
      <x:c r="U66" s="94" t="str">
        <x:f>IF(A66="","",IF(K66&lt;&gt;"Attended","N/A",IF(COUNTIFS('12 Training Evaluation'!$B$6:$B$155,B66,'12 Training Evaluation'!$C$6:$C$155,E66,'12 Training Evaluation'!$W$6:$W$155,"Complete")&gt;0,"Complete","Pending")))</x:f>
      </x:c>
      <x:c r="V66" s="102" t="str">
        <x:f>IF(OR(D66="",K66&lt;&gt;"Attended"),"",D66+30)</x:f>
      </x:c>
      <x:c r="W66" s="94" t="str">
        <x:f>IF(A66="","",IF(K66&lt;&gt;"Attended","N/A",IF(COUNTIFS('13 Effectiveness Review'!$B$6:$B$155,B66,'13 Effectiveness Review'!$C$6:$C$155,E66)&gt;0,"Reviewed",IF(V66&lt;TODAY(),"Overdue","Due"))))</x:f>
      </x:c>
      <x:c r="X66" s="92"/>
      <x:c r="Y66" s="92"/>
      <x:c r="Z66" s="92"/>
      <x:c r="AA66" s="85" t="str">
        <x:f>IF(E66="","",E66&amp;"|"&amp;COUNTIF($E$6:E66,E66))</x:f>
      </x:c>
      <x:c r="AB66" s="85" t="str">
        <x:f>IF(A66="","",A66)</x:f>
      </x:c>
      <x:c r="AC66" s="85" t="str">
        <x:f>IF(A66="","",B66)</x:f>
      </x:c>
      <x:c r="AD66" s="85" t="str">
        <x:f>IF(A66="","",C66)</x:f>
      </x:c>
      <x:c r="AE66" s="85" t="str">
        <x:f>IF(A66="","",D66)</x:f>
      </x:c>
      <x:c r="AF66" s="85" t="str">
        <x:f>IF(A66="","",L66)</x:f>
      </x:c>
      <x:c r="AG66" s="85" t="str">
        <x:f>IF(A66="","",K66)</x:f>
      </x:c>
      <x:c r="AH66" s="85" t="str">
        <x:f>IF(A66="","",Q66)</x:f>
      </x:c>
      <x:c r="AI66" s="85" t="str">
        <x:f>IF(A66="","",R66)</x:f>
      </x:c>
      <x:c r="AJ66" s="85" t="str">
        <x:f>IF(A66="","",U66)</x:f>
      </x:c>
      <x:c r="AK66" s="85" t="str">
        <x:f>IF(A66="","",W66)</x:f>
      </x:c>
      <x:c r="AL66" s="85" t="str">
        <x:f>IFERROR(IF(A66="","",Y66),"")</x:f>
      </x:c>
      <x:c r="AM66" s="85" t="str">
        <x:f>IFERROR(IF(A66="","",Z66),"")</x:f>
      </x:c>
    </x:row>
    <x:row r="67">
      <x:c r="A67" s="92"/>
      <x:c r="B67" s="92"/>
      <x:c r="C67" s="94" t="str">
        <x:f>IFERROR(VLOOKUP(B67,'06 Training Register'!$A$6:$Y$55,3,FALSE),"")</x:f>
      </x:c>
      <x:c r="D67" s="102" t="str">
        <x:f>IF(B67="","",IFERROR(IF(VLOOKUP(B67,'06 Training Register'!$A$6:$Y$55,15,FALSE)&gt;0,VLOOKUP(B67,'06 Training Register'!$A$6:$Y$55,15,FALSE),VLOOKUP(B67,'06 Training Register'!$A$6:$Y$55,12,FALSE)),""))</x:f>
      </x:c>
      <x:c r="E67" s="92"/>
      <x:c r="F67" s="94" t="str">
        <x:f>IFERROR(VLOOKUP(E67,'01 Staff Master'!$A$6:$M$105,2,FALSE),"")</x:f>
      </x:c>
      <x:c r="G67" s="94" t="str">
        <x:f>IFERROR(VLOOKUP(E67,'01 Staff Master'!$A$6:$M$105,3,FALSE),"")</x:f>
      </x:c>
      <x:c r="H67" s="94" t="str">
        <x:f>IFERROR(VLOOKUP(E67,'01 Staff Master'!$A$6:$M$105,5,FALSE),"")</x:f>
      </x:c>
      <x:c r="I67" s="94" t="str">
        <x:f>IFERROR(VLOOKUP(B67,'06 Training Register'!$A$6:$Y$55,4,FALSE),"")</x:f>
      </x:c>
      <x:c r="J67" s="92"/>
      <x:c r="K67" s="92"/>
      <x:c r="L67" s="92"/>
      <x:c r="M67" s="103"/>
      <x:c r="N67" s="103"/>
      <x:c r="O67" s="104" t="str">
        <x:f>IF(OR(M67="",N67=""),"",N67-M67)</x:f>
      </x:c>
      <x:c r="P67" s="103"/>
      <x:c r="Q67" s="94" t="str">
        <x:f>IF(OR(N67="",P67=""),"",IF(N67&gt;=P67,"Pass","Not Yet"))</x:f>
      </x:c>
      <x:c r="R67" s="92"/>
      <x:c r="S67" s="93"/>
      <x:c r="T67" s="102" t="str">
        <x:f>IF(OR(D67="",K67&lt;&gt;"Attended"),"",D67+3)</x:f>
      </x:c>
      <x:c r="U67" s="94" t="str">
        <x:f>IF(A67="","",IF(K67&lt;&gt;"Attended","N/A",IF(COUNTIFS('12 Training Evaluation'!$B$6:$B$155,B67,'12 Training Evaluation'!$C$6:$C$155,E67,'12 Training Evaluation'!$W$6:$W$155,"Complete")&gt;0,"Complete","Pending")))</x:f>
      </x:c>
      <x:c r="V67" s="102" t="str">
        <x:f>IF(OR(D67="",K67&lt;&gt;"Attended"),"",D67+30)</x:f>
      </x:c>
      <x:c r="W67" s="94" t="str">
        <x:f>IF(A67="","",IF(K67&lt;&gt;"Attended","N/A",IF(COUNTIFS('13 Effectiveness Review'!$B$6:$B$155,B67,'13 Effectiveness Review'!$C$6:$C$155,E67)&gt;0,"Reviewed",IF(V67&lt;TODAY(),"Overdue","Due"))))</x:f>
      </x:c>
      <x:c r="X67" s="92"/>
      <x:c r="Y67" s="92"/>
      <x:c r="Z67" s="92"/>
      <x:c r="AA67" s="85" t="str">
        <x:f>IF(E67="","",E67&amp;"|"&amp;COUNTIF($E$6:E67,E67))</x:f>
      </x:c>
      <x:c r="AB67" s="85" t="str">
        <x:f>IF(A67="","",A67)</x:f>
      </x:c>
      <x:c r="AC67" s="85" t="str">
        <x:f>IF(A67="","",B67)</x:f>
      </x:c>
      <x:c r="AD67" s="85" t="str">
        <x:f>IF(A67="","",C67)</x:f>
      </x:c>
      <x:c r="AE67" s="85" t="str">
        <x:f>IF(A67="","",D67)</x:f>
      </x:c>
      <x:c r="AF67" s="85" t="str">
        <x:f>IF(A67="","",L67)</x:f>
      </x:c>
      <x:c r="AG67" s="85" t="str">
        <x:f>IF(A67="","",K67)</x:f>
      </x:c>
      <x:c r="AH67" s="85" t="str">
        <x:f>IF(A67="","",Q67)</x:f>
      </x:c>
      <x:c r="AI67" s="85" t="str">
        <x:f>IF(A67="","",R67)</x:f>
      </x:c>
      <x:c r="AJ67" s="85" t="str">
        <x:f>IF(A67="","",U67)</x:f>
      </x:c>
      <x:c r="AK67" s="85" t="str">
        <x:f>IF(A67="","",W67)</x:f>
      </x:c>
      <x:c r="AL67" s="85" t="str">
        <x:f>IFERROR(IF(A67="","",Y67),"")</x:f>
      </x:c>
      <x:c r="AM67" s="85" t="str">
        <x:f>IFERROR(IF(A67="","",Z67),"")</x:f>
      </x:c>
    </x:row>
    <x:row r="68">
      <x:c r="A68" s="92"/>
      <x:c r="B68" s="92"/>
      <x:c r="C68" s="94" t="str">
        <x:f>IFERROR(VLOOKUP(B68,'06 Training Register'!$A$6:$Y$55,3,FALSE),"")</x:f>
      </x:c>
      <x:c r="D68" s="102" t="str">
        <x:f>IF(B68="","",IFERROR(IF(VLOOKUP(B68,'06 Training Register'!$A$6:$Y$55,15,FALSE)&gt;0,VLOOKUP(B68,'06 Training Register'!$A$6:$Y$55,15,FALSE),VLOOKUP(B68,'06 Training Register'!$A$6:$Y$55,12,FALSE)),""))</x:f>
      </x:c>
      <x:c r="E68" s="92"/>
      <x:c r="F68" s="94" t="str">
        <x:f>IFERROR(VLOOKUP(E68,'01 Staff Master'!$A$6:$M$105,2,FALSE),"")</x:f>
      </x:c>
      <x:c r="G68" s="94" t="str">
        <x:f>IFERROR(VLOOKUP(E68,'01 Staff Master'!$A$6:$M$105,3,FALSE),"")</x:f>
      </x:c>
      <x:c r="H68" s="94" t="str">
        <x:f>IFERROR(VLOOKUP(E68,'01 Staff Master'!$A$6:$M$105,5,FALSE),"")</x:f>
      </x:c>
      <x:c r="I68" s="94" t="str">
        <x:f>IFERROR(VLOOKUP(B68,'06 Training Register'!$A$6:$Y$55,4,FALSE),"")</x:f>
      </x:c>
      <x:c r="J68" s="92"/>
      <x:c r="K68" s="92"/>
      <x:c r="L68" s="92"/>
      <x:c r="M68" s="103"/>
      <x:c r="N68" s="103"/>
      <x:c r="O68" s="104" t="str">
        <x:f>IF(OR(M68="",N68=""),"",N68-M68)</x:f>
      </x:c>
      <x:c r="P68" s="103"/>
      <x:c r="Q68" s="94" t="str">
        <x:f>IF(OR(N68="",P68=""),"",IF(N68&gt;=P68,"Pass","Not Yet"))</x:f>
      </x:c>
      <x:c r="R68" s="92"/>
      <x:c r="S68" s="93"/>
      <x:c r="T68" s="102" t="str">
        <x:f>IF(OR(D68="",K68&lt;&gt;"Attended"),"",D68+3)</x:f>
      </x:c>
      <x:c r="U68" s="94" t="str">
        <x:f>IF(A68="","",IF(K68&lt;&gt;"Attended","N/A",IF(COUNTIFS('12 Training Evaluation'!$B$6:$B$155,B68,'12 Training Evaluation'!$C$6:$C$155,E68,'12 Training Evaluation'!$W$6:$W$155,"Complete")&gt;0,"Complete","Pending")))</x:f>
      </x:c>
      <x:c r="V68" s="102" t="str">
        <x:f>IF(OR(D68="",K68&lt;&gt;"Attended"),"",D68+30)</x:f>
      </x:c>
      <x:c r="W68" s="94" t="str">
        <x:f>IF(A68="","",IF(K68&lt;&gt;"Attended","N/A",IF(COUNTIFS('13 Effectiveness Review'!$B$6:$B$155,B68,'13 Effectiveness Review'!$C$6:$C$155,E68)&gt;0,"Reviewed",IF(V68&lt;TODAY(),"Overdue","Due"))))</x:f>
      </x:c>
      <x:c r="X68" s="92"/>
      <x:c r="Y68" s="92"/>
      <x:c r="Z68" s="92"/>
      <x:c r="AA68" s="85" t="str">
        <x:f>IF(E68="","",E68&amp;"|"&amp;COUNTIF($E$6:E68,E68))</x:f>
      </x:c>
      <x:c r="AB68" s="85" t="str">
        <x:f>IF(A68="","",A68)</x:f>
      </x:c>
      <x:c r="AC68" s="85" t="str">
        <x:f>IF(A68="","",B68)</x:f>
      </x:c>
      <x:c r="AD68" s="85" t="str">
        <x:f>IF(A68="","",C68)</x:f>
      </x:c>
      <x:c r="AE68" s="85" t="str">
        <x:f>IF(A68="","",D68)</x:f>
      </x:c>
      <x:c r="AF68" s="85" t="str">
        <x:f>IF(A68="","",L68)</x:f>
      </x:c>
      <x:c r="AG68" s="85" t="str">
        <x:f>IF(A68="","",K68)</x:f>
      </x:c>
      <x:c r="AH68" s="85" t="str">
        <x:f>IF(A68="","",Q68)</x:f>
      </x:c>
      <x:c r="AI68" s="85" t="str">
        <x:f>IF(A68="","",R68)</x:f>
      </x:c>
      <x:c r="AJ68" s="85" t="str">
        <x:f>IF(A68="","",U68)</x:f>
      </x:c>
      <x:c r="AK68" s="85" t="str">
        <x:f>IF(A68="","",W68)</x:f>
      </x:c>
      <x:c r="AL68" s="85" t="str">
        <x:f>IFERROR(IF(A68="","",Y68),"")</x:f>
      </x:c>
      <x:c r="AM68" s="85" t="str">
        <x:f>IFERROR(IF(A68="","",Z68),"")</x:f>
      </x:c>
    </x:row>
    <x:row r="69">
      <x:c r="A69" s="92"/>
      <x:c r="B69" s="92"/>
      <x:c r="C69" s="94" t="str">
        <x:f>IFERROR(VLOOKUP(B69,'06 Training Register'!$A$6:$Y$55,3,FALSE),"")</x:f>
      </x:c>
      <x:c r="D69" s="102" t="str">
        <x:f>IF(B69="","",IFERROR(IF(VLOOKUP(B69,'06 Training Register'!$A$6:$Y$55,15,FALSE)&gt;0,VLOOKUP(B69,'06 Training Register'!$A$6:$Y$55,15,FALSE),VLOOKUP(B69,'06 Training Register'!$A$6:$Y$55,12,FALSE)),""))</x:f>
      </x:c>
      <x:c r="E69" s="92"/>
      <x:c r="F69" s="94" t="str">
        <x:f>IFERROR(VLOOKUP(E69,'01 Staff Master'!$A$6:$M$105,2,FALSE),"")</x:f>
      </x:c>
      <x:c r="G69" s="94" t="str">
        <x:f>IFERROR(VLOOKUP(E69,'01 Staff Master'!$A$6:$M$105,3,FALSE),"")</x:f>
      </x:c>
      <x:c r="H69" s="94" t="str">
        <x:f>IFERROR(VLOOKUP(E69,'01 Staff Master'!$A$6:$M$105,5,FALSE),"")</x:f>
      </x:c>
      <x:c r="I69" s="94" t="str">
        <x:f>IFERROR(VLOOKUP(B69,'06 Training Register'!$A$6:$Y$55,4,FALSE),"")</x:f>
      </x:c>
      <x:c r="J69" s="92"/>
      <x:c r="K69" s="92"/>
      <x:c r="L69" s="92"/>
      <x:c r="M69" s="103"/>
      <x:c r="N69" s="103"/>
      <x:c r="O69" s="104" t="str">
        <x:f>IF(OR(M69="",N69=""),"",N69-M69)</x:f>
      </x:c>
      <x:c r="P69" s="103"/>
      <x:c r="Q69" s="94" t="str">
        <x:f>IF(OR(N69="",P69=""),"",IF(N69&gt;=P69,"Pass","Not Yet"))</x:f>
      </x:c>
      <x:c r="R69" s="92"/>
      <x:c r="S69" s="93"/>
      <x:c r="T69" s="102" t="str">
        <x:f>IF(OR(D69="",K69&lt;&gt;"Attended"),"",D69+3)</x:f>
      </x:c>
      <x:c r="U69" s="94" t="str">
        <x:f>IF(A69="","",IF(K69&lt;&gt;"Attended","N/A",IF(COUNTIFS('12 Training Evaluation'!$B$6:$B$155,B69,'12 Training Evaluation'!$C$6:$C$155,E69,'12 Training Evaluation'!$W$6:$W$155,"Complete")&gt;0,"Complete","Pending")))</x:f>
      </x:c>
      <x:c r="V69" s="102" t="str">
        <x:f>IF(OR(D69="",K69&lt;&gt;"Attended"),"",D69+30)</x:f>
      </x:c>
      <x:c r="W69" s="94" t="str">
        <x:f>IF(A69="","",IF(K69&lt;&gt;"Attended","N/A",IF(COUNTIFS('13 Effectiveness Review'!$B$6:$B$155,B69,'13 Effectiveness Review'!$C$6:$C$155,E69)&gt;0,"Reviewed",IF(V69&lt;TODAY(),"Overdue","Due"))))</x:f>
      </x:c>
      <x:c r="X69" s="92"/>
      <x:c r="Y69" s="92"/>
      <x:c r="Z69" s="92"/>
      <x:c r="AA69" s="85" t="str">
        <x:f>IF(E69="","",E69&amp;"|"&amp;COUNTIF($E$6:E69,E69))</x:f>
      </x:c>
      <x:c r="AB69" s="85" t="str">
        <x:f>IF(A69="","",A69)</x:f>
      </x:c>
      <x:c r="AC69" s="85" t="str">
        <x:f>IF(A69="","",B69)</x:f>
      </x:c>
      <x:c r="AD69" s="85" t="str">
        <x:f>IF(A69="","",C69)</x:f>
      </x:c>
      <x:c r="AE69" s="85" t="str">
        <x:f>IF(A69="","",D69)</x:f>
      </x:c>
      <x:c r="AF69" s="85" t="str">
        <x:f>IF(A69="","",L69)</x:f>
      </x:c>
      <x:c r="AG69" s="85" t="str">
        <x:f>IF(A69="","",K69)</x:f>
      </x:c>
      <x:c r="AH69" s="85" t="str">
        <x:f>IF(A69="","",Q69)</x:f>
      </x:c>
      <x:c r="AI69" s="85" t="str">
        <x:f>IF(A69="","",R69)</x:f>
      </x:c>
      <x:c r="AJ69" s="85" t="str">
        <x:f>IF(A69="","",U69)</x:f>
      </x:c>
      <x:c r="AK69" s="85" t="str">
        <x:f>IF(A69="","",W69)</x:f>
      </x:c>
      <x:c r="AL69" s="85" t="str">
        <x:f>IFERROR(IF(A69="","",Y69),"")</x:f>
      </x:c>
      <x:c r="AM69" s="85" t="str">
        <x:f>IFERROR(IF(A69="","",Z69),"")</x:f>
      </x:c>
    </x:row>
    <x:row r="70">
      <x:c r="A70" s="92"/>
      <x:c r="B70" s="92"/>
      <x:c r="C70" s="94" t="str">
        <x:f>IFERROR(VLOOKUP(B70,'06 Training Register'!$A$6:$Y$55,3,FALSE),"")</x:f>
      </x:c>
      <x:c r="D70" s="102" t="str">
        <x:f>IF(B70="","",IFERROR(IF(VLOOKUP(B70,'06 Training Register'!$A$6:$Y$55,15,FALSE)&gt;0,VLOOKUP(B70,'06 Training Register'!$A$6:$Y$55,15,FALSE),VLOOKUP(B70,'06 Training Register'!$A$6:$Y$55,12,FALSE)),""))</x:f>
      </x:c>
      <x:c r="E70" s="92"/>
      <x:c r="F70" s="94" t="str">
        <x:f>IFERROR(VLOOKUP(E70,'01 Staff Master'!$A$6:$M$105,2,FALSE),"")</x:f>
      </x:c>
      <x:c r="G70" s="94" t="str">
        <x:f>IFERROR(VLOOKUP(E70,'01 Staff Master'!$A$6:$M$105,3,FALSE),"")</x:f>
      </x:c>
      <x:c r="H70" s="94" t="str">
        <x:f>IFERROR(VLOOKUP(E70,'01 Staff Master'!$A$6:$M$105,5,FALSE),"")</x:f>
      </x:c>
      <x:c r="I70" s="94" t="str">
        <x:f>IFERROR(VLOOKUP(B70,'06 Training Register'!$A$6:$Y$55,4,FALSE),"")</x:f>
      </x:c>
      <x:c r="J70" s="92"/>
      <x:c r="K70" s="92"/>
      <x:c r="L70" s="92"/>
      <x:c r="M70" s="103"/>
      <x:c r="N70" s="103"/>
      <x:c r="O70" s="104" t="str">
        <x:f>IF(OR(M70="",N70=""),"",N70-M70)</x:f>
      </x:c>
      <x:c r="P70" s="103"/>
      <x:c r="Q70" s="94" t="str">
        <x:f>IF(OR(N70="",P70=""),"",IF(N70&gt;=P70,"Pass","Not Yet"))</x:f>
      </x:c>
      <x:c r="R70" s="92"/>
      <x:c r="S70" s="93"/>
      <x:c r="T70" s="102" t="str">
        <x:f>IF(OR(D70="",K70&lt;&gt;"Attended"),"",D70+3)</x:f>
      </x:c>
      <x:c r="U70" s="94" t="str">
        <x:f>IF(A70="","",IF(K70&lt;&gt;"Attended","N/A",IF(COUNTIFS('12 Training Evaluation'!$B$6:$B$155,B70,'12 Training Evaluation'!$C$6:$C$155,E70,'12 Training Evaluation'!$W$6:$W$155,"Complete")&gt;0,"Complete","Pending")))</x:f>
      </x:c>
      <x:c r="V70" s="102" t="str">
        <x:f>IF(OR(D70="",K70&lt;&gt;"Attended"),"",D70+30)</x:f>
      </x:c>
      <x:c r="W70" s="94" t="str">
        <x:f>IF(A70="","",IF(K70&lt;&gt;"Attended","N/A",IF(COUNTIFS('13 Effectiveness Review'!$B$6:$B$155,B70,'13 Effectiveness Review'!$C$6:$C$155,E70)&gt;0,"Reviewed",IF(V70&lt;TODAY(),"Overdue","Due"))))</x:f>
      </x:c>
      <x:c r="X70" s="92"/>
      <x:c r="Y70" s="92"/>
      <x:c r="Z70" s="92"/>
      <x:c r="AA70" s="85" t="str">
        <x:f>IF(E70="","",E70&amp;"|"&amp;COUNTIF($E$6:E70,E70))</x:f>
      </x:c>
      <x:c r="AB70" s="85" t="str">
        <x:f>IF(A70="","",A70)</x:f>
      </x:c>
      <x:c r="AC70" s="85" t="str">
        <x:f>IF(A70="","",B70)</x:f>
      </x:c>
      <x:c r="AD70" s="85" t="str">
        <x:f>IF(A70="","",C70)</x:f>
      </x:c>
      <x:c r="AE70" s="85" t="str">
        <x:f>IF(A70="","",D70)</x:f>
      </x:c>
      <x:c r="AF70" s="85" t="str">
        <x:f>IF(A70="","",L70)</x:f>
      </x:c>
      <x:c r="AG70" s="85" t="str">
        <x:f>IF(A70="","",K70)</x:f>
      </x:c>
      <x:c r="AH70" s="85" t="str">
        <x:f>IF(A70="","",Q70)</x:f>
      </x:c>
      <x:c r="AI70" s="85" t="str">
        <x:f>IF(A70="","",R70)</x:f>
      </x:c>
      <x:c r="AJ70" s="85" t="str">
        <x:f>IF(A70="","",U70)</x:f>
      </x:c>
      <x:c r="AK70" s="85" t="str">
        <x:f>IF(A70="","",W70)</x:f>
      </x:c>
      <x:c r="AL70" s="85" t="str">
        <x:f>IFERROR(IF(A70="","",Y70),"")</x:f>
      </x:c>
      <x:c r="AM70" s="85" t="str">
        <x:f>IFERROR(IF(A70="","",Z70),"")</x:f>
      </x:c>
    </x:row>
    <x:row r="71">
      <x:c r="A71" s="92"/>
      <x:c r="B71" s="92"/>
      <x:c r="C71" s="94" t="str">
        <x:f>IFERROR(VLOOKUP(B71,'06 Training Register'!$A$6:$Y$55,3,FALSE),"")</x:f>
      </x:c>
      <x:c r="D71" s="102" t="str">
        <x:f>IF(B71="","",IFERROR(IF(VLOOKUP(B71,'06 Training Register'!$A$6:$Y$55,15,FALSE)&gt;0,VLOOKUP(B71,'06 Training Register'!$A$6:$Y$55,15,FALSE),VLOOKUP(B71,'06 Training Register'!$A$6:$Y$55,12,FALSE)),""))</x:f>
      </x:c>
      <x:c r="E71" s="92"/>
      <x:c r="F71" s="94" t="str">
        <x:f>IFERROR(VLOOKUP(E71,'01 Staff Master'!$A$6:$M$105,2,FALSE),"")</x:f>
      </x:c>
      <x:c r="G71" s="94" t="str">
        <x:f>IFERROR(VLOOKUP(E71,'01 Staff Master'!$A$6:$M$105,3,FALSE),"")</x:f>
      </x:c>
      <x:c r="H71" s="94" t="str">
        <x:f>IFERROR(VLOOKUP(E71,'01 Staff Master'!$A$6:$M$105,5,FALSE),"")</x:f>
      </x:c>
      <x:c r="I71" s="94" t="str">
        <x:f>IFERROR(VLOOKUP(B71,'06 Training Register'!$A$6:$Y$55,4,FALSE),"")</x:f>
      </x:c>
      <x:c r="J71" s="92"/>
      <x:c r="K71" s="92"/>
      <x:c r="L71" s="92"/>
      <x:c r="M71" s="103"/>
      <x:c r="N71" s="103"/>
      <x:c r="O71" s="104" t="str">
        <x:f>IF(OR(M71="",N71=""),"",N71-M71)</x:f>
      </x:c>
      <x:c r="P71" s="103"/>
      <x:c r="Q71" s="94" t="str">
        <x:f>IF(OR(N71="",P71=""),"",IF(N71&gt;=P71,"Pass","Not Yet"))</x:f>
      </x:c>
      <x:c r="R71" s="92"/>
      <x:c r="S71" s="93"/>
      <x:c r="T71" s="102" t="str">
        <x:f>IF(OR(D71="",K71&lt;&gt;"Attended"),"",D71+3)</x:f>
      </x:c>
      <x:c r="U71" s="94" t="str">
        <x:f>IF(A71="","",IF(K71&lt;&gt;"Attended","N/A",IF(COUNTIFS('12 Training Evaluation'!$B$6:$B$155,B71,'12 Training Evaluation'!$C$6:$C$155,E71,'12 Training Evaluation'!$W$6:$W$155,"Complete")&gt;0,"Complete","Pending")))</x:f>
      </x:c>
      <x:c r="V71" s="102" t="str">
        <x:f>IF(OR(D71="",K71&lt;&gt;"Attended"),"",D71+30)</x:f>
      </x:c>
      <x:c r="W71" s="94" t="str">
        <x:f>IF(A71="","",IF(K71&lt;&gt;"Attended","N/A",IF(COUNTIFS('13 Effectiveness Review'!$B$6:$B$155,B71,'13 Effectiveness Review'!$C$6:$C$155,E71)&gt;0,"Reviewed",IF(V71&lt;TODAY(),"Overdue","Due"))))</x:f>
      </x:c>
      <x:c r="X71" s="92"/>
      <x:c r="Y71" s="92"/>
      <x:c r="Z71" s="92"/>
      <x:c r="AA71" s="85" t="str">
        <x:f>IF(E71="","",E71&amp;"|"&amp;COUNTIF($E$6:E71,E71))</x:f>
      </x:c>
      <x:c r="AB71" s="85" t="str">
        <x:f>IF(A71="","",A71)</x:f>
      </x:c>
      <x:c r="AC71" s="85" t="str">
        <x:f>IF(A71="","",B71)</x:f>
      </x:c>
      <x:c r="AD71" s="85" t="str">
        <x:f>IF(A71="","",C71)</x:f>
      </x:c>
      <x:c r="AE71" s="85" t="str">
        <x:f>IF(A71="","",D71)</x:f>
      </x:c>
      <x:c r="AF71" s="85" t="str">
        <x:f>IF(A71="","",L71)</x:f>
      </x:c>
      <x:c r="AG71" s="85" t="str">
        <x:f>IF(A71="","",K71)</x:f>
      </x:c>
      <x:c r="AH71" s="85" t="str">
        <x:f>IF(A71="","",Q71)</x:f>
      </x:c>
      <x:c r="AI71" s="85" t="str">
        <x:f>IF(A71="","",R71)</x:f>
      </x:c>
      <x:c r="AJ71" s="85" t="str">
        <x:f>IF(A71="","",U71)</x:f>
      </x:c>
      <x:c r="AK71" s="85" t="str">
        <x:f>IF(A71="","",W71)</x:f>
      </x:c>
      <x:c r="AL71" s="85" t="str">
        <x:f>IFERROR(IF(A71="","",Y71),"")</x:f>
      </x:c>
      <x:c r="AM71" s="85" t="str">
        <x:f>IFERROR(IF(A71="","",Z71),"")</x:f>
      </x:c>
    </x:row>
    <x:row r="72">
      <x:c r="A72" s="92"/>
      <x:c r="B72" s="92"/>
      <x:c r="C72" s="94" t="str">
        <x:f>IFERROR(VLOOKUP(B72,'06 Training Register'!$A$6:$Y$55,3,FALSE),"")</x:f>
      </x:c>
      <x:c r="D72" s="102" t="str">
        <x:f>IF(B72="","",IFERROR(IF(VLOOKUP(B72,'06 Training Register'!$A$6:$Y$55,15,FALSE)&gt;0,VLOOKUP(B72,'06 Training Register'!$A$6:$Y$55,15,FALSE),VLOOKUP(B72,'06 Training Register'!$A$6:$Y$55,12,FALSE)),""))</x:f>
      </x:c>
      <x:c r="E72" s="92"/>
      <x:c r="F72" s="94" t="str">
        <x:f>IFERROR(VLOOKUP(E72,'01 Staff Master'!$A$6:$M$105,2,FALSE),"")</x:f>
      </x:c>
      <x:c r="G72" s="94" t="str">
        <x:f>IFERROR(VLOOKUP(E72,'01 Staff Master'!$A$6:$M$105,3,FALSE),"")</x:f>
      </x:c>
      <x:c r="H72" s="94" t="str">
        <x:f>IFERROR(VLOOKUP(E72,'01 Staff Master'!$A$6:$M$105,5,FALSE),"")</x:f>
      </x:c>
      <x:c r="I72" s="94" t="str">
        <x:f>IFERROR(VLOOKUP(B72,'06 Training Register'!$A$6:$Y$55,4,FALSE),"")</x:f>
      </x:c>
      <x:c r="J72" s="92"/>
      <x:c r="K72" s="92"/>
      <x:c r="L72" s="92"/>
      <x:c r="M72" s="103"/>
      <x:c r="N72" s="103"/>
      <x:c r="O72" s="104" t="str">
        <x:f>IF(OR(M72="",N72=""),"",N72-M72)</x:f>
      </x:c>
      <x:c r="P72" s="103"/>
      <x:c r="Q72" s="94" t="str">
        <x:f>IF(OR(N72="",P72=""),"",IF(N72&gt;=P72,"Pass","Not Yet"))</x:f>
      </x:c>
      <x:c r="R72" s="92"/>
      <x:c r="S72" s="93"/>
      <x:c r="T72" s="102" t="str">
        <x:f>IF(OR(D72="",K72&lt;&gt;"Attended"),"",D72+3)</x:f>
      </x:c>
      <x:c r="U72" s="94" t="str">
        <x:f>IF(A72="","",IF(K72&lt;&gt;"Attended","N/A",IF(COUNTIFS('12 Training Evaluation'!$B$6:$B$155,B72,'12 Training Evaluation'!$C$6:$C$155,E72,'12 Training Evaluation'!$W$6:$W$155,"Complete")&gt;0,"Complete","Pending")))</x:f>
      </x:c>
      <x:c r="V72" s="102" t="str">
        <x:f>IF(OR(D72="",K72&lt;&gt;"Attended"),"",D72+30)</x:f>
      </x:c>
      <x:c r="W72" s="94" t="str">
        <x:f>IF(A72="","",IF(K72&lt;&gt;"Attended","N/A",IF(COUNTIFS('13 Effectiveness Review'!$B$6:$B$155,B72,'13 Effectiveness Review'!$C$6:$C$155,E72)&gt;0,"Reviewed",IF(V72&lt;TODAY(),"Overdue","Due"))))</x:f>
      </x:c>
      <x:c r="X72" s="92"/>
      <x:c r="Y72" s="92"/>
      <x:c r="Z72" s="92"/>
      <x:c r="AA72" s="85" t="str">
        <x:f>IF(E72="","",E72&amp;"|"&amp;COUNTIF($E$6:E72,E72))</x:f>
      </x:c>
      <x:c r="AB72" s="85" t="str">
        <x:f>IF(A72="","",A72)</x:f>
      </x:c>
      <x:c r="AC72" s="85" t="str">
        <x:f>IF(A72="","",B72)</x:f>
      </x:c>
      <x:c r="AD72" s="85" t="str">
        <x:f>IF(A72="","",C72)</x:f>
      </x:c>
      <x:c r="AE72" s="85" t="str">
        <x:f>IF(A72="","",D72)</x:f>
      </x:c>
      <x:c r="AF72" s="85" t="str">
        <x:f>IF(A72="","",L72)</x:f>
      </x:c>
      <x:c r="AG72" s="85" t="str">
        <x:f>IF(A72="","",K72)</x:f>
      </x:c>
      <x:c r="AH72" s="85" t="str">
        <x:f>IF(A72="","",Q72)</x:f>
      </x:c>
      <x:c r="AI72" s="85" t="str">
        <x:f>IF(A72="","",R72)</x:f>
      </x:c>
      <x:c r="AJ72" s="85" t="str">
        <x:f>IF(A72="","",U72)</x:f>
      </x:c>
      <x:c r="AK72" s="85" t="str">
        <x:f>IF(A72="","",W72)</x:f>
      </x:c>
      <x:c r="AL72" s="85" t="str">
        <x:f>IFERROR(IF(A72="","",Y72),"")</x:f>
      </x:c>
      <x:c r="AM72" s="85" t="str">
        <x:f>IFERROR(IF(A72="","",Z72),"")</x:f>
      </x:c>
    </x:row>
    <x:row r="73">
      <x:c r="A73" s="92"/>
      <x:c r="B73" s="92"/>
      <x:c r="C73" s="94" t="str">
        <x:f>IFERROR(VLOOKUP(B73,'06 Training Register'!$A$6:$Y$55,3,FALSE),"")</x:f>
      </x:c>
      <x:c r="D73" s="102" t="str">
        <x:f>IF(B73="","",IFERROR(IF(VLOOKUP(B73,'06 Training Register'!$A$6:$Y$55,15,FALSE)&gt;0,VLOOKUP(B73,'06 Training Register'!$A$6:$Y$55,15,FALSE),VLOOKUP(B73,'06 Training Register'!$A$6:$Y$55,12,FALSE)),""))</x:f>
      </x:c>
      <x:c r="E73" s="92"/>
      <x:c r="F73" s="94" t="str">
        <x:f>IFERROR(VLOOKUP(E73,'01 Staff Master'!$A$6:$M$105,2,FALSE),"")</x:f>
      </x:c>
      <x:c r="G73" s="94" t="str">
        <x:f>IFERROR(VLOOKUP(E73,'01 Staff Master'!$A$6:$M$105,3,FALSE),"")</x:f>
      </x:c>
      <x:c r="H73" s="94" t="str">
        <x:f>IFERROR(VLOOKUP(E73,'01 Staff Master'!$A$6:$M$105,5,FALSE),"")</x:f>
      </x:c>
      <x:c r="I73" s="94" t="str">
        <x:f>IFERROR(VLOOKUP(B73,'06 Training Register'!$A$6:$Y$55,4,FALSE),"")</x:f>
      </x:c>
      <x:c r="J73" s="92"/>
      <x:c r="K73" s="92"/>
      <x:c r="L73" s="92"/>
      <x:c r="M73" s="103"/>
      <x:c r="N73" s="103"/>
      <x:c r="O73" s="104" t="str">
        <x:f>IF(OR(M73="",N73=""),"",N73-M73)</x:f>
      </x:c>
      <x:c r="P73" s="103"/>
      <x:c r="Q73" s="94" t="str">
        <x:f>IF(OR(N73="",P73=""),"",IF(N73&gt;=P73,"Pass","Not Yet"))</x:f>
      </x:c>
      <x:c r="R73" s="92"/>
      <x:c r="S73" s="93"/>
      <x:c r="T73" s="102" t="str">
        <x:f>IF(OR(D73="",K73&lt;&gt;"Attended"),"",D73+3)</x:f>
      </x:c>
      <x:c r="U73" s="94" t="str">
        <x:f>IF(A73="","",IF(K73&lt;&gt;"Attended","N/A",IF(COUNTIFS('12 Training Evaluation'!$B$6:$B$155,B73,'12 Training Evaluation'!$C$6:$C$155,E73,'12 Training Evaluation'!$W$6:$W$155,"Complete")&gt;0,"Complete","Pending")))</x:f>
      </x:c>
      <x:c r="V73" s="102" t="str">
        <x:f>IF(OR(D73="",K73&lt;&gt;"Attended"),"",D73+30)</x:f>
      </x:c>
      <x:c r="W73" s="94" t="str">
        <x:f>IF(A73="","",IF(K73&lt;&gt;"Attended","N/A",IF(COUNTIFS('13 Effectiveness Review'!$B$6:$B$155,B73,'13 Effectiveness Review'!$C$6:$C$155,E73)&gt;0,"Reviewed",IF(V73&lt;TODAY(),"Overdue","Due"))))</x:f>
      </x:c>
      <x:c r="X73" s="92"/>
      <x:c r="Y73" s="92"/>
      <x:c r="Z73" s="92"/>
      <x:c r="AA73" s="85" t="str">
        <x:f>IF(E73="","",E73&amp;"|"&amp;COUNTIF($E$6:E73,E73))</x:f>
      </x:c>
      <x:c r="AB73" s="85" t="str">
        <x:f>IF(A73="","",A73)</x:f>
      </x:c>
      <x:c r="AC73" s="85" t="str">
        <x:f>IF(A73="","",B73)</x:f>
      </x:c>
      <x:c r="AD73" s="85" t="str">
        <x:f>IF(A73="","",C73)</x:f>
      </x:c>
      <x:c r="AE73" s="85" t="str">
        <x:f>IF(A73="","",D73)</x:f>
      </x:c>
      <x:c r="AF73" s="85" t="str">
        <x:f>IF(A73="","",L73)</x:f>
      </x:c>
      <x:c r="AG73" s="85" t="str">
        <x:f>IF(A73="","",K73)</x:f>
      </x:c>
      <x:c r="AH73" s="85" t="str">
        <x:f>IF(A73="","",Q73)</x:f>
      </x:c>
      <x:c r="AI73" s="85" t="str">
        <x:f>IF(A73="","",R73)</x:f>
      </x:c>
      <x:c r="AJ73" s="85" t="str">
        <x:f>IF(A73="","",U73)</x:f>
      </x:c>
      <x:c r="AK73" s="85" t="str">
        <x:f>IF(A73="","",W73)</x:f>
      </x:c>
      <x:c r="AL73" s="85" t="str">
        <x:f>IFERROR(IF(A73="","",Y73),"")</x:f>
      </x:c>
      <x:c r="AM73" s="85" t="str">
        <x:f>IFERROR(IF(A73="","",Z73),"")</x:f>
      </x:c>
    </x:row>
    <x:row r="74">
      <x:c r="A74" s="92"/>
      <x:c r="B74" s="92"/>
      <x:c r="C74" s="94" t="str">
        <x:f>IFERROR(VLOOKUP(B74,'06 Training Register'!$A$6:$Y$55,3,FALSE),"")</x:f>
      </x:c>
      <x:c r="D74" s="102" t="str">
        <x:f>IF(B74="","",IFERROR(IF(VLOOKUP(B74,'06 Training Register'!$A$6:$Y$55,15,FALSE)&gt;0,VLOOKUP(B74,'06 Training Register'!$A$6:$Y$55,15,FALSE),VLOOKUP(B74,'06 Training Register'!$A$6:$Y$55,12,FALSE)),""))</x:f>
      </x:c>
      <x:c r="E74" s="92"/>
      <x:c r="F74" s="94" t="str">
        <x:f>IFERROR(VLOOKUP(E74,'01 Staff Master'!$A$6:$M$105,2,FALSE),"")</x:f>
      </x:c>
      <x:c r="G74" s="94" t="str">
        <x:f>IFERROR(VLOOKUP(E74,'01 Staff Master'!$A$6:$M$105,3,FALSE),"")</x:f>
      </x:c>
      <x:c r="H74" s="94" t="str">
        <x:f>IFERROR(VLOOKUP(E74,'01 Staff Master'!$A$6:$M$105,5,FALSE),"")</x:f>
      </x:c>
      <x:c r="I74" s="94" t="str">
        <x:f>IFERROR(VLOOKUP(B74,'06 Training Register'!$A$6:$Y$55,4,FALSE),"")</x:f>
      </x:c>
      <x:c r="J74" s="92"/>
      <x:c r="K74" s="92"/>
      <x:c r="L74" s="92"/>
      <x:c r="M74" s="103"/>
      <x:c r="N74" s="103"/>
      <x:c r="O74" s="104" t="str">
        <x:f>IF(OR(M74="",N74=""),"",N74-M74)</x:f>
      </x:c>
      <x:c r="P74" s="103"/>
      <x:c r="Q74" s="94" t="str">
        <x:f>IF(OR(N74="",P74=""),"",IF(N74&gt;=P74,"Pass","Not Yet"))</x:f>
      </x:c>
      <x:c r="R74" s="92"/>
      <x:c r="S74" s="93"/>
      <x:c r="T74" s="102" t="str">
        <x:f>IF(OR(D74="",K74&lt;&gt;"Attended"),"",D74+3)</x:f>
      </x:c>
      <x:c r="U74" s="94" t="str">
        <x:f>IF(A74="","",IF(K74&lt;&gt;"Attended","N/A",IF(COUNTIFS('12 Training Evaluation'!$B$6:$B$155,B74,'12 Training Evaluation'!$C$6:$C$155,E74,'12 Training Evaluation'!$W$6:$W$155,"Complete")&gt;0,"Complete","Pending")))</x:f>
      </x:c>
      <x:c r="V74" s="102" t="str">
        <x:f>IF(OR(D74="",K74&lt;&gt;"Attended"),"",D74+30)</x:f>
      </x:c>
      <x:c r="W74" s="94" t="str">
        <x:f>IF(A74="","",IF(K74&lt;&gt;"Attended","N/A",IF(COUNTIFS('13 Effectiveness Review'!$B$6:$B$155,B74,'13 Effectiveness Review'!$C$6:$C$155,E74)&gt;0,"Reviewed",IF(V74&lt;TODAY(),"Overdue","Due"))))</x:f>
      </x:c>
      <x:c r="X74" s="92"/>
      <x:c r="Y74" s="92"/>
      <x:c r="Z74" s="92"/>
      <x:c r="AA74" s="85" t="str">
        <x:f>IF(E74="","",E74&amp;"|"&amp;COUNTIF($E$6:E74,E74))</x:f>
      </x:c>
      <x:c r="AB74" s="85" t="str">
        <x:f>IF(A74="","",A74)</x:f>
      </x:c>
      <x:c r="AC74" s="85" t="str">
        <x:f>IF(A74="","",B74)</x:f>
      </x:c>
      <x:c r="AD74" s="85" t="str">
        <x:f>IF(A74="","",C74)</x:f>
      </x:c>
      <x:c r="AE74" s="85" t="str">
        <x:f>IF(A74="","",D74)</x:f>
      </x:c>
      <x:c r="AF74" s="85" t="str">
        <x:f>IF(A74="","",L74)</x:f>
      </x:c>
      <x:c r="AG74" s="85" t="str">
        <x:f>IF(A74="","",K74)</x:f>
      </x:c>
      <x:c r="AH74" s="85" t="str">
        <x:f>IF(A74="","",Q74)</x:f>
      </x:c>
      <x:c r="AI74" s="85" t="str">
        <x:f>IF(A74="","",R74)</x:f>
      </x:c>
      <x:c r="AJ74" s="85" t="str">
        <x:f>IF(A74="","",U74)</x:f>
      </x:c>
      <x:c r="AK74" s="85" t="str">
        <x:f>IF(A74="","",W74)</x:f>
      </x:c>
      <x:c r="AL74" s="85" t="str">
        <x:f>IFERROR(IF(A74="","",Y74),"")</x:f>
      </x:c>
      <x:c r="AM74" s="85" t="str">
        <x:f>IFERROR(IF(A74="","",Z74),"")</x:f>
      </x:c>
    </x:row>
    <x:row r="75">
      <x:c r="A75" s="92"/>
      <x:c r="B75" s="92"/>
      <x:c r="C75" s="94" t="str">
        <x:f>IFERROR(VLOOKUP(B75,'06 Training Register'!$A$6:$Y$55,3,FALSE),"")</x:f>
      </x:c>
      <x:c r="D75" s="102" t="str">
        <x:f>IF(B75="","",IFERROR(IF(VLOOKUP(B75,'06 Training Register'!$A$6:$Y$55,15,FALSE)&gt;0,VLOOKUP(B75,'06 Training Register'!$A$6:$Y$55,15,FALSE),VLOOKUP(B75,'06 Training Register'!$A$6:$Y$55,12,FALSE)),""))</x:f>
      </x:c>
      <x:c r="E75" s="92"/>
      <x:c r="F75" s="94" t="str">
        <x:f>IFERROR(VLOOKUP(E75,'01 Staff Master'!$A$6:$M$105,2,FALSE),"")</x:f>
      </x:c>
      <x:c r="G75" s="94" t="str">
        <x:f>IFERROR(VLOOKUP(E75,'01 Staff Master'!$A$6:$M$105,3,FALSE),"")</x:f>
      </x:c>
      <x:c r="H75" s="94" t="str">
        <x:f>IFERROR(VLOOKUP(E75,'01 Staff Master'!$A$6:$M$105,5,FALSE),"")</x:f>
      </x:c>
      <x:c r="I75" s="94" t="str">
        <x:f>IFERROR(VLOOKUP(B75,'06 Training Register'!$A$6:$Y$55,4,FALSE),"")</x:f>
      </x:c>
      <x:c r="J75" s="92"/>
      <x:c r="K75" s="92"/>
      <x:c r="L75" s="92"/>
      <x:c r="M75" s="103"/>
      <x:c r="N75" s="103"/>
      <x:c r="O75" s="104" t="str">
        <x:f>IF(OR(M75="",N75=""),"",N75-M75)</x:f>
      </x:c>
      <x:c r="P75" s="103"/>
      <x:c r="Q75" s="94" t="str">
        <x:f>IF(OR(N75="",P75=""),"",IF(N75&gt;=P75,"Pass","Not Yet"))</x:f>
      </x:c>
      <x:c r="R75" s="92"/>
      <x:c r="S75" s="93"/>
      <x:c r="T75" s="102" t="str">
        <x:f>IF(OR(D75="",K75&lt;&gt;"Attended"),"",D75+3)</x:f>
      </x:c>
      <x:c r="U75" s="94" t="str">
        <x:f>IF(A75="","",IF(K75&lt;&gt;"Attended","N/A",IF(COUNTIFS('12 Training Evaluation'!$B$6:$B$155,B75,'12 Training Evaluation'!$C$6:$C$155,E75,'12 Training Evaluation'!$W$6:$W$155,"Complete")&gt;0,"Complete","Pending")))</x:f>
      </x:c>
      <x:c r="V75" s="102" t="str">
        <x:f>IF(OR(D75="",K75&lt;&gt;"Attended"),"",D75+30)</x:f>
      </x:c>
      <x:c r="W75" s="94" t="str">
        <x:f>IF(A75="","",IF(K75&lt;&gt;"Attended","N/A",IF(COUNTIFS('13 Effectiveness Review'!$B$6:$B$155,B75,'13 Effectiveness Review'!$C$6:$C$155,E75)&gt;0,"Reviewed",IF(V75&lt;TODAY(),"Overdue","Due"))))</x:f>
      </x:c>
      <x:c r="X75" s="92"/>
      <x:c r="Y75" s="92"/>
      <x:c r="Z75" s="92"/>
      <x:c r="AA75" s="85" t="str">
        <x:f>IF(E75="","",E75&amp;"|"&amp;COUNTIF($E$6:E75,E75))</x:f>
      </x:c>
      <x:c r="AB75" s="85" t="str">
        <x:f>IF(A75="","",A75)</x:f>
      </x:c>
      <x:c r="AC75" s="85" t="str">
        <x:f>IF(A75="","",B75)</x:f>
      </x:c>
      <x:c r="AD75" s="85" t="str">
        <x:f>IF(A75="","",C75)</x:f>
      </x:c>
      <x:c r="AE75" s="85" t="str">
        <x:f>IF(A75="","",D75)</x:f>
      </x:c>
      <x:c r="AF75" s="85" t="str">
        <x:f>IF(A75="","",L75)</x:f>
      </x:c>
      <x:c r="AG75" s="85" t="str">
        <x:f>IF(A75="","",K75)</x:f>
      </x:c>
      <x:c r="AH75" s="85" t="str">
        <x:f>IF(A75="","",Q75)</x:f>
      </x:c>
      <x:c r="AI75" s="85" t="str">
        <x:f>IF(A75="","",R75)</x:f>
      </x:c>
      <x:c r="AJ75" s="85" t="str">
        <x:f>IF(A75="","",U75)</x:f>
      </x:c>
      <x:c r="AK75" s="85" t="str">
        <x:f>IF(A75="","",W75)</x:f>
      </x:c>
      <x:c r="AL75" s="85" t="str">
        <x:f>IFERROR(IF(A75="","",Y75),"")</x:f>
      </x:c>
      <x:c r="AM75" s="85" t="str">
        <x:f>IFERROR(IF(A75="","",Z75),"")</x:f>
      </x:c>
    </x:row>
    <x:row r="76">
      <x:c r="A76" s="92"/>
      <x:c r="B76" s="92"/>
      <x:c r="C76" s="94" t="str">
        <x:f>IFERROR(VLOOKUP(B76,'06 Training Register'!$A$6:$Y$55,3,FALSE),"")</x:f>
      </x:c>
      <x:c r="D76" s="102" t="str">
        <x:f>IF(B76="","",IFERROR(IF(VLOOKUP(B76,'06 Training Register'!$A$6:$Y$55,15,FALSE)&gt;0,VLOOKUP(B76,'06 Training Register'!$A$6:$Y$55,15,FALSE),VLOOKUP(B76,'06 Training Register'!$A$6:$Y$55,12,FALSE)),""))</x:f>
      </x:c>
      <x:c r="E76" s="92"/>
      <x:c r="F76" s="94" t="str">
        <x:f>IFERROR(VLOOKUP(E76,'01 Staff Master'!$A$6:$M$105,2,FALSE),"")</x:f>
      </x:c>
      <x:c r="G76" s="94" t="str">
        <x:f>IFERROR(VLOOKUP(E76,'01 Staff Master'!$A$6:$M$105,3,FALSE),"")</x:f>
      </x:c>
      <x:c r="H76" s="94" t="str">
        <x:f>IFERROR(VLOOKUP(E76,'01 Staff Master'!$A$6:$M$105,5,FALSE),"")</x:f>
      </x:c>
      <x:c r="I76" s="94" t="str">
        <x:f>IFERROR(VLOOKUP(B76,'06 Training Register'!$A$6:$Y$55,4,FALSE),"")</x:f>
      </x:c>
      <x:c r="J76" s="92"/>
      <x:c r="K76" s="92"/>
      <x:c r="L76" s="92"/>
      <x:c r="M76" s="103"/>
      <x:c r="N76" s="103"/>
      <x:c r="O76" s="104" t="str">
        <x:f>IF(OR(M76="",N76=""),"",N76-M76)</x:f>
      </x:c>
      <x:c r="P76" s="103"/>
      <x:c r="Q76" s="94" t="str">
        <x:f>IF(OR(N76="",P76=""),"",IF(N76&gt;=P76,"Pass","Not Yet"))</x:f>
      </x:c>
      <x:c r="R76" s="92"/>
      <x:c r="S76" s="93"/>
      <x:c r="T76" s="102" t="str">
        <x:f>IF(OR(D76="",K76&lt;&gt;"Attended"),"",D76+3)</x:f>
      </x:c>
      <x:c r="U76" s="94" t="str">
        <x:f>IF(A76="","",IF(K76&lt;&gt;"Attended","N/A",IF(COUNTIFS('12 Training Evaluation'!$B$6:$B$155,B76,'12 Training Evaluation'!$C$6:$C$155,E76,'12 Training Evaluation'!$W$6:$W$155,"Complete")&gt;0,"Complete","Pending")))</x:f>
      </x:c>
      <x:c r="V76" s="102" t="str">
        <x:f>IF(OR(D76="",K76&lt;&gt;"Attended"),"",D76+30)</x:f>
      </x:c>
      <x:c r="W76" s="94" t="str">
        <x:f>IF(A76="","",IF(K76&lt;&gt;"Attended","N/A",IF(COUNTIFS('13 Effectiveness Review'!$B$6:$B$155,B76,'13 Effectiveness Review'!$C$6:$C$155,E76)&gt;0,"Reviewed",IF(V76&lt;TODAY(),"Overdue","Due"))))</x:f>
      </x:c>
      <x:c r="X76" s="92"/>
      <x:c r="Y76" s="92"/>
      <x:c r="Z76" s="92"/>
      <x:c r="AA76" s="85" t="str">
        <x:f>IF(E76="","",E76&amp;"|"&amp;COUNTIF($E$6:E76,E76))</x:f>
      </x:c>
      <x:c r="AB76" s="85" t="str">
        <x:f>IF(A76="","",A76)</x:f>
      </x:c>
      <x:c r="AC76" s="85" t="str">
        <x:f>IF(A76="","",B76)</x:f>
      </x:c>
      <x:c r="AD76" s="85" t="str">
        <x:f>IF(A76="","",C76)</x:f>
      </x:c>
      <x:c r="AE76" s="85" t="str">
        <x:f>IF(A76="","",D76)</x:f>
      </x:c>
      <x:c r="AF76" s="85" t="str">
        <x:f>IF(A76="","",L76)</x:f>
      </x:c>
      <x:c r="AG76" s="85" t="str">
        <x:f>IF(A76="","",K76)</x:f>
      </x:c>
      <x:c r="AH76" s="85" t="str">
        <x:f>IF(A76="","",Q76)</x:f>
      </x:c>
      <x:c r="AI76" s="85" t="str">
        <x:f>IF(A76="","",R76)</x:f>
      </x:c>
      <x:c r="AJ76" s="85" t="str">
        <x:f>IF(A76="","",U76)</x:f>
      </x:c>
      <x:c r="AK76" s="85" t="str">
        <x:f>IF(A76="","",W76)</x:f>
      </x:c>
      <x:c r="AL76" s="85" t="str">
        <x:f>IFERROR(IF(A76="","",Y76),"")</x:f>
      </x:c>
      <x:c r="AM76" s="85" t="str">
        <x:f>IFERROR(IF(A76="","",Z76),"")</x:f>
      </x:c>
    </x:row>
    <x:row r="77">
      <x:c r="A77" s="92"/>
      <x:c r="B77" s="92"/>
      <x:c r="C77" s="94" t="str">
        <x:f>IFERROR(VLOOKUP(B77,'06 Training Register'!$A$6:$Y$55,3,FALSE),"")</x:f>
      </x:c>
      <x:c r="D77" s="102" t="str">
        <x:f>IF(B77="","",IFERROR(IF(VLOOKUP(B77,'06 Training Register'!$A$6:$Y$55,15,FALSE)&gt;0,VLOOKUP(B77,'06 Training Register'!$A$6:$Y$55,15,FALSE),VLOOKUP(B77,'06 Training Register'!$A$6:$Y$55,12,FALSE)),""))</x:f>
      </x:c>
      <x:c r="E77" s="92"/>
      <x:c r="F77" s="94" t="str">
        <x:f>IFERROR(VLOOKUP(E77,'01 Staff Master'!$A$6:$M$105,2,FALSE),"")</x:f>
      </x:c>
      <x:c r="G77" s="94" t="str">
        <x:f>IFERROR(VLOOKUP(E77,'01 Staff Master'!$A$6:$M$105,3,FALSE),"")</x:f>
      </x:c>
      <x:c r="H77" s="94" t="str">
        <x:f>IFERROR(VLOOKUP(E77,'01 Staff Master'!$A$6:$M$105,5,FALSE),"")</x:f>
      </x:c>
      <x:c r="I77" s="94" t="str">
        <x:f>IFERROR(VLOOKUP(B77,'06 Training Register'!$A$6:$Y$55,4,FALSE),"")</x:f>
      </x:c>
      <x:c r="J77" s="92"/>
      <x:c r="K77" s="92"/>
      <x:c r="L77" s="92"/>
      <x:c r="M77" s="103"/>
      <x:c r="N77" s="103"/>
      <x:c r="O77" s="104" t="str">
        <x:f>IF(OR(M77="",N77=""),"",N77-M77)</x:f>
      </x:c>
      <x:c r="P77" s="103"/>
      <x:c r="Q77" s="94" t="str">
        <x:f>IF(OR(N77="",P77=""),"",IF(N77&gt;=P77,"Pass","Not Yet"))</x:f>
      </x:c>
      <x:c r="R77" s="92"/>
      <x:c r="S77" s="93"/>
      <x:c r="T77" s="102" t="str">
        <x:f>IF(OR(D77="",K77&lt;&gt;"Attended"),"",D77+3)</x:f>
      </x:c>
      <x:c r="U77" s="94" t="str">
        <x:f>IF(A77="","",IF(K77&lt;&gt;"Attended","N/A",IF(COUNTIFS('12 Training Evaluation'!$B$6:$B$155,B77,'12 Training Evaluation'!$C$6:$C$155,E77,'12 Training Evaluation'!$W$6:$W$155,"Complete")&gt;0,"Complete","Pending")))</x:f>
      </x:c>
      <x:c r="V77" s="102" t="str">
        <x:f>IF(OR(D77="",K77&lt;&gt;"Attended"),"",D77+30)</x:f>
      </x:c>
      <x:c r="W77" s="94" t="str">
        <x:f>IF(A77="","",IF(K77&lt;&gt;"Attended","N/A",IF(COUNTIFS('13 Effectiveness Review'!$B$6:$B$155,B77,'13 Effectiveness Review'!$C$6:$C$155,E77)&gt;0,"Reviewed",IF(V77&lt;TODAY(),"Overdue","Due"))))</x:f>
      </x:c>
      <x:c r="X77" s="92"/>
      <x:c r="Y77" s="92"/>
      <x:c r="Z77" s="92"/>
      <x:c r="AA77" s="85" t="str">
        <x:f>IF(E77="","",E77&amp;"|"&amp;COUNTIF($E$6:E77,E77))</x:f>
      </x:c>
      <x:c r="AB77" s="85" t="str">
        <x:f>IF(A77="","",A77)</x:f>
      </x:c>
      <x:c r="AC77" s="85" t="str">
        <x:f>IF(A77="","",B77)</x:f>
      </x:c>
      <x:c r="AD77" s="85" t="str">
        <x:f>IF(A77="","",C77)</x:f>
      </x:c>
      <x:c r="AE77" s="85" t="str">
        <x:f>IF(A77="","",D77)</x:f>
      </x:c>
      <x:c r="AF77" s="85" t="str">
        <x:f>IF(A77="","",L77)</x:f>
      </x:c>
      <x:c r="AG77" s="85" t="str">
        <x:f>IF(A77="","",K77)</x:f>
      </x:c>
      <x:c r="AH77" s="85" t="str">
        <x:f>IF(A77="","",Q77)</x:f>
      </x:c>
      <x:c r="AI77" s="85" t="str">
        <x:f>IF(A77="","",R77)</x:f>
      </x:c>
      <x:c r="AJ77" s="85" t="str">
        <x:f>IF(A77="","",U77)</x:f>
      </x:c>
      <x:c r="AK77" s="85" t="str">
        <x:f>IF(A77="","",W77)</x:f>
      </x:c>
      <x:c r="AL77" s="85" t="str">
        <x:f>IFERROR(IF(A77="","",Y77),"")</x:f>
      </x:c>
      <x:c r="AM77" s="85" t="str">
        <x:f>IFERROR(IF(A77="","",Z77),"")</x:f>
      </x:c>
    </x:row>
    <x:row r="78">
      <x:c r="A78" s="92"/>
      <x:c r="B78" s="92"/>
      <x:c r="C78" s="94" t="str">
        <x:f>IFERROR(VLOOKUP(B78,'06 Training Register'!$A$6:$Y$55,3,FALSE),"")</x:f>
      </x:c>
      <x:c r="D78" s="102" t="str">
        <x:f>IF(B78="","",IFERROR(IF(VLOOKUP(B78,'06 Training Register'!$A$6:$Y$55,15,FALSE)&gt;0,VLOOKUP(B78,'06 Training Register'!$A$6:$Y$55,15,FALSE),VLOOKUP(B78,'06 Training Register'!$A$6:$Y$55,12,FALSE)),""))</x:f>
      </x:c>
      <x:c r="E78" s="92"/>
      <x:c r="F78" s="94" t="str">
        <x:f>IFERROR(VLOOKUP(E78,'01 Staff Master'!$A$6:$M$105,2,FALSE),"")</x:f>
      </x:c>
      <x:c r="G78" s="94" t="str">
        <x:f>IFERROR(VLOOKUP(E78,'01 Staff Master'!$A$6:$M$105,3,FALSE),"")</x:f>
      </x:c>
      <x:c r="H78" s="94" t="str">
        <x:f>IFERROR(VLOOKUP(E78,'01 Staff Master'!$A$6:$M$105,5,FALSE),"")</x:f>
      </x:c>
      <x:c r="I78" s="94" t="str">
        <x:f>IFERROR(VLOOKUP(B78,'06 Training Register'!$A$6:$Y$55,4,FALSE),"")</x:f>
      </x:c>
      <x:c r="J78" s="92"/>
      <x:c r="K78" s="92"/>
      <x:c r="L78" s="92"/>
      <x:c r="M78" s="103"/>
      <x:c r="N78" s="103"/>
      <x:c r="O78" s="104" t="str">
        <x:f>IF(OR(M78="",N78=""),"",N78-M78)</x:f>
      </x:c>
      <x:c r="P78" s="103"/>
      <x:c r="Q78" s="94" t="str">
        <x:f>IF(OR(N78="",P78=""),"",IF(N78&gt;=P78,"Pass","Not Yet"))</x:f>
      </x:c>
      <x:c r="R78" s="92"/>
      <x:c r="S78" s="93"/>
      <x:c r="T78" s="102" t="str">
        <x:f>IF(OR(D78="",K78&lt;&gt;"Attended"),"",D78+3)</x:f>
      </x:c>
      <x:c r="U78" s="94" t="str">
        <x:f>IF(A78="","",IF(K78&lt;&gt;"Attended","N/A",IF(COUNTIFS('12 Training Evaluation'!$B$6:$B$155,B78,'12 Training Evaluation'!$C$6:$C$155,E78,'12 Training Evaluation'!$W$6:$W$155,"Complete")&gt;0,"Complete","Pending")))</x:f>
      </x:c>
      <x:c r="V78" s="102" t="str">
        <x:f>IF(OR(D78="",K78&lt;&gt;"Attended"),"",D78+30)</x:f>
      </x:c>
      <x:c r="W78" s="94" t="str">
        <x:f>IF(A78="","",IF(K78&lt;&gt;"Attended","N/A",IF(COUNTIFS('13 Effectiveness Review'!$B$6:$B$155,B78,'13 Effectiveness Review'!$C$6:$C$155,E78)&gt;0,"Reviewed",IF(V78&lt;TODAY(),"Overdue","Due"))))</x:f>
      </x:c>
      <x:c r="X78" s="92"/>
      <x:c r="Y78" s="92"/>
      <x:c r="Z78" s="92"/>
      <x:c r="AA78" s="85" t="str">
        <x:f>IF(E78="","",E78&amp;"|"&amp;COUNTIF($E$6:E78,E78))</x:f>
      </x:c>
      <x:c r="AB78" s="85" t="str">
        <x:f>IF(A78="","",A78)</x:f>
      </x:c>
      <x:c r="AC78" s="85" t="str">
        <x:f>IF(A78="","",B78)</x:f>
      </x:c>
      <x:c r="AD78" s="85" t="str">
        <x:f>IF(A78="","",C78)</x:f>
      </x:c>
      <x:c r="AE78" s="85" t="str">
        <x:f>IF(A78="","",D78)</x:f>
      </x:c>
      <x:c r="AF78" s="85" t="str">
        <x:f>IF(A78="","",L78)</x:f>
      </x:c>
      <x:c r="AG78" s="85" t="str">
        <x:f>IF(A78="","",K78)</x:f>
      </x:c>
      <x:c r="AH78" s="85" t="str">
        <x:f>IF(A78="","",Q78)</x:f>
      </x:c>
      <x:c r="AI78" s="85" t="str">
        <x:f>IF(A78="","",R78)</x:f>
      </x:c>
      <x:c r="AJ78" s="85" t="str">
        <x:f>IF(A78="","",U78)</x:f>
      </x:c>
      <x:c r="AK78" s="85" t="str">
        <x:f>IF(A78="","",W78)</x:f>
      </x:c>
      <x:c r="AL78" s="85" t="str">
        <x:f>IFERROR(IF(A78="","",Y78),"")</x:f>
      </x:c>
      <x:c r="AM78" s="85" t="str">
        <x:f>IFERROR(IF(A78="","",Z78),"")</x:f>
      </x:c>
    </x:row>
    <x:row r="79">
      <x:c r="A79" s="92"/>
      <x:c r="B79" s="92"/>
      <x:c r="C79" s="94" t="str">
        <x:f>IFERROR(VLOOKUP(B79,'06 Training Register'!$A$6:$Y$55,3,FALSE),"")</x:f>
      </x:c>
      <x:c r="D79" s="102" t="str">
        <x:f>IF(B79="","",IFERROR(IF(VLOOKUP(B79,'06 Training Register'!$A$6:$Y$55,15,FALSE)&gt;0,VLOOKUP(B79,'06 Training Register'!$A$6:$Y$55,15,FALSE),VLOOKUP(B79,'06 Training Register'!$A$6:$Y$55,12,FALSE)),""))</x:f>
      </x:c>
      <x:c r="E79" s="92"/>
      <x:c r="F79" s="94" t="str">
        <x:f>IFERROR(VLOOKUP(E79,'01 Staff Master'!$A$6:$M$105,2,FALSE),"")</x:f>
      </x:c>
      <x:c r="G79" s="94" t="str">
        <x:f>IFERROR(VLOOKUP(E79,'01 Staff Master'!$A$6:$M$105,3,FALSE),"")</x:f>
      </x:c>
      <x:c r="H79" s="94" t="str">
        <x:f>IFERROR(VLOOKUP(E79,'01 Staff Master'!$A$6:$M$105,5,FALSE),"")</x:f>
      </x:c>
      <x:c r="I79" s="94" t="str">
        <x:f>IFERROR(VLOOKUP(B79,'06 Training Register'!$A$6:$Y$55,4,FALSE),"")</x:f>
      </x:c>
      <x:c r="J79" s="92"/>
      <x:c r="K79" s="92"/>
      <x:c r="L79" s="92"/>
      <x:c r="M79" s="103"/>
      <x:c r="N79" s="103"/>
      <x:c r="O79" s="104" t="str">
        <x:f>IF(OR(M79="",N79=""),"",N79-M79)</x:f>
      </x:c>
      <x:c r="P79" s="103"/>
      <x:c r="Q79" s="94" t="str">
        <x:f>IF(OR(N79="",P79=""),"",IF(N79&gt;=P79,"Pass","Not Yet"))</x:f>
      </x:c>
      <x:c r="R79" s="92"/>
      <x:c r="S79" s="93"/>
      <x:c r="T79" s="102" t="str">
        <x:f>IF(OR(D79="",K79&lt;&gt;"Attended"),"",D79+3)</x:f>
      </x:c>
      <x:c r="U79" s="94" t="str">
        <x:f>IF(A79="","",IF(K79&lt;&gt;"Attended","N/A",IF(COUNTIFS('12 Training Evaluation'!$B$6:$B$155,B79,'12 Training Evaluation'!$C$6:$C$155,E79,'12 Training Evaluation'!$W$6:$W$155,"Complete")&gt;0,"Complete","Pending")))</x:f>
      </x:c>
      <x:c r="V79" s="102" t="str">
        <x:f>IF(OR(D79="",K79&lt;&gt;"Attended"),"",D79+30)</x:f>
      </x:c>
      <x:c r="W79" s="94" t="str">
        <x:f>IF(A79="","",IF(K79&lt;&gt;"Attended","N/A",IF(COUNTIFS('13 Effectiveness Review'!$B$6:$B$155,B79,'13 Effectiveness Review'!$C$6:$C$155,E79)&gt;0,"Reviewed",IF(V79&lt;TODAY(),"Overdue","Due"))))</x:f>
      </x:c>
      <x:c r="X79" s="92"/>
      <x:c r="Y79" s="92"/>
      <x:c r="Z79" s="92"/>
      <x:c r="AA79" s="85" t="str">
        <x:f>IF(E79="","",E79&amp;"|"&amp;COUNTIF($E$6:E79,E79))</x:f>
      </x:c>
      <x:c r="AB79" s="85" t="str">
        <x:f>IF(A79="","",A79)</x:f>
      </x:c>
      <x:c r="AC79" s="85" t="str">
        <x:f>IF(A79="","",B79)</x:f>
      </x:c>
      <x:c r="AD79" s="85" t="str">
        <x:f>IF(A79="","",C79)</x:f>
      </x:c>
      <x:c r="AE79" s="85" t="str">
        <x:f>IF(A79="","",D79)</x:f>
      </x:c>
      <x:c r="AF79" s="85" t="str">
        <x:f>IF(A79="","",L79)</x:f>
      </x:c>
      <x:c r="AG79" s="85" t="str">
        <x:f>IF(A79="","",K79)</x:f>
      </x:c>
      <x:c r="AH79" s="85" t="str">
        <x:f>IF(A79="","",Q79)</x:f>
      </x:c>
      <x:c r="AI79" s="85" t="str">
        <x:f>IF(A79="","",R79)</x:f>
      </x:c>
      <x:c r="AJ79" s="85" t="str">
        <x:f>IF(A79="","",U79)</x:f>
      </x:c>
      <x:c r="AK79" s="85" t="str">
        <x:f>IF(A79="","",W79)</x:f>
      </x:c>
      <x:c r="AL79" s="85" t="str">
        <x:f>IFERROR(IF(A79="","",Y79),"")</x:f>
      </x:c>
      <x:c r="AM79" s="85" t="str">
        <x:f>IFERROR(IF(A79="","",Z79),"")</x:f>
      </x:c>
    </x:row>
    <x:row r="80">
      <x:c r="A80" s="92"/>
      <x:c r="B80" s="92"/>
      <x:c r="C80" s="94" t="str">
        <x:f>IFERROR(VLOOKUP(B80,'06 Training Register'!$A$6:$Y$55,3,FALSE),"")</x:f>
      </x:c>
      <x:c r="D80" s="102" t="str">
        <x:f>IF(B80="","",IFERROR(IF(VLOOKUP(B80,'06 Training Register'!$A$6:$Y$55,15,FALSE)&gt;0,VLOOKUP(B80,'06 Training Register'!$A$6:$Y$55,15,FALSE),VLOOKUP(B80,'06 Training Register'!$A$6:$Y$55,12,FALSE)),""))</x:f>
      </x:c>
      <x:c r="E80" s="92"/>
      <x:c r="F80" s="94" t="str">
        <x:f>IFERROR(VLOOKUP(E80,'01 Staff Master'!$A$6:$M$105,2,FALSE),"")</x:f>
      </x:c>
      <x:c r="G80" s="94" t="str">
        <x:f>IFERROR(VLOOKUP(E80,'01 Staff Master'!$A$6:$M$105,3,FALSE),"")</x:f>
      </x:c>
      <x:c r="H80" s="94" t="str">
        <x:f>IFERROR(VLOOKUP(E80,'01 Staff Master'!$A$6:$M$105,5,FALSE),"")</x:f>
      </x:c>
      <x:c r="I80" s="94" t="str">
        <x:f>IFERROR(VLOOKUP(B80,'06 Training Register'!$A$6:$Y$55,4,FALSE),"")</x:f>
      </x:c>
      <x:c r="J80" s="92"/>
      <x:c r="K80" s="92"/>
      <x:c r="L80" s="92"/>
      <x:c r="M80" s="103"/>
      <x:c r="N80" s="103"/>
      <x:c r="O80" s="104" t="str">
        <x:f>IF(OR(M80="",N80=""),"",N80-M80)</x:f>
      </x:c>
      <x:c r="P80" s="103"/>
      <x:c r="Q80" s="94" t="str">
        <x:f>IF(OR(N80="",P80=""),"",IF(N80&gt;=P80,"Pass","Not Yet"))</x:f>
      </x:c>
      <x:c r="R80" s="92"/>
      <x:c r="S80" s="93"/>
      <x:c r="T80" s="102" t="str">
        <x:f>IF(OR(D80="",K80&lt;&gt;"Attended"),"",D80+3)</x:f>
      </x:c>
      <x:c r="U80" s="94" t="str">
        <x:f>IF(A80="","",IF(K80&lt;&gt;"Attended","N/A",IF(COUNTIFS('12 Training Evaluation'!$B$6:$B$155,B80,'12 Training Evaluation'!$C$6:$C$155,E80,'12 Training Evaluation'!$W$6:$W$155,"Complete")&gt;0,"Complete","Pending")))</x:f>
      </x:c>
      <x:c r="V80" s="102" t="str">
        <x:f>IF(OR(D80="",K80&lt;&gt;"Attended"),"",D80+30)</x:f>
      </x:c>
      <x:c r="W80" s="94" t="str">
        <x:f>IF(A80="","",IF(K80&lt;&gt;"Attended","N/A",IF(COUNTIFS('13 Effectiveness Review'!$B$6:$B$155,B80,'13 Effectiveness Review'!$C$6:$C$155,E80)&gt;0,"Reviewed",IF(V80&lt;TODAY(),"Overdue","Due"))))</x:f>
      </x:c>
      <x:c r="X80" s="92"/>
      <x:c r="Y80" s="92"/>
      <x:c r="Z80" s="92"/>
      <x:c r="AA80" s="85" t="str">
        <x:f>IF(E80="","",E80&amp;"|"&amp;COUNTIF($E$6:E80,E80))</x:f>
      </x:c>
      <x:c r="AB80" s="85" t="str">
        <x:f>IF(A80="","",A80)</x:f>
      </x:c>
      <x:c r="AC80" s="85" t="str">
        <x:f>IF(A80="","",B80)</x:f>
      </x:c>
      <x:c r="AD80" s="85" t="str">
        <x:f>IF(A80="","",C80)</x:f>
      </x:c>
      <x:c r="AE80" s="85" t="str">
        <x:f>IF(A80="","",D80)</x:f>
      </x:c>
      <x:c r="AF80" s="85" t="str">
        <x:f>IF(A80="","",L80)</x:f>
      </x:c>
      <x:c r="AG80" s="85" t="str">
        <x:f>IF(A80="","",K80)</x:f>
      </x:c>
      <x:c r="AH80" s="85" t="str">
        <x:f>IF(A80="","",Q80)</x:f>
      </x:c>
      <x:c r="AI80" s="85" t="str">
        <x:f>IF(A80="","",R80)</x:f>
      </x:c>
      <x:c r="AJ80" s="85" t="str">
        <x:f>IF(A80="","",U80)</x:f>
      </x:c>
      <x:c r="AK80" s="85" t="str">
        <x:f>IF(A80="","",W80)</x:f>
      </x:c>
      <x:c r="AL80" s="85" t="str">
        <x:f>IFERROR(IF(A80="","",Y80),"")</x:f>
      </x:c>
      <x:c r="AM80" s="85" t="str">
        <x:f>IFERROR(IF(A80="","",Z80),"")</x:f>
      </x:c>
    </x:row>
    <x:row r="81">
      <x:c r="A81" s="92"/>
      <x:c r="B81" s="92"/>
      <x:c r="C81" s="94" t="str">
        <x:f>IFERROR(VLOOKUP(B81,'06 Training Register'!$A$6:$Y$55,3,FALSE),"")</x:f>
      </x:c>
      <x:c r="D81" s="102" t="str">
        <x:f>IF(B81="","",IFERROR(IF(VLOOKUP(B81,'06 Training Register'!$A$6:$Y$55,15,FALSE)&gt;0,VLOOKUP(B81,'06 Training Register'!$A$6:$Y$55,15,FALSE),VLOOKUP(B81,'06 Training Register'!$A$6:$Y$55,12,FALSE)),""))</x:f>
      </x:c>
      <x:c r="E81" s="92"/>
      <x:c r="F81" s="94" t="str">
        <x:f>IFERROR(VLOOKUP(E81,'01 Staff Master'!$A$6:$M$105,2,FALSE),"")</x:f>
      </x:c>
      <x:c r="G81" s="94" t="str">
        <x:f>IFERROR(VLOOKUP(E81,'01 Staff Master'!$A$6:$M$105,3,FALSE),"")</x:f>
      </x:c>
      <x:c r="H81" s="94" t="str">
        <x:f>IFERROR(VLOOKUP(E81,'01 Staff Master'!$A$6:$M$105,5,FALSE),"")</x:f>
      </x:c>
      <x:c r="I81" s="94" t="str">
        <x:f>IFERROR(VLOOKUP(B81,'06 Training Register'!$A$6:$Y$55,4,FALSE),"")</x:f>
      </x:c>
      <x:c r="J81" s="92"/>
      <x:c r="K81" s="92"/>
      <x:c r="L81" s="92"/>
      <x:c r="M81" s="103"/>
      <x:c r="N81" s="103"/>
      <x:c r="O81" s="104" t="str">
        <x:f>IF(OR(M81="",N81=""),"",N81-M81)</x:f>
      </x:c>
      <x:c r="P81" s="103"/>
      <x:c r="Q81" s="94" t="str">
        <x:f>IF(OR(N81="",P81=""),"",IF(N81&gt;=P81,"Pass","Not Yet"))</x:f>
      </x:c>
      <x:c r="R81" s="92"/>
      <x:c r="S81" s="93"/>
      <x:c r="T81" s="102" t="str">
        <x:f>IF(OR(D81="",K81&lt;&gt;"Attended"),"",D81+3)</x:f>
      </x:c>
      <x:c r="U81" s="94" t="str">
        <x:f>IF(A81="","",IF(K81&lt;&gt;"Attended","N/A",IF(COUNTIFS('12 Training Evaluation'!$B$6:$B$155,B81,'12 Training Evaluation'!$C$6:$C$155,E81,'12 Training Evaluation'!$W$6:$W$155,"Complete")&gt;0,"Complete","Pending")))</x:f>
      </x:c>
      <x:c r="V81" s="102" t="str">
        <x:f>IF(OR(D81="",K81&lt;&gt;"Attended"),"",D81+30)</x:f>
      </x:c>
      <x:c r="W81" s="94" t="str">
        <x:f>IF(A81="","",IF(K81&lt;&gt;"Attended","N/A",IF(COUNTIFS('13 Effectiveness Review'!$B$6:$B$155,B81,'13 Effectiveness Review'!$C$6:$C$155,E81)&gt;0,"Reviewed",IF(V81&lt;TODAY(),"Overdue","Due"))))</x:f>
      </x:c>
      <x:c r="X81" s="92"/>
      <x:c r="Y81" s="92"/>
      <x:c r="Z81" s="92"/>
      <x:c r="AA81" s="85" t="str">
        <x:f>IF(E81="","",E81&amp;"|"&amp;COUNTIF($E$6:E81,E81))</x:f>
      </x:c>
      <x:c r="AB81" s="85" t="str">
        <x:f>IF(A81="","",A81)</x:f>
      </x:c>
      <x:c r="AC81" s="85" t="str">
        <x:f>IF(A81="","",B81)</x:f>
      </x:c>
      <x:c r="AD81" s="85" t="str">
        <x:f>IF(A81="","",C81)</x:f>
      </x:c>
      <x:c r="AE81" s="85" t="str">
        <x:f>IF(A81="","",D81)</x:f>
      </x:c>
      <x:c r="AF81" s="85" t="str">
        <x:f>IF(A81="","",L81)</x:f>
      </x:c>
      <x:c r="AG81" s="85" t="str">
        <x:f>IF(A81="","",K81)</x:f>
      </x:c>
      <x:c r="AH81" s="85" t="str">
        <x:f>IF(A81="","",Q81)</x:f>
      </x:c>
      <x:c r="AI81" s="85" t="str">
        <x:f>IF(A81="","",R81)</x:f>
      </x:c>
      <x:c r="AJ81" s="85" t="str">
        <x:f>IF(A81="","",U81)</x:f>
      </x:c>
      <x:c r="AK81" s="85" t="str">
        <x:f>IF(A81="","",W81)</x:f>
      </x:c>
      <x:c r="AL81" s="85" t="str">
        <x:f>IFERROR(IF(A81="","",Y81),"")</x:f>
      </x:c>
      <x:c r="AM81" s="85" t="str">
        <x:f>IFERROR(IF(A81="","",Z81),"")</x:f>
      </x:c>
    </x:row>
    <x:row r="82">
      <x:c r="A82" s="92"/>
      <x:c r="B82" s="92"/>
      <x:c r="C82" s="94" t="str">
        <x:f>IFERROR(VLOOKUP(B82,'06 Training Register'!$A$6:$Y$55,3,FALSE),"")</x:f>
      </x:c>
      <x:c r="D82" s="102" t="str">
        <x:f>IF(B82="","",IFERROR(IF(VLOOKUP(B82,'06 Training Register'!$A$6:$Y$55,15,FALSE)&gt;0,VLOOKUP(B82,'06 Training Register'!$A$6:$Y$55,15,FALSE),VLOOKUP(B82,'06 Training Register'!$A$6:$Y$55,12,FALSE)),""))</x:f>
      </x:c>
      <x:c r="E82" s="92"/>
      <x:c r="F82" s="94" t="str">
        <x:f>IFERROR(VLOOKUP(E82,'01 Staff Master'!$A$6:$M$105,2,FALSE),"")</x:f>
      </x:c>
      <x:c r="G82" s="94" t="str">
        <x:f>IFERROR(VLOOKUP(E82,'01 Staff Master'!$A$6:$M$105,3,FALSE),"")</x:f>
      </x:c>
      <x:c r="H82" s="94" t="str">
        <x:f>IFERROR(VLOOKUP(E82,'01 Staff Master'!$A$6:$M$105,5,FALSE),"")</x:f>
      </x:c>
      <x:c r="I82" s="94" t="str">
        <x:f>IFERROR(VLOOKUP(B82,'06 Training Register'!$A$6:$Y$55,4,FALSE),"")</x:f>
      </x:c>
      <x:c r="J82" s="92"/>
      <x:c r="K82" s="92"/>
      <x:c r="L82" s="92"/>
      <x:c r="M82" s="103"/>
      <x:c r="N82" s="103"/>
      <x:c r="O82" s="104" t="str">
        <x:f>IF(OR(M82="",N82=""),"",N82-M82)</x:f>
      </x:c>
      <x:c r="P82" s="103"/>
      <x:c r="Q82" s="94" t="str">
        <x:f>IF(OR(N82="",P82=""),"",IF(N82&gt;=P82,"Pass","Not Yet"))</x:f>
      </x:c>
      <x:c r="R82" s="92"/>
      <x:c r="S82" s="93"/>
      <x:c r="T82" s="102" t="str">
        <x:f>IF(OR(D82="",K82&lt;&gt;"Attended"),"",D82+3)</x:f>
      </x:c>
      <x:c r="U82" s="94" t="str">
        <x:f>IF(A82="","",IF(K82&lt;&gt;"Attended","N/A",IF(COUNTIFS('12 Training Evaluation'!$B$6:$B$155,B82,'12 Training Evaluation'!$C$6:$C$155,E82,'12 Training Evaluation'!$W$6:$W$155,"Complete")&gt;0,"Complete","Pending")))</x:f>
      </x:c>
      <x:c r="V82" s="102" t="str">
        <x:f>IF(OR(D82="",K82&lt;&gt;"Attended"),"",D82+30)</x:f>
      </x:c>
      <x:c r="W82" s="94" t="str">
        <x:f>IF(A82="","",IF(K82&lt;&gt;"Attended","N/A",IF(COUNTIFS('13 Effectiveness Review'!$B$6:$B$155,B82,'13 Effectiveness Review'!$C$6:$C$155,E82)&gt;0,"Reviewed",IF(V82&lt;TODAY(),"Overdue","Due"))))</x:f>
      </x:c>
      <x:c r="X82" s="92"/>
      <x:c r="Y82" s="92"/>
      <x:c r="Z82" s="92"/>
      <x:c r="AA82" s="85" t="str">
        <x:f>IF(E82="","",E82&amp;"|"&amp;COUNTIF($E$6:E82,E82))</x:f>
      </x:c>
      <x:c r="AB82" s="85" t="str">
        <x:f>IF(A82="","",A82)</x:f>
      </x:c>
      <x:c r="AC82" s="85" t="str">
        <x:f>IF(A82="","",B82)</x:f>
      </x:c>
      <x:c r="AD82" s="85" t="str">
        <x:f>IF(A82="","",C82)</x:f>
      </x:c>
      <x:c r="AE82" s="85" t="str">
        <x:f>IF(A82="","",D82)</x:f>
      </x:c>
      <x:c r="AF82" s="85" t="str">
        <x:f>IF(A82="","",L82)</x:f>
      </x:c>
      <x:c r="AG82" s="85" t="str">
        <x:f>IF(A82="","",K82)</x:f>
      </x:c>
      <x:c r="AH82" s="85" t="str">
        <x:f>IF(A82="","",Q82)</x:f>
      </x:c>
      <x:c r="AI82" s="85" t="str">
        <x:f>IF(A82="","",R82)</x:f>
      </x:c>
      <x:c r="AJ82" s="85" t="str">
        <x:f>IF(A82="","",U82)</x:f>
      </x:c>
      <x:c r="AK82" s="85" t="str">
        <x:f>IF(A82="","",W82)</x:f>
      </x:c>
      <x:c r="AL82" s="85" t="str">
        <x:f>IFERROR(IF(A82="","",Y82),"")</x:f>
      </x:c>
      <x:c r="AM82" s="85" t="str">
        <x:f>IFERROR(IF(A82="","",Z82),"")</x:f>
      </x:c>
    </x:row>
    <x:row r="83">
      <x:c r="A83" s="92"/>
      <x:c r="B83" s="92"/>
      <x:c r="C83" s="94" t="str">
        <x:f>IFERROR(VLOOKUP(B83,'06 Training Register'!$A$6:$Y$55,3,FALSE),"")</x:f>
      </x:c>
      <x:c r="D83" s="102" t="str">
        <x:f>IF(B83="","",IFERROR(IF(VLOOKUP(B83,'06 Training Register'!$A$6:$Y$55,15,FALSE)&gt;0,VLOOKUP(B83,'06 Training Register'!$A$6:$Y$55,15,FALSE),VLOOKUP(B83,'06 Training Register'!$A$6:$Y$55,12,FALSE)),""))</x:f>
      </x:c>
      <x:c r="E83" s="92"/>
      <x:c r="F83" s="94" t="str">
        <x:f>IFERROR(VLOOKUP(E83,'01 Staff Master'!$A$6:$M$105,2,FALSE),"")</x:f>
      </x:c>
      <x:c r="G83" s="94" t="str">
        <x:f>IFERROR(VLOOKUP(E83,'01 Staff Master'!$A$6:$M$105,3,FALSE),"")</x:f>
      </x:c>
      <x:c r="H83" s="94" t="str">
        <x:f>IFERROR(VLOOKUP(E83,'01 Staff Master'!$A$6:$M$105,5,FALSE),"")</x:f>
      </x:c>
      <x:c r="I83" s="94" t="str">
        <x:f>IFERROR(VLOOKUP(B83,'06 Training Register'!$A$6:$Y$55,4,FALSE),"")</x:f>
      </x:c>
      <x:c r="J83" s="92"/>
      <x:c r="K83" s="92"/>
      <x:c r="L83" s="92"/>
      <x:c r="M83" s="103"/>
      <x:c r="N83" s="103"/>
      <x:c r="O83" s="104" t="str">
        <x:f>IF(OR(M83="",N83=""),"",N83-M83)</x:f>
      </x:c>
      <x:c r="P83" s="103"/>
      <x:c r="Q83" s="94" t="str">
        <x:f>IF(OR(N83="",P83=""),"",IF(N83&gt;=P83,"Pass","Not Yet"))</x:f>
      </x:c>
      <x:c r="R83" s="92"/>
      <x:c r="S83" s="93"/>
      <x:c r="T83" s="102" t="str">
        <x:f>IF(OR(D83="",K83&lt;&gt;"Attended"),"",D83+3)</x:f>
      </x:c>
      <x:c r="U83" s="94" t="str">
        <x:f>IF(A83="","",IF(K83&lt;&gt;"Attended","N/A",IF(COUNTIFS('12 Training Evaluation'!$B$6:$B$155,B83,'12 Training Evaluation'!$C$6:$C$155,E83,'12 Training Evaluation'!$W$6:$W$155,"Complete")&gt;0,"Complete","Pending")))</x:f>
      </x:c>
      <x:c r="V83" s="102" t="str">
        <x:f>IF(OR(D83="",K83&lt;&gt;"Attended"),"",D83+30)</x:f>
      </x:c>
      <x:c r="W83" s="94" t="str">
        <x:f>IF(A83="","",IF(K83&lt;&gt;"Attended","N/A",IF(COUNTIFS('13 Effectiveness Review'!$B$6:$B$155,B83,'13 Effectiveness Review'!$C$6:$C$155,E83)&gt;0,"Reviewed",IF(V83&lt;TODAY(),"Overdue","Due"))))</x:f>
      </x:c>
      <x:c r="X83" s="92"/>
      <x:c r="Y83" s="92"/>
      <x:c r="Z83" s="92"/>
      <x:c r="AA83" s="85" t="str">
        <x:f>IF(E83="","",E83&amp;"|"&amp;COUNTIF($E$6:E83,E83))</x:f>
      </x:c>
      <x:c r="AB83" s="85" t="str">
        <x:f>IF(A83="","",A83)</x:f>
      </x:c>
      <x:c r="AC83" s="85" t="str">
        <x:f>IF(A83="","",B83)</x:f>
      </x:c>
      <x:c r="AD83" s="85" t="str">
        <x:f>IF(A83="","",C83)</x:f>
      </x:c>
      <x:c r="AE83" s="85" t="str">
        <x:f>IF(A83="","",D83)</x:f>
      </x:c>
      <x:c r="AF83" s="85" t="str">
        <x:f>IF(A83="","",L83)</x:f>
      </x:c>
      <x:c r="AG83" s="85" t="str">
        <x:f>IF(A83="","",K83)</x:f>
      </x:c>
      <x:c r="AH83" s="85" t="str">
        <x:f>IF(A83="","",Q83)</x:f>
      </x:c>
      <x:c r="AI83" s="85" t="str">
        <x:f>IF(A83="","",R83)</x:f>
      </x:c>
      <x:c r="AJ83" s="85" t="str">
        <x:f>IF(A83="","",U83)</x:f>
      </x:c>
      <x:c r="AK83" s="85" t="str">
        <x:f>IF(A83="","",W83)</x:f>
      </x:c>
      <x:c r="AL83" s="85" t="str">
        <x:f>IFERROR(IF(A83="","",Y83),"")</x:f>
      </x:c>
      <x:c r="AM83" s="85" t="str">
        <x:f>IFERROR(IF(A83="","",Z83),"")</x:f>
      </x:c>
    </x:row>
    <x:row r="84">
      <x:c r="A84" s="92"/>
      <x:c r="B84" s="92"/>
      <x:c r="C84" s="94" t="str">
        <x:f>IFERROR(VLOOKUP(B84,'06 Training Register'!$A$6:$Y$55,3,FALSE),"")</x:f>
      </x:c>
      <x:c r="D84" s="102" t="str">
        <x:f>IF(B84="","",IFERROR(IF(VLOOKUP(B84,'06 Training Register'!$A$6:$Y$55,15,FALSE)&gt;0,VLOOKUP(B84,'06 Training Register'!$A$6:$Y$55,15,FALSE),VLOOKUP(B84,'06 Training Register'!$A$6:$Y$55,12,FALSE)),""))</x:f>
      </x:c>
      <x:c r="E84" s="92"/>
      <x:c r="F84" s="94" t="str">
        <x:f>IFERROR(VLOOKUP(E84,'01 Staff Master'!$A$6:$M$105,2,FALSE),"")</x:f>
      </x:c>
      <x:c r="G84" s="94" t="str">
        <x:f>IFERROR(VLOOKUP(E84,'01 Staff Master'!$A$6:$M$105,3,FALSE),"")</x:f>
      </x:c>
      <x:c r="H84" s="94" t="str">
        <x:f>IFERROR(VLOOKUP(E84,'01 Staff Master'!$A$6:$M$105,5,FALSE),"")</x:f>
      </x:c>
      <x:c r="I84" s="94" t="str">
        <x:f>IFERROR(VLOOKUP(B84,'06 Training Register'!$A$6:$Y$55,4,FALSE),"")</x:f>
      </x:c>
      <x:c r="J84" s="92"/>
      <x:c r="K84" s="92"/>
      <x:c r="L84" s="92"/>
      <x:c r="M84" s="103"/>
      <x:c r="N84" s="103"/>
      <x:c r="O84" s="104" t="str">
        <x:f>IF(OR(M84="",N84=""),"",N84-M84)</x:f>
      </x:c>
      <x:c r="P84" s="103"/>
      <x:c r="Q84" s="94" t="str">
        <x:f>IF(OR(N84="",P84=""),"",IF(N84&gt;=P84,"Pass","Not Yet"))</x:f>
      </x:c>
      <x:c r="R84" s="92"/>
      <x:c r="S84" s="93"/>
      <x:c r="T84" s="102" t="str">
        <x:f>IF(OR(D84="",K84&lt;&gt;"Attended"),"",D84+3)</x:f>
      </x:c>
      <x:c r="U84" s="94" t="str">
        <x:f>IF(A84="","",IF(K84&lt;&gt;"Attended","N/A",IF(COUNTIFS('12 Training Evaluation'!$B$6:$B$155,B84,'12 Training Evaluation'!$C$6:$C$155,E84,'12 Training Evaluation'!$W$6:$W$155,"Complete")&gt;0,"Complete","Pending")))</x:f>
      </x:c>
      <x:c r="V84" s="102" t="str">
        <x:f>IF(OR(D84="",K84&lt;&gt;"Attended"),"",D84+30)</x:f>
      </x:c>
      <x:c r="W84" s="94" t="str">
        <x:f>IF(A84="","",IF(K84&lt;&gt;"Attended","N/A",IF(COUNTIFS('13 Effectiveness Review'!$B$6:$B$155,B84,'13 Effectiveness Review'!$C$6:$C$155,E84)&gt;0,"Reviewed",IF(V84&lt;TODAY(),"Overdue","Due"))))</x:f>
      </x:c>
      <x:c r="X84" s="92"/>
      <x:c r="Y84" s="92"/>
      <x:c r="Z84" s="92"/>
      <x:c r="AA84" s="85" t="str">
        <x:f>IF(E84="","",E84&amp;"|"&amp;COUNTIF($E$6:E84,E84))</x:f>
      </x:c>
      <x:c r="AB84" s="85" t="str">
        <x:f>IF(A84="","",A84)</x:f>
      </x:c>
      <x:c r="AC84" s="85" t="str">
        <x:f>IF(A84="","",B84)</x:f>
      </x:c>
      <x:c r="AD84" s="85" t="str">
        <x:f>IF(A84="","",C84)</x:f>
      </x:c>
      <x:c r="AE84" s="85" t="str">
        <x:f>IF(A84="","",D84)</x:f>
      </x:c>
      <x:c r="AF84" s="85" t="str">
        <x:f>IF(A84="","",L84)</x:f>
      </x:c>
      <x:c r="AG84" s="85" t="str">
        <x:f>IF(A84="","",K84)</x:f>
      </x:c>
      <x:c r="AH84" s="85" t="str">
        <x:f>IF(A84="","",Q84)</x:f>
      </x:c>
      <x:c r="AI84" s="85" t="str">
        <x:f>IF(A84="","",R84)</x:f>
      </x:c>
      <x:c r="AJ84" s="85" t="str">
        <x:f>IF(A84="","",U84)</x:f>
      </x:c>
      <x:c r="AK84" s="85" t="str">
        <x:f>IF(A84="","",W84)</x:f>
      </x:c>
      <x:c r="AL84" s="85" t="str">
        <x:f>IFERROR(IF(A84="","",Y84),"")</x:f>
      </x:c>
      <x:c r="AM84" s="85" t="str">
        <x:f>IFERROR(IF(A84="","",Z84),"")</x:f>
      </x:c>
    </x:row>
    <x:row r="85">
      <x:c r="A85" s="92"/>
      <x:c r="B85" s="92"/>
      <x:c r="C85" s="94" t="str">
        <x:f>IFERROR(VLOOKUP(B85,'06 Training Register'!$A$6:$Y$55,3,FALSE),"")</x:f>
      </x:c>
      <x:c r="D85" s="102" t="str">
        <x:f>IF(B85="","",IFERROR(IF(VLOOKUP(B85,'06 Training Register'!$A$6:$Y$55,15,FALSE)&gt;0,VLOOKUP(B85,'06 Training Register'!$A$6:$Y$55,15,FALSE),VLOOKUP(B85,'06 Training Register'!$A$6:$Y$55,12,FALSE)),""))</x:f>
      </x:c>
      <x:c r="E85" s="92"/>
      <x:c r="F85" s="94" t="str">
        <x:f>IFERROR(VLOOKUP(E85,'01 Staff Master'!$A$6:$M$105,2,FALSE),"")</x:f>
      </x:c>
      <x:c r="G85" s="94" t="str">
        <x:f>IFERROR(VLOOKUP(E85,'01 Staff Master'!$A$6:$M$105,3,FALSE),"")</x:f>
      </x:c>
      <x:c r="H85" s="94" t="str">
        <x:f>IFERROR(VLOOKUP(E85,'01 Staff Master'!$A$6:$M$105,5,FALSE),"")</x:f>
      </x:c>
      <x:c r="I85" s="94" t="str">
        <x:f>IFERROR(VLOOKUP(B85,'06 Training Register'!$A$6:$Y$55,4,FALSE),"")</x:f>
      </x:c>
      <x:c r="J85" s="92"/>
      <x:c r="K85" s="92"/>
      <x:c r="L85" s="92"/>
      <x:c r="M85" s="103"/>
      <x:c r="N85" s="103"/>
      <x:c r="O85" s="104" t="str">
        <x:f>IF(OR(M85="",N85=""),"",N85-M85)</x:f>
      </x:c>
      <x:c r="P85" s="103"/>
      <x:c r="Q85" s="94" t="str">
        <x:f>IF(OR(N85="",P85=""),"",IF(N85&gt;=P85,"Pass","Not Yet"))</x:f>
      </x:c>
      <x:c r="R85" s="92"/>
      <x:c r="S85" s="93"/>
      <x:c r="T85" s="102" t="str">
        <x:f>IF(OR(D85="",K85&lt;&gt;"Attended"),"",D85+3)</x:f>
      </x:c>
      <x:c r="U85" s="94" t="str">
        <x:f>IF(A85="","",IF(K85&lt;&gt;"Attended","N/A",IF(COUNTIFS('12 Training Evaluation'!$B$6:$B$155,B85,'12 Training Evaluation'!$C$6:$C$155,E85,'12 Training Evaluation'!$W$6:$W$155,"Complete")&gt;0,"Complete","Pending")))</x:f>
      </x:c>
      <x:c r="V85" s="102" t="str">
        <x:f>IF(OR(D85="",K85&lt;&gt;"Attended"),"",D85+30)</x:f>
      </x:c>
      <x:c r="W85" s="94" t="str">
        <x:f>IF(A85="","",IF(K85&lt;&gt;"Attended","N/A",IF(COUNTIFS('13 Effectiveness Review'!$B$6:$B$155,B85,'13 Effectiveness Review'!$C$6:$C$155,E85)&gt;0,"Reviewed",IF(V85&lt;TODAY(),"Overdue","Due"))))</x:f>
      </x:c>
      <x:c r="X85" s="92"/>
      <x:c r="Y85" s="92"/>
      <x:c r="Z85" s="92"/>
      <x:c r="AA85" s="85" t="str">
        <x:f>IF(E85="","",E85&amp;"|"&amp;COUNTIF($E$6:E85,E85))</x:f>
      </x:c>
      <x:c r="AB85" s="85" t="str">
        <x:f>IF(A85="","",A85)</x:f>
      </x:c>
      <x:c r="AC85" s="85" t="str">
        <x:f>IF(A85="","",B85)</x:f>
      </x:c>
      <x:c r="AD85" s="85" t="str">
        <x:f>IF(A85="","",C85)</x:f>
      </x:c>
      <x:c r="AE85" s="85" t="str">
        <x:f>IF(A85="","",D85)</x:f>
      </x:c>
      <x:c r="AF85" s="85" t="str">
        <x:f>IF(A85="","",L85)</x:f>
      </x:c>
      <x:c r="AG85" s="85" t="str">
        <x:f>IF(A85="","",K85)</x:f>
      </x:c>
      <x:c r="AH85" s="85" t="str">
        <x:f>IF(A85="","",Q85)</x:f>
      </x:c>
      <x:c r="AI85" s="85" t="str">
        <x:f>IF(A85="","",R85)</x:f>
      </x:c>
      <x:c r="AJ85" s="85" t="str">
        <x:f>IF(A85="","",U85)</x:f>
      </x:c>
      <x:c r="AK85" s="85" t="str">
        <x:f>IF(A85="","",W85)</x:f>
      </x:c>
      <x:c r="AL85" s="85" t="str">
        <x:f>IFERROR(IF(A85="","",Y85),"")</x:f>
      </x:c>
      <x:c r="AM85" s="85" t="str">
        <x:f>IFERROR(IF(A85="","",Z85),"")</x:f>
      </x:c>
    </x:row>
    <x:row r="86">
      <x:c r="A86" s="92"/>
      <x:c r="B86" s="92"/>
      <x:c r="C86" s="94" t="str">
        <x:f>IFERROR(VLOOKUP(B86,'06 Training Register'!$A$6:$Y$55,3,FALSE),"")</x:f>
      </x:c>
      <x:c r="D86" s="102" t="str">
        <x:f>IF(B86="","",IFERROR(IF(VLOOKUP(B86,'06 Training Register'!$A$6:$Y$55,15,FALSE)&gt;0,VLOOKUP(B86,'06 Training Register'!$A$6:$Y$55,15,FALSE),VLOOKUP(B86,'06 Training Register'!$A$6:$Y$55,12,FALSE)),""))</x:f>
      </x:c>
      <x:c r="E86" s="92"/>
      <x:c r="F86" s="94" t="str">
        <x:f>IFERROR(VLOOKUP(E86,'01 Staff Master'!$A$6:$M$105,2,FALSE),"")</x:f>
      </x:c>
      <x:c r="G86" s="94" t="str">
        <x:f>IFERROR(VLOOKUP(E86,'01 Staff Master'!$A$6:$M$105,3,FALSE),"")</x:f>
      </x:c>
      <x:c r="H86" s="94" t="str">
        <x:f>IFERROR(VLOOKUP(E86,'01 Staff Master'!$A$6:$M$105,5,FALSE),"")</x:f>
      </x:c>
      <x:c r="I86" s="94" t="str">
        <x:f>IFERROR(VLOOKUP(B86,'06 Training Register'!$A$6:$Y$55,4,FALSE),"")</x:f>
      </x:c>
      <x:c r="J86" s="92"/>
      <x:c r="K86" s="92"/>
      <x:c r="L86" s="92"/>
      <x:c r="M86" s="103"/>
      <x:c r="N86" s="103"/>
      <x:c r="O86" s="104" t="str">
        <x:f>IF(OR(M86="",N86=""),"",N86-M86)</x:f>
      </x:c>
      <x:c r="P86" s="103"/>
      <x:c r="Q86" s="94" t="str">
        <x:f>IF(OR(N86="",P86=""),"",IF(N86&gt;=P86,"Pass","Not Yet"))</x:f>
      </x:c>
      <x:c r="R86" s="92"/>
      <x:c r="S86" s="93"/>
      <x:c r="T86" s="102" t="str">
        <x:f>IF(OR(D86="",K86&lt;&gt;"Attended"),"",D86+3)</x:f>
      </x:c>
      <x:c r="U86" s="94" t="str">
        <x:f>IF(A86="","",IF(K86&lt;&gt;"Attended","N/A",IF(COUNTIFS('12 Training Evaluation'!$B$6:$B$155,B86,'12 Training Evaluation'!$C$6:$C$155,E86,'12 Training Evaluation'!$W$6:$W$155,"Complete")&gt;0,"Complete","Pending")))</x:f>
      </x:c>
      <x:c r="V86" s="102" t="str">
        <x:f>IF(OR(D86="",K86&lt;&gt;"Attended"),"",D86+30)</x:f>
      </x:c>
      <x:c r="W86" s="94" t="str">
        <x:f>IF(A86="","",IF(K86&lt;&gt;"Attended","N/A",IF(COUNTIFS('13 Effectiveness Review'!$B$6:$B$155,B86,'13 Effectiveness Review'!$C$6:$C$155,E86)&gt;0,"Reviewed",IF(V86&lt;TODAY(),"Overdue","Due"))))</x:f>
      </x:c>
      <x:c r="X86" s="92"/>
      <x:c r="Y86" s="92"/>
      <x:c r="Z86" s="92"/>
      <x:c r="AA86" s="85" t="str">
        <x:f>IF(E86="","",E86&amp;"|"&amp;COUNTIF($E$6:E86,E86))</x:f>
      </x:c>
      <x:c r="AB86" s="85" t="str">
        <x:f>IF(A86="","",A86)</x:f>
      </x:c>
      <x:c r="AC86" s="85" t="str">
        <x:f>IF(A86="","",B86)</x:f>
      </x:c>
      <x:c r="AD86" s="85" t="str">
        <x:f>IF(A86="","",C86)</x:f>
      </x:c>
      <x:c r="AE86" s="85" t="str">
        <x:f>IF(A86="","",D86)</x:f>
      </x:c>
      <x:c r="AF86" s="85" t="str">
        <x:f>IF(A86="","",L86)</x:f>
      </x:c>
      <x:c r="AG86" s="85" t="str">
        <x:f>IF(A86="","",K86)</x:f>
      </x:c>
      <x:c r="AH86" s="85" t="str">
        <x:f>IF(A86="","",Q86)</x:f>
      </x:c>
      <x:c r="AI86" s="85" t="str">
        <x:f>IF(A86="","",R86)</x:f>
      </x:c>
      <x:c r="AJ86" s="85" t="str">
        <x:f>IF(A86="","",U86)</x:f>
      </x:c>
      <x:c r="AK86" s="85" t="str">
        <x:f>IF(A86="","",W86)</x:f>
      </x:c>
      <x:c r="AL86" s="85" t="str">
        <x:f>IFERROR(IF(A86="","",Y86),"")</x:f>
      </x:c>
      <x:c r="AM86" s="85" t="str">
        <x:f>IFERROR(IF(A86="","",Z86),"")</x:f>
      </x:c>
    </x:row>
    <x:row r="87">
      <x:c r="A87" s="92"/>
      <x:c r="B87" s="92"/>
      <x:c r="C87" s="94" t="str">
        <x:f>IFERROR(VLOOKUP(B87,'06 Training Register'!$A$6:$Y$55,3,FALSE),"")</x:f>
      </x:c>
      <x:c r="D87" s="102" t="str">
        <x:f>IF(B87="","",IFERROR(IF(VLOOKUP(B87,'06 Training Register'!$A$6:$Y$55,15,FALSE)&gt;0,VLOOKUP(B87,'06 Training Register'!$A$6:$Y$55,15,FALSE),VLOOKUP(B87,'06 Training Register'!$A$6:$Y$55,12,FALSE)),""))</x:f>
      </x:c>
      <x:c r="E87" s="92"/>
      <x:c r="F87" s="94" t="str">
        <x:f>IFERROR(VLOOKUP(E87,'01 Staff Master'!$A$6:$M$105,2,FALSE),"")</x:f>
      </x:c>
      <x:c r="G87" s="94" t="str">
        <x:f>IFERROR(VLOOKUP(E87,'01 Staff Master'!$A$6:$M$105,3,FALSE),"")</x:f>
      </x:c>
      <x:c r="H87" s="94" t="str">
        <x:f>IFERROR(VLOOKUP(E87,'01 Staff Master'!$A$6:$M$105,5,FALSE),"")</x:f>
      </x:c>
      <x:c r="I87" s="94" t="str">
        <x:f>IFERROR(VLOOKUP(B87,'06 Training Register'!$A$6:$Y$55,4,FALSE),"")</x:f>
      </x:c>
      <x:c r="J87" s="92"/>
      <x:c r="K87" s="92"/>
      <x:c r="L87" s="92"/>
      <x:c r="M87" s="103"/>
      <x:c r="N87" s="103"/>
      <x:c r="O87" s="104" t="str">
        <x:f>IF(OR(M87="",N87=""),"",N87-M87)</x:f>
      </x:c>
      <x:c r="P87" s="103"/>
      <x:c r="Q87" s="94" t="str">
        <x:f>IF(OR(N87="",P87=""),"",IF(N87&gt;=P87,"Pass","Not Yet"))</x:f>
      </x:c>
      <x:c r="R87" s="92"/>
      <x:c r="S87" s="93"/>
      <x:c r="T87" s="102" t="str">
        <x:f>IF(OR(D87="",K87&lt;&gt;"Attended"),"",D87+3)</x:f>
      </x:c>
      <x:c r="U87" s="94" t="str">
        <x:f>IF(A87="","",IF(K87&lt;&gt;"Attended","N/A",IF(COUNTIFS('12 Training Evaluation'!$B$6:$B$155,B87,'12 Training Evaluation'!$C$6:$C$155,E87,'12 Training Evaluation'!$W$6:$W$155,"Complete")&gt;0,"Complete","Pending")))</x:f>
      </x:c>
      <x:c r="V87" s="102" t="str">
        <x:f>IF(OR(D87="",K87&lt;&gt;"Attended"),"",D87+30)</x:f>
      </x:c>
      <x:c r="W87" s="94" t="str">
        <x:f>IF(A87="","",IF(K87&lt;&gt;"Attended","N/A",IF(COUNTIFS('13 Effectiveness Review'!$B$6:$B$155,B87,'13 Effectiveness Review'!$C$6:$C$155,E87)&gt;0,"Reviewed",IF(V87&lt;TODAY(),"Overdue","Due"))))</x:f>
      </x:c>
      <x:c r="X87" s="92"/>
      <x:c r="Y87" s="92"/>
      <x:c r="Z87" s="92"/>
      <x:c r="AA87" s="85" t="str">
        <x:f>IF(E87="","",E87&amp;"|"&amp;COUNTIF($E$6:E87,E87))</x:f>
      </x:c>
      <x:c r="AB87" s="85" t="str">
        <x:f>IF(A87="","",A87)</x:f>
      </x:c>
      <x:c r="AC87" s="85" t="str">
        <x:f>IF(A87="","",B87)</x:f>
      </x:c>
      <x:c r="AD87" s="85" t="str">
        <x:f>IF(A87="","",C87)</x:f>
      </x:c>
      <x:c r="AE87" s="85" t="str">
        <x:f>IF(A87="","",D87)</x:f>
      </x:c>
      <x:c r="AF87" s="85" t="str">
        <x:f>IF(A87="","",L87)</x:f>
      </x:c>
      <x:c r="AG87" s="85" t="str">
        <x:f>IF(A87="","",K87)</x:f>
      </x:c>
      <x:c r="AH87" s="85" t="str">
        <x:f>IF(A87="","",Q87)</x:f>
      </x:c>
      <x:c r="AI87" s="85" t="str">
        <x:f>IF(A87="","",R87)</x:f>
      </x:c>
      <x:c r="AJ87" s="85" t="str">
        <x:f>IF(A87="","",U87)</x:f>
      </x:c>
      <x:c r="AK87" s="85" t="str">
        <x:f>IF(A87="","",W87)</x:f>
      </x:c>
      <x:c r="AL87" s="85" t="str">
        <x:f>IFERROR(IF(A87="","",Y87),"")</x:f>
      </x:c>
      <x:c r="AM87" s="85" t="str">
        <x:f>IFERROR(IF(A87="","",Z87),"")</x:f>
      </x:c>
    </x:row>
    <x:row r="88">
      <x:c r="A88" s="92"/>
      <x:c r="B88" s="92"/>
      <x:c r="C88" s="94" t="str">
        <x:f>IFERROR(VLOOKUP(B88,'06 Training Register'!$A$6:$Y$55,3,FALSE),"")</x:f>
      </x:c>
      <x:c r="D88" s="102" t="str">
        <x:f>IF(B88="","",IFERROR(IF(VLOOKUP(B88,'06 Training Register'!$A$6:$Y$55,15,FALSE)&gt;0,VLOOKUP(B88,'06 Training Register'!$A$6:$Y$55,15,FALSE),VLOOKUP(B88,'06 Training Register'!$A$6:$Y$55,12,FALSE)),""))</x:f>
      </x:c>
      <x:c r="E88" s="92"/>
      <x:c r="F88" s="94" t="str">
        <x:f>IFERROR(VLOOKUP(E88,'01 Staff Master'!$A$6:$M$105,2,FALSE),"")</x:f>
      </x:c>
      <x:c r="G88" s="94" t="str">
        <x:f>IFERROR(VLOOKUP(E88,'01 Staff Master'!$A$6:$M$105,3,FALSE),"")</x:f>
      </x:c>
      <x:c r="H88" s="94" t="str">
        <x:f>IFERROR(VLOOKUP(E88,'01 Staff Master'!$A$6:$M$105,5,FALSE),"")</x:f>
      </x:c>
      <x:c r="I88" s="94" t="str">
        <x:f>IFERROR(VLOOKUP(B88,'06 Training Register'!$A$6:$Y$55,4,FALSE),"")</x:f>
      </x:c>
      <x:c r="J88" s="92"/>
      <x:c r="K88" s="92"/>
      <x:c r="L88" s="92"/>
      <x:c r="M88" s="103"/>
      <x:c r="N88" s="103"/>
      <x:c r="O88" s="104" t="str">
        <x:f>IF(OR(M88="",N88=""),"",N88-M88)</x:f>
      </x:c>
      <x:c r="P88" s="103"/>
      <x:c r="Q88" s="94" t="str">
        <x:f>IF(OR(N88="",P88=""),"",IF(N88&gt;=P88,"Pass","Not Yet"))</x:f>
      </x:c>
      <x:c r="R88" s="92"/>
      <x:c r="S88" s="93"/>
      <x:c r="T88" s="102" t="str">
        <x:f>IF(OR(D88="",K88&lt;&gt;"Attended"),"",D88+3)</x:f>
      </x:c>
      <x:c r="U88" s="94" t="str">
        <x:f>IF(A88="","",IF(K88&lt;&gt;"Attended","N/A",IF(COUNTIFS('12 Training Evaluation'!$B$6:$B$155,B88,'12 Training Evaluation'!$C$6:$C$155,E88,'12 Training Evaluation'!$W$6:$W$155,"Complete")&gt;0,"Complete","Pending")))</x:f>
      </x:c>
      <x:c r="V88" s="102" t="str">
        <x:f>IF(OR(D88="",K88&lt;&gt;"Attended"),"",D88+30)</x:f>
      </x:c>
      <x:c r="W88" s="94" t="str">
        <x:f>IF(A88="","",IF(K88&lt;&gt;"Attended","N/A",IF(COUNTIFS('13 Effectiveness Review'!$B$6:$B$155,B88,'13 Effectiveness Review'!$C$6:$C$155,E88)&gt;0,"Reviewed",IF(V88&lt;TODAY(),"Overdue","Due"))))</x:f>
      </x:c>
      <x:c r="X88" s="92"/>
      <x:c r="Y88" s="92"/>
      <x:c r="Z88" s="92"/>
      <x:c r="AA88" s="85" t="str">
        <x:f>IF(E88="","",E88&amp;"|"&amp;COUNTIF($E$6:E88,E88))</x:f>
      </x:c>
      <x:c r="AB88" s="85" t="str">
        <x:f>IF(A88="","",A88)</x:f>
      </x:c>
      <x:c r="AC88" s="85" t="str">
        <x:f>IF(A88="","",B88)</x:f>
      </x:c>
      <x:c r="AD88" s="85" t="str">
        <x:f>IF(A88="","",C88)</x:f>
      </x:c>
      <x:c r="AE88" s="85" t="str">
        <x:f>IF(A88="","",D88)</x:f>
      </x:c>
      <x:c r="AF88" s="85" t="str">
        <x:f>IF(A88="","",L88)</x:f>
      </x:c>
      <x:c r="AG88" s="85" t="str">
        <x:f>IF(A88="","",K88)</x:f>
      </x:c>
      <x:c r="AH88" s="85" t="str">
        <x:f>IF(A88="","",Q88)</x:f>
      </x:c>
      <x:c r="AI88" s="85" t="str">
        <x:f>IF(A88="","",R88)</x:f>
      </x:c>
      <x:c r="AJ88" s="85" t="str">
        <x:f>IF(A88="","",U88)</x:f>
      </x:c>
      <x:c r="AK88" s="85" t="str">
        <x:f>IF(A88="","",W88)</x:f>
      </x:c>
      <x:c r="AL88" s="85" t="str">
        <x:f>IFERROR(IF(A88="","",Y88),"")</x:f>
      </x:c>
      <x:c r="AM88" s="85" t="str">
        <x:f>IFERROR(IF(A88="","",Z88),"")</x:f>
      </x:c>
    </x:row>
    <x:row r="89">
      <x:c r="A89" s="92"/>
      <x:c r="B89" s="92"/>
      <x:c r="C89" s="94" t="str">
        <x:f>IFERROR(VLOOKUP(B89,'06 Training Register'!$A$6:$Y$55,3,FALSE),"")</x:f>
      </x:c>
      <x:c r="D89" s="102" t="str">
        <x:f>IF(B89="","",IFERROR(IF(VLOOKUP(B89,'06 Training Register'!$A$6:$Y$55,15,FALSE)&gt;0,VLOOKUP(B89,'06 Training Register'!$A$6:$Y$55,15,FALSE),VLOOKUP(B89,'06 Training Register'!$A$6:$Y$55,12,FALSE)),""))</x:f>
      </x:c>
      <x:c r="E89" s="92"/>
      <x:c r="F89" s="94" t="str">
        <x:f>IFERROR(VLOOKUP(E89,'01 Staff Master'!$A$6:$M$105,2,FALSE),"")</x:f>
      </x:c>
      <x:c r="G89" s="94" t="str">
        <x:f>IFERROR(VLOOKUP(E89,'01 Staff Master'!$A$6:$M$105,3,FALSE),"")</x:f>
      </x:c>
      <x:c r="H89" s="94" t="str">
        <x:f>IFERROR(VLOOKUP(E89,'01 Staff Master'!$A$6:$M$105,5,FALSE),"")</x:f>
      </x:c>
      <x:c r="I89" s="94" t="str">
        <x:f>IFERROR(VLOOKUP(B89,'06 Training Register'!$A$6:$Y$55,4,FALSE),"")</x:f>
      </x:c>
      <x:c r="J89" s="92"/>
      <x:c r="K89" s="92"/>
      <x:c r="L89" s="92"/>
      <x:c r="M89" s="103"/>
      <x:c r="N89" s="103"/>
      <x:c r="O89" s="104" t="str">
        <x:f>IF(OR(M89="",N89=""),"",N89-M89)</x:f>
      </x:c>
      <x:c r="P89" s="103"/>
      <x:c r="Q89" s="94" t="str">
        <x:f>IF(OR(N89="",P89=""),"",IF(N89&gt;=P89,"Pass","Not Yet"))</x:f>
      </x:c>
      <x:c r="R89" s="92"/>
      <x:c r="S89" s="93"/>
      <x:c r="T89" s="102" t="str">
        <x:f>IF(OR(D89="",K89&lt;&gt;"Attended"),"",D89+3)</x:f>
      </x:c>
      <x:c r="U89" s="94" t="str">
        <x:f>IF(A89="","",IF(K89&lt;&gt;"Attended","N/A",IF(COUNTIFS('12 Training Evaluation'!$B$6:$B$155,B89,'12 Training Evaluation'!$C$6:$C$155,E89,'12 Training Evaluation'!$W$6:$W$155,"Complete")&gt;0,"Complete","Pending")))</x:f>
      </x:c>
      <x:c r="V89" s="102" t="str">
        <x:f>IF(OR(D89="",K89&lt;&gt;"Attended"),"",D89+30)</x:f>
      </x:c>
      <x:c r="W89" s="94" t="str">
        <x:f>IF(A89="","",IF(K89&lt;&gt;"Attended","N/A",IF(COUNTIFS('13 Effectiveness Review'!$B$6:$B$155,B89,'13 Effectiveness Review'!$C$6:$C$155,E89)&gt;0,"Reviewed",IF(V89&lt;TODAY(),"Overdue","Due"))))</x:f>
      </x:c>
      <x:c r="X89" s="92"/>
      <x:c r="Y89" s="92"/>
      <x:c r="Z89" s="92"/>
      <x:c r="AA89" s="85" t="str">
        <x:f>IF(E89="","",E89&amp;"|"&amp;COUNTIF($E$6:E89,E89))</x:f>
      </x:c>
      <x:c r="AB89" s="85" t="str">
        <x:f>IF(A89="","",A89)</x:f>
      </x:c>
      <x:c r="AC89" s="85" t="str">
        <x:f>IF(A89="","",B89)</x:f>
      </x:c>
      <x:c r="AD89" s="85" t="str">
        <x:f>IF(A89="","",C89)</x:f>
      </x:c>
      <x:c r="AE89" s="85" t="str">
        <x:f>IF(A89="","",D89)</x:f>
      </x:c>
      <x:c r="AF89" s="85" t="str">
        <x:f>IF(A89="","",L89)</x:f>
      </x:c>
      <x:c r="AG89" s="85" t="str">
        <x:f>IF(A89="","",K89)</x:f>
      </x:c>
      <x:c r="AH89" s="85" t="str">
        <x:f>IF(A89="","",Q89)</x:f>
      </x:c>
      <x:c r="AI89" s="85" t="str">
        <x:f>IF(A89="","",R89)</x:f>
      </x:c>
      <x:c r="AJ89" s="85" t="str">
        <x:f>IF(A89="","",U89)</x:f>
      </x:c>
      <x:c r="AK89" s="85" t="str">
        <x:f>IF(A89="","",W89)</x:f>
      </x:c>
      <x:c r="AL89" s="85" t="str">
        <x:f>IFERROR(IF(A89="","",Y89),"")</x:f>
      </x:c>
      <x:c r="AM89" s="85" t="str">
        <x:f>IFERROR(IF(A89="","",Z89),"")</x:f>
      </x:c>
    </x:row>
    <x:row r="90">
      <x:c r="A90" s="92"/>
      <x:c r="B90" s="92"/>
      <x:c r="C90" s="94" t="str">
        <x:f>IFERROR(VLOOKUP(B90,'06 Training Register'!$A$6:$Y$55,3,FALSE),"")</x:f>
      </x:c>
      <x:c r="D90" s="102" t="str">
        <x:f>IF(B90="","",IFERROR(IF(VLOOKUP(B90,'06 Training Register'!$A$6:$Y$55,15,FALSE)&gt;0,VLOOKUP(B90,'06 Training Register'!$A$6:$Y$55,15,FALSE),VLOOKUP(B90,'06 Training Register'!$A$6:$Y$55,12,FALSE)),""))</x:f>
      </x:c>
      <x:c r="E90" s="92"/>
      <x:c r="F90" s="94" t="str">
        <x:f>IFERROR(VLOOKUP(E90,'01 Staff Master'!$A$6:$M$105,2,FALSE),"")</x:f>
      </x:c>
      <x:c r="G90" s="94" t="str">
        <x:f>IFERROR(VLOOKUP(E90,'01 Staff Master'!$A$6:$M$105,3,FALSE),"")</x:f>
      </x:c>
      <x:c r="H90" s="94" t="str">
        <x:f>IFERROR(VLOOKUP(E90,'01 Staff Master'!$A$6:$M$105,5,FALSE),"")</x:f>
      </x:c>
      <x:c r="I90" s="94" t="str">
        <x:f>IFERROR(VLOOKUP(B90,'06 Training Register'!$A$6:$Y$55,4,FALSE),"")</x:f>
      </x:c>
      <x:c r="J90" s="92"/>
      <x:c r="K90" s="92"/>
      <x:c r="L90" s="92"/>
      <x:c r="M90" s="103"/>
      <x:c r="N90" s="103"/>
      <x:c r="O90" s="104" t="str">
        <x:f>IF(OR(M90="",N90=""),"",N90-M90)</x:f>
      </x:c>
      <x:c r="P90" s="103"/>
      <x:c r="Q90" s="94" t="str">
        <x:f>IF(OR(N90="",P90=""),"",IF(N90&gt;=P90,"Pass","Not Yet"))</x:f>
      </x:c>
      <x:c r="R90" s="92"/>
      <x:c r="S90" s="93"/>
      <x:c r="T90" s="102" t="str">
        <x:f>IF(OR(D90="",K90&lt;&gt;"Attended"),"",D90+3)</x:f>
      </x:c>
      <x:c r="U90" s="94" t="str">
        <x:f>IF(A90="","",IF(K90&lt;&gt;"Attended","N/A",IF(COUNTIFS('12 Training Evaluation'!$B$6:$B$155,B90,'12 Training Evaluation'!$C$6:$C$155,E90,'12 Training Evaluation'!$W$6:$W$155,"Complete")&gt;0,"Complete","Pending")))</x:f>
      </x:c>
      <x:c r="V90" s="102" t="str">
        <x:f>IF(OR(D90="",K90&lt;&gt;"Attended"),"",D90+30)</x:f>
      </x:c>
      <x:c r="W90" s="94" t="str">
        <x:f>IF(A90="","",IF(K90&lt;&gt;"Attended","N/A",IF(COUNTIFS('13 Effectiveness Review'!$B$6:$B$155,B90,'13 Effectiveness Review'!$C$6:$C$155,E90)&gt;0,"Reviewed",IF(V90&lt;TODAY(),"Overdue","Due"))))</x:f>
      </x:c>
      <x:c r="X90" s="92"/>
      <x:c r="Y90" s="92"/>
      <x:c r="Z90" s="92"/>
      <x:c r="AA90" s="85" t="str">
        <x:f>IF(E90="","",E90&amp;"|"&amp;COUNTIF($E$6:E90,E90))</x:f>
      </x:c>
      <x:c r="AB90" s="85" t="str">
        <x:f>IF(A90="","",A90)</x:f>
      </x:c>
      <x:c r="AC90" s="85" t="str">
        <x:f>IF(A90="","",B90)</x:f>
      </x:c>
      <x:c r="AD90" s="85" t="str">
        <x:f>IF(A90="","",C90)</x:f>
      </x:c>
      <x:c r="AE90" s="85" t="str">
        <x:f>IF(A90="","",D90)</x:f>
      </x:c>
      <x:c r="AF90" s="85" t="str">
        <x:f>IF(A90="","",L90)</x:f>
      </x:c>
      <x:c r="AG90" s="85" t="str">
        <x:f>IF(A90="","",K90)</x:f>
      </x:c>
      <x:c r="AH90" s="85" t="str">
        <x:f>IF(A90="","",Q90)</x:f>
      </x:c>
      <x:c r="AI90" s="85" t="str">
        <x:f>IF(A90="","",R90)</x:f>
      </x:c>
      <x:c r="AJ90" s="85" t="str">
        <x:f>IF(A90="","",U90)</x:f>
      </x:c>
      <x:c r="AK90" s="85" t="str">
        <x:f>IF(A90="","",W90)</x:f>
      </x:c>
      <x:c r="AL90" s="85" t="str">
        <x:f>IFERROR(IF(A90="","",Y90),"")</x:f>
      </x:c>
      <x:c r="AM90" s="85" t="str">
        <x:f>IFERROR(IF(A90="","",Z90),"")</x:f>
      </x:c>
    </x:row>
    <x:row r="91">
      <x:c r="A91" s="92"/>
      <x:c r="B91" s="92"/>
      <x:c r="C91" s="94" t="str">
        <x:f>IFERROR(VLOOKUP(B91,'06 Training Register'!$A$6:$Y$55,3,FALSE),"")</x:f>
      </x:c>
      <x:c r="D91" s="102" t="str">
        <x:f>IF(B91="","",IFERROR(IF(VLOOKUP(B91,'06 Training Register'!$A$6:$Y$55,15,FALSE)&gt;0,VLOOKUP(B91,'06 Training Register'!$A$6:$Y$55,15,FALSE),VLOOKUP(B91,'06 Training Register'!$A$6:$Y$55,12,FALSE)),""))</x:f>
      </x:c>
      <x:c r="E91" s="92"/>
      <x:c r="F91" s="94" t="str">
        <x:f>IFERROR(VLOOKUP(E91,'01 Staff Master'!$A$6:$M$105,2,FALSE),"")</x:f>
      </x:c>
      <x:c r="G91" s="94" t="str">
        <x:f>IFERROR(VLOOKUP(E91,'01 Staff Master'!$A$6:$M$105,3,FALSE),"")</x:f>
      </x:c>
      <x:c r="H91" s="94" t="str">
        <x:f>IFERROR(VLOOKUP(E91,'01 Staff Master'!$A$6:$M$105,5,FALSE),"")</x:f>
      </x:c>
      <x:c r="I91" s="94" t="str">
        <x:f>IFERROR(VLOOKUP(B91,'06 Training Register'!$A$6:$Y$55,4,FALSE),"")</x:f>
      </x:c>
      <x:c r="J91" s="92"/>
      <x:c r="K91" s="92"/>
      <x:c r="L91" s="92"/>
      <x:c r="M91" s="103"/>
      <x:c r="N91" s="103"/>
      <x:c r="O91" s="104" t="str">
        <x:f>IF(OR(M91="",N91=""),"",N91-M91)</x:f>
      </x:c>
      <x:c r="P91" s="103"/>
      <x:c r="Q91" s="94" t="str">
        <x:f>IF(OR(N91="",P91=""),"",IF(N91&gt;=P91,"Pass","Not Yet"))</x:f>
      </x:c>
      <x:c r="R91" s="92"/>
      <x:c r="S91" s="93"/>
      <x:c r="T91" s="102" t="str">
        <x:f>IF(OR(D91="",K91&lt;&gt;"Attended"),"",D91+3)</x:f>
      </x:c>
      <x:c r="U91" s="94" t="str">
        <x:f>IF(A91="","",IF(K91&lt;&gt;"Attended","N/A",IF(COUNTIFS('12 Training Evaluation'!$B$6:$B$155,B91,'12 Training Evaluation'!$C$6:$C$155,E91,'12 Training Evaluation'!$W$6:$W$155,"Complete")&gt;0,"Complete","Pending")))</x:f>
      </x:c>
      <x:c r="V91" s="102" t="str">
        <x:f>IF(OR(D91="",K91&lt;&gt;"Attended"),"",D91+30)</x:f>
      </x:c>
      <x:c r="W91" s="94" t="str">
        <x:f>IF(A91="","",IF(K91&lt;&gt;"Attended","N/A",IF(COUNTIFS('13 Effectiveness Review'!$B$6:$B$155,B91,'13 Effectiveness Review'!$C$6:$C$155,E91)&gt;0,"Reviewed",IF(V91&lt;TODAY(),"Overdue","Due"))))</x:f>
      </x:c>
      <x:c r="X91" s="92"/>
      <x:c r="Y91" s="92"/>
      <x:c r="Z91" s="92"/>
      <x:c r="AA91" s="85" t="str">
        <x:f>IF(E91="","",E91&amp;"|"&amp;COUNTIF($E$6:E91,E91))</x:f>
      </x:c>
      <x:c r="AB91" s="85" t="str">
        <x:f>IF(A91="","",A91)</x:f>
      </x:c>
      <x:c r="AC91" s="85" t="str">
        <x:f>IF(A91="","",B91)</x:f>
      </x:c>
      <x:c r="AD91" s="85" t="str">
        <x:f>IF(A91="","",C91)</x:f>
      </x:c>
      <x:c r="AE91" s="85" t="str">
        <x:f>IF(A91="","",D91)</x:f>
      </x:c>
      <x:c r="AF91" s="85" t="str">
        <x:f>IF(A91="","",L91)</x:f>
      </x:c>
      <x:c r="AG91" s="85" t="str">
        <x:f>IF(A91="","",K91)</x:f>
      </x:c>
      <x:c r="AH91" s="85" t="str">
        <x:f>IF(A91="","",Q91)</x:f>
      </x:c>
      <x:c r="AI91" s="85" t="str">
        <x:f>IF(A91="","",R91)</x:f>
      </x:c>
      <x:c r="AJ91" s="85" t="str">
        <x:f>IF(A91="","",U91)</x:f>
      </x:c>
      <x:c r="AK91" s="85" t="str">
        <x:f>IF(A91="","",W91)</x:f>
      </x:c>
      <x:c r="AL91" s="85" t="str">
        <x:f>IFERROR(IF(A91="","",Y91),"")</x:f>
      </x:c>
      <x:c r="AM91" s="85" t="str">
        <x:f>IFERROR(IF(A91="","",Z91),"")</x:f>
      </x:c>
    </x:row>
    <x:row r="92">
      <x:c r="A92" s="92"/>
      <x:c r="B92" s="92"/>
      <x:c r="C92" s="94" t="str">
        <x:f>IFERROR(VLOOKUP(B92,'06 Training Register'!$A$6:$Y$55,3,FALSE),"")</x:f>
      </x:c>
      <x:c r="D92" s="102" t="str">
        <x:f>IF(B92="","",IFERROR(IF(VLOOKUP(B92,'06 Training Register'!$A$6:$Y$55,15,FALSE)&gt;0,VLOOKUP(B92,'06 Training Register'!$A$6:$Y$55,15,FALSE),VLOOKUP(B92,'06 Training Register'!$A$6:$Y$55,12,FALSE)),""))</x:f>
      </x:c>
      <x:c r="E92" s="92"/>
      <x:c r="F92" s="94" t="str">
        <x:f>IFERROR(VLOOKUP(E92,'01 Staff Master'!$A$6:$M$105,2,FALSE),"")</x:f>
      </x:c>
      <x:c r="G92" s="94" t="str">
        <x:f>IFERROR(VLOOKUP(E92,'01 Staff Master'!$A$6:$M$105,3,FALSE),"")</x:f>
      </x:c>
      <x:c r="H92" s="94" t="str">
        <x:f>IFERROR(VLOOKUP(E92,'01 Staff Master'!$A$6:$M$105,5,FALSE),"")</x:f>
      </x:c>
      <x:c r="I92" s="94" t="str">
        <x:f>IFERROR(VLOOKUP(B92,'06 Training Register'!$A$6:$Y$55,4,FALSE),"")</x:f>
      </x:c>
      <x:c r="J92" s="92"/>
      <x:c r="K92" s="92"/>
      <x:c r="L92" s="92"/>
      <x:c r="M92" s="103"/>
      <x:c r="N92" s="103"/>
      <x:c r="O92" s="104" t="str">
        <x:f>IF(OR(M92="",N92=""),"",N92-M92)</x:f>
      </x:c>
      <x:c r="P92" s="103"/>
      <x:c r="Q92" s="94" t="str">
        <x:f>IF(OR(N92="",P92=""),"",IF(N92&gt;=P92,"Pass","Not Yet"))</x:f>
      </x:c>
      <x:c r="R92" s="92"/>
      <x:c r="S92" s="93"/>
      <x:c r="T92" s="102" t="str">
        <x:f>IF(OR(D92="",K92&lt;&gt;"Attended"),"",D92+3)</x:f>
      </x:c>
      <x:c r="U92" s="94" t="str">
        <x:f>IF(A92="","",IF(K92&lt;&gt;"Attended","N/A",IF(COUNTIFS('12 Training Evaluation'!$B$6:$B$155,B92,'12 Training Evaluation'!$C$6:$C$155,E92,'12 Training Evaluation'!$W$6:$W$155,"Complete")&gt;0,"Complete","Pending")))</x:f>
      </x:c>
      <x:c r="V92" s="102" t="str">
        <x:f>IF(OR(D92="",K92&lt;&gt;"Attended"),"",D92+30)</x:f>
      </x:c>
      <x:c r="W92" s="94" t="str">
        <x:f>IF(A92="","",IF(K92&lt;&gt;"Attended","N/A",IF(COUNTIFS('13 Effectiveness Review'!$B$6:$B$155,B92,'13 Effectiveness Review'!$C$6:$C$155,E92)&gt;0,"Reviewed",IF(V92&lt;TODAY(),"Overdue","Due"))))</x:f>
      </x:c>
      <x:c r="X92" s="92"/>
      <x:c r="Y92" s="92"/>
      <x:c r="Z92" s="92"/>
      <x:c r="AA92" s="85" t="str">
        <x:f>IF(E92="","",E92&amp;"|"&amp;COUNTIF($E$6:E92,E92))</x:f>
      </x:c>
      <x:c r="AB92" s="85" t="str">
        <x:f>IF(A92="","",A92)</x:f>
      </x:c>
      <x:c r="AC92" s="85" t="str">
        <x:f>IF(A92="","",B92)</x:f>
      </x:c>
      <x:c r="AD92" s="85" t="str">
        <x:f>IF(A92="","",C92)</x:f>
      </x:c>
      <x:c r="AE92" s="85" t="str">
        <x:f>IF(A92="","",D92)</x:f>
      </x:c>
      <x:c r="AF92" s="85" t="str">
        <x:f>IF(A92="","",L92)</x:f>
      </x:c>
      <x:c r="AG92" s="85" t="str">
        <x:f>IF(A92="","",K92)</x:f>
      </x:c>
      <x:c r="AH92" s="85" t="str">
        <x:f>IF(A92="","",Q92)</x:f>
      </x:c>
      <x:c r="AI92" s="85" t="str">
        <x:f>IF(A92="","",R92)</x:f>
      </x:c>
      <x:c r="AJ92" s="85" t="str">
        <x:f>IF(A92="","",U92)</x:f>
      </x:c>
      <x:c r="AK92" s="85" t="str">
        <x:f>IF(A92="","",W92)</x:f>
      </x:c>
      <x:c r="AL92" s="85" t="str">
        <x:f>IFERROR(IF(A92="","",Y92),"")</x:f>
      </x:c>
      <x:c r="AM92" s="85" t="str">
        <x:f>IFERROR(IF(A92="","",Z92),"")</x:f>
      </x:c>
    </x:row>
    <x:row r="93">
      <x:c r="A93" s="92"/>
      <x:c r="B93" s="92"/>
      <x:c r="C93" s="94" t="str">
        <x:f>IFERROR(VLOOKUP(B93,'06 Training Register'!$A$6:$Y$55,3,FALSE),"")</x:f>
      </x:c>
      <x:c r="D93" s="102" t="str">
        <x:f>IF(B93="","",IFERROR(IF(VLOOKUP(B93,'06 Training Register'!$A$6:$Y$55,15,FALSE)&gt;0,VLOOKUP(B93,'06 Training Register'!$A$6:$Y$55,15,FALSE),VLOOKUP(B93,'06 Training Register'!$A$6:$Y$55,12,FALSE)),""))</x:f>
      </x:c>
      <x:c r="E93" s="92"/>
      <x:c r="F93" s="94" t="str">
        <x:f>IFERROR(VLOOKUP(E93,'01 Staff Master'!$A$6:$M$105,2,FALSE),"")</x:f>
      </x:c>
      <x:c r="G93" s="94" t="str">
        <x:f>IFERROR(VLOOKUP(E93,'01 Staff Master'!$A$6:$M$105,3,FALSE),"")</x:f>
      </x:c>
      <x:c r="H93" s="94" t="str">
        <x:f>IFERROR(VLOOKUP(E93,'01 Staff Master'!$A$6:$M$105,5,FALSE),"")</x:f>
      </x:c>
      <x:c r="I93" s="94" t="str">
        <x:f>IFERROR(VLOOKUP(B93,'06 Training Register'!$A$6:$Y$55,4,FALSE),"")</x:f>
      </x:c>
      <x:c r="J93" s="92"/>
      <x:c r="K93" s="92"/>
      <x:c r="L93" s="92"/>
      <x:c r="M93" s="103"/>
      <x:c r="N93" s="103"/>
      <x:c r="O93" s="104" t="str">
        <x:f>IF(OR(M93="",N93=""),"",N93-M93)</x:f>
      </x:c>
      <x:c r="P93" s="103"/>
      <x:c r="Q93" s="94" t="str">
        <x:f>IF(OR(N93="",P93=""),"",IF(N93&gt;=P93,"Pass","Not Yet"))</x:f>
      </x:c>
      <x:c r="R93" s="92"/>
      <x:c r="S93" s="93"/>
      <x:c r="T93" s="102" t="str">
        <x:f>IF(OR(D93="",K93&lt;&gt;"Attended"),"",D93+3)</x:f>
      </x:c>
      <x:c r="U93" s="94" t="str">
        <x:f>IF(A93="","",IF(K93&lt;&gt;"Attended","N/A",IF(COUNTIFS('12 Training Evaluation'!$B$6:$B$155,B93,'12 Training Evaluation'!$C$6:$C$155,E93,'12 Training Evaluation'!$W$6:$W$155,"Complete")&gt;0,"Complete","Pending")))</x:f>
      </x:c>
      <x:c r="V93" s="102" t="str">
        <x:f>IF(OR(D93="",K93&lt;&gt;"Attended"),"",D93+30)</x:f>
      </x:c>
      <x:c r="W93" s="94" t="str">
        <x:f>IF(A93="","",IF(K93&lt;&gt;"Attended","N/A",IF(COUNTIFS('13 Effectiveness Review'!$B$6:$B$155,B93,'13 Effectiveness Review'!$C$6:$C$155,E93)&gt;0,"Reviewed",IF(V93&lt;TODAY(),"Overdue","Due"))))</x:f>
      </x:c>
      <x:c r="X93" s="92"/>
      <x:c r="Y93" s="92"/>
      <x:c r="Z93" s="92"/>
      <x:c r="AA93" s="85" t="str">
        <x:f>IF(E93="","",E93&amp;"|"&amp;COUNTIF($E$6:E93,E93))</x:f>
      </x:c>
      <x:c r="AB93" s="85" t="str">
        <x:f>IF(A93="","",A93)</x:f>
      </x:c>
      <x:c r="AC93" s="85" t="str">
        <x:f>IF(A93="","",B93)</x:f>
      </x:c>
      <x:c r="AD93" s="85" t="str">
        <x:f>IF(A93="","",C93)</x:f>
      </x:c>
      <x:c r="AE93" s="85" t="str">
        <x:f>IF(A93="","",D93)</x:f>
      </x:c>
      <x:c r="AF93" s="85" t="str">
        <x:f>IF(A93="","",L93)</x:f>
      </x:c>
      <x:c r="AG93" s="85" t="str">
        <x:f>IF(A93="","",K93)</x:f>
      </x:c>
      <x:c r="AH93" s="85" t="str">
        <x:f>IF(A93="","",Q93)</x:f>
      </x:c>
      <x:c r="AI93" s="85" t="str">
        <x:f>IF(A93="","",R93)</x:f>
      </x:c>
      <x:c r="AJ93" s="85" t="str">
        <x:f>IF(A93="","",U93)</x:f>
      </x:c>
      <x:c r="AK93" s="85" t="str">
        <x:f>IF(A93="","",W93)</x:f>
      </x:c>
      <x:c r="AL93" s="85" t="str">
        <x:f>IFERROR(IF(A93="","",Y93),"")</x:f>
      </x:c>
      <x:c r="AM93" s="85" t="str">
        <x:f>IFERROR(IF(A93="","",Z93),"")</x:f>
      </x:c>
    </x:row>
    <x:row r="94">
      <x:c r="A94" s="92"/>
      <x:c r="B94" s="92"/>
      <x:c r="C94" s="94" t="str">
        <x:f>IFERROR(VLOOKUP(B94,'06 Training Register'!$A$6:$Y$55,3,FALSE),"")</x:f>
      </x:c>
      <x:c r="D94" s="102" t="str">
        <x:f>IF(B94="","",IFERROR(IF(VLOOKUP(B94,'06 Training Register'!$A$6:$Y$55,15,FALSE)&gt;0,VLOOKUP(B94,'06 Training Register'!$A$6:$Y$55,15,FALSE),VLOOKUP(B94,'06 Training Register'!$A$6:$Y$55,12,FALSE)),""))</x:f>
      </x:c>
      <x:c r="E94" s="92"/>
      <x:c r="F94" s="94" t="str">
        <x:f>IFERROR(VLOOKUP(E94,'01 Staff Master'!$A$6:$M$105,2,FALSE),"")</x:f>
      </x:c>
      <x:c r="G94" s="94" t="str">
        <x:f>IFERROR(VLOOKUP(E94,'01 Staff Master'!$A$6:$M$105,3,FALSE),"")</x:f>
      </x:c>
      <x:c r="H94" s="94" t="str">
        <x:f>IFERROR(VLOOKUP(E94,'01 Staff Master'!$A$6:$M$105,5,FALSE),"")</x:f>
      </x:c>
      <x:c r="I94" s="94" t="str">
        <x:f>IFERROR(VLOOKUP(B94,'06 Training Register'!$A$6:$Y$55,4,FALSE),"")</x:f>
      </x:c>
      <x:c r="J94" s="92"/>
      <x:c r="K94" s="92"/>
      <x:c r="L94" s="92"/>
      <x:c r="M94" s="103"/>
      <x:c r="N94" s="103"/>
      <x:c r="O94" s="104" t="str">
        <x:f>IF(OR(M94="",N94=""),"",N94-M94)</x:f>
      </x:c>
      <x:c r="P94" s="103"/>
      <x:c r="Q94" s="94" t="str">
        <x:f>IF(OR(N94="",P94=""),"",IF(N94&gt;=P94,"Pass","Not Yet"))</x:f>
      </x:c>
      <x:c r="R94" s="92"/>
      <x:c r="S94" s="93"/>
      <x:c r="T94" s="102" t="str">
        <x:f>IF(OR(D94="",K94&lt;&gt;"Attended"),"",D94+3)</x:f>
      </x:c>
      <x:c r="U94" s="94" t="str">
        <x:f>IF(A94="","",IF(K94&lt;&gt;"Attended","N/A",IF(COUNTIFS('12 Training Evaluation'!$B$6:$B$155,B94,'12 Training Evaluation'!$C$6:$C$155,E94,'12 Training Evaluation'!$W$6:$W$155,"Complete")&gt;0,"Complete","Pending")))</x:f>
      </x:c>
      <x:c r="V94" s="102" t="str">
        <x:f>IF(OR(D94="",K94&lt;&gt;"Attended"),"",D94+30)</x:f>
      </x:c>
      <x:c r="W94" s="94" t="str">
        <x:f>IF(A94="","",IF(K94&lt;&gt;"Attended","N/A",IF(COUNTIFS('13 Effectiveness Review'!$B$6:$B$155,B94,'13 Effectiveness Review'!$C$6:$C$155,E94)&gt;0,"Reviewed",IF(V94&lt;TODAY(),"Overdue","Due"))))</x:f>
      </x:c>
      <x:c r="X94" s="92"/>
      <x:c r="Y94" s="92"/>
      <x:c r="Z94" s="92"/>
      <x:c r="AA94" s="85" t="str">
        <x:f>IF(E94="","",E94&amp;"|"&amp;COUNTIF($E$6:E94,E94))</x:f>
      </x:c>
      <x:c r="AB94" s="85" t="str">
        <x:f>IF(A94="","",A94)</x:f>
      </x:c>
      <x:c r="AC94" s="85" t="str">
        <x:f>IF(A94="","",B94)</x:f>
      </x:c>
      <x:c r="AD94" s="85" t="str">
        <x:f>IF(A94="","",C94)</x:f>
      </x:c>
      <x:c r="AE94" s="85" t="str">
        <x:f>IF(A94="","",D94)</x:f>
      </x:c>
      <x:c r="AF94" s="85" t="str">
        <x:f>IF(A94="","",L94)</x:f>
      </x:c>
      <x:c r="AG94" s="85" t="str">
        <x:f>IF(A94="","",K94)</x:f>
      </x:c>
      <x:c r="AH94" s="85" t="str">
        <x:f>IF(A94="","",Q94)</x:f>
      </x:c>
      <x:c r="AI94" s="85" t="str">
        <x:f>IF(A94="","",R94)</x:f>
      </x:c>
      <x:c r="AJ94" s="85" t="str">
        <x:f>IF(A94="","",U94)</x:f>
      </x:c>
      <x:c r="AK94" s="85" t="str">
        <x:f>IF(A94="","",W94)</x:f>
      </x:c>
      <x:c r="AL94" s="85" t="str">
        <x:f>IFERROR(IF(A94="","",Y94),"")</x:f>
      </x:c>
      <x:c r="AM94" s="85" t="str">
        <x:f>IFERROR(IF(A94="","",Z94),"")</x:f>
      </x:c>
    </x:row>
    <x:row r="95">
      <x:c r="A95" s="92"/>
      <x:c r="B95" s="92"/>
      <x:c r="C95" s="94" t="str">
        <x:f>IFERROR(VLOOKUP(B95,'06 Training Register'!$A$6:$Y$55,3,FALSE),"")</x:f>
      </x:c>
      <x:c r="D95" s="102" t="str">
        <x:f>IF(B95="","",IFERROR(IF(VLOOKUP(B95,'06 Training Register'!$A$6:$Y$55,15,FALSE)&gt;0,VLOOKUP(B95,'06 Training Register'!$A$6:$Y$55,15,FALSE),VLOOKUP(B95,'06 Training Register'!$A$6:$Y$55,12,FALSE)),""))</x:f>
      </x:c>
      <x:c r="E95" s="92"/>
      <x:c r="F95" s="94" t="str">
        <x:f>IFERROR(VLOOKUP(E95,'01 Staff Master'!$A$6:$M$105,2,FALSE),"")</x:f>
      </x:c>
      <x:c r="G95" s="94" t="str">
        <x:f>IFERROR(VLOOKUP(E95,'01 Staff Master'!$A$6:$M$105,3,FALSE),"")</x:f>
      </x:c>
      <x:c r="H95" s="94" t="str">
        <x:f>IFERROR(VLOOKUP(E95,'01 Staff Master'!$A$6:$M$105,5,FALSE),"")</x:f>
      </x:c>
      <x:c r="I95" s="94" t="str">
        <x:f>IFERROR(VLOOKUP(B95,'06 Training Register'!$A$6:$Y$55,4,FALSE),"")</x:f>
      </x:c>
      <x:c r="J95" s="92"/>
      <x:c r="K95" s="92"/>
      <x:c r="L95" s="92"/>
      <x:c r="M95" s="103"/>
      <x:c r="N95" s="103"/>
      <x:c r="O95" s="104" t="str">
        <x:f>IF(OR(M95="",N95=""),"",N95-M95)</x:f>
      </x:c>
      <x:c r="P95" s="103"/>
      <x:c r="Q95" s="94" t="str">
        <x:f>IF(OR(N95="",P95=""),"",IF(N95&gt;=P95,"Pass","Not Yet"))</x:f>
      </x:c>
      <x:c r="R95" s="92"/>
      <x:c r="S95" s="93"/>
      <x:c r="T95" s="102" t="str">
        <x:f>IF(OR(D95="",K95&lt;&gt;"Attended"),"",D95+3)</x:f>
      </x:c>
      <x:c r="U95" s="94" t="str">
        <x:f>IF(A95="","",IF(K95&lt;&gt;"Attended","N/A",IF(COUNTIFS('12 Training Evaluation'!$B$6:$B$155,B95,'12 Training Evaluation'!$C$6:$C$155,E95,'12 Training Evaluation'!$W$6:$W$155,"Complete")&gt;0,"Complete","Pending")))</x:f>
      </x:c>
      <x:c r="V95" s="102" t="str">
        <x:f>IF(OR(D95="",K95&lt;&gt;"Attended"),"",D95+30)</x:f>
      </x:c>
      <x:c r="W95" s="94" t="str">
        <x:f>IF(A95="","",IF(K95&lt;&gt;"Attended","N/A",IF(COUNTIFS('13 Effectiveness Review'!$B$6:$B$155,B95,'13 Effectiveness Review'!$C$6:$C$155,E95)&gt;0,"Reviewed",IF(V95&lt;TODAY(),"Overdue","Due"))))</x:f>
      </x:c>
      <x:c r="X95" s="92"/>
      <x:c r="Y95" s="92"/>
      <x:c r="Z95" s="92"/>
      <x:c r="AA95" s="85" t="str">
        <x:f>IF(E95="","",E95&amp;"|"&amp;COUNTIF($E$6:E95,E95))</x:f>
      </x:c>
      <x:c r="AB95" s="85" t="str">
        <x:f>IF(A95="","",A95)</x:f>
      </x:c>
      <x:c r="AC95" s="85" t="str">
        <x:f>IF(A95="","",B95)</x:f>
      </x:c>
      <x:c r="AD95" s="85" t="str">
        <x:f>IF(A95="","",C95)</x:f>
      </x:c>
      <x:c r="AE95" s="85" t="str">
        <x:f>IF(A95="","",D95)</x:f>
      </x:c>
      <x:c r="AF95" s="85" t="str">
        <x:f>IF(A95="","",L95)</x:f>
      </x:c>
      <x:c r="AG95" s="85" t="str">
        <x:f>IF(A95="","",K95)</x:f>
      </x:c>
      <x:c r="AH95" s="85" t="str">
        <x:f>IF(A95="","",Q95)</x:f>
      </x:c>
      <x:c r="AI95" s="85" t="str">
        <x:f>IF(A95="","",R95)</x:f>
      </x:c>
      <x:c r="AJ95" s="85" t="str">
        <x:f>IF(A95="","",U95)</x:f>
      </x:c>
      <x:c r="AK95" s="85" t="str">
        <x:f>IF(A95="","",W95)</x:f>
      </x:c>
      <x:c r="AL95" s="85" t="str">
        <x:f>IFERROR(IF(A95="","",Y95),"")</x:f>
      </x:c>
      <x:c r="AM95" s="85" t="str">
        <x:f>IFERROR(IF(A95="","",Z95),"")</x:f>
      </x:c>
    </x:row>
    <x:row r="96">
      <x:c r="A96" s="92"/>
      <x:c r="B96" s="92"/>
      <x:c r="C96" s="94" t="str">
        <x:f>IFERROR(VLOOKUP(B96,'06 Training Register'!$A$6:$Y$55,3,FALSE),"")</x:f>
      </x:c>
      <x:c r="D96" s="102" t="str">
        <x:f>IF(B96="","",IFERROR(IF(VLOOKUP(B96,'06 Training Register'!$A$6:$Y$55,15,FALSE)&gt;0,VLOOKUP(B96,'06 Training Register'!$A$6:$Y$55,15,FALSE),VLOOKUP(B96,'06 Training Register'!$A$6:$Y$55,12,FALSE)),""))</x:f>
      </x:c>
      <x:c r="E96" s="92"/>
      <x:c r="F96" s="94" t="str">
        <x:f>IFERROR(VLOOKUP(E96,'01 Staff Master'!$A$6:$M$105,2,FALSE),"")</x:f>
      </x:c>
      <x:c r="G96" s="94" t="str">
        <x:f>IFERROR(VLOOKUP(E96,'01 Staff Master'!$A$6:$M$105,3,FALSE),"")</x:f>
      </x:c>
      <x:c r="H96" s="94" t="str">
        <x:f>IFERROR(VLOOKUP(E96,'01 Staff Master'!$A$6:$M$105,5,FALSE),"")</x:f>
      </x:c>
      <x:c r="I96" s="94" t="str">
        <x:f>IFERROR(VLOOKUP(B96,'06 Training Register'!$A$6:$Y$55,4,FALSE),"")</x:f>
      </x:c>
      <x:c r="J96" s="92"/>
      <x:c r="K96" s="92"/>
      <x:c r="L96" s="92"/>
      <x:c r="M96" s="103"/>
      <x:c r="N96" s="103"/>
      <x:c r="O96" s="104" t="str">
        <x:f>IF(OR(M96="",N96=""),"",N96-M96)</x:f>
      </x:c>
      <x:c r="P96" s="103"/>
      <x:c r="Q96" s="94" t="str">
        <x:f>IF(OR(N96="",P96=""),"",IF(N96&gt;=P96,"Pass","Not Yet"))</x:f>
      </x:c>
      <x:c r="R96" s="92"/>
      <x:c r="S96" s="93"/>
      <x:c r="T96" s="102" t="str">
        <x:f>IF(OR(D96="",K96&lt;&gt;"Attended"),"",D96+3)</x:f>
      </x:c>
      <x:c r="U96" s="94" t="str">
        <x:f>IF(A96="","",IF(K96&lt;&gt;"Attended","N/A",IF(COUNTIFS('12 Training Evaluation'!$B$6:$B$155,B96,'12 Training Evaluation'!$C$6:$C$155,E96,'12 Training Evaluation'!$W$6:$W$155,"Complete")&gt;0,"Complete","Pending")))</x:f>
      </x:c>
      <x:c r="V96" s="102" t="str">
        <x:f>IF(OR(D96="",K96&lt;&gt;"Attended"),"",D96+30)</x:f>
      </x:c>
      <x:c r="W96" s="94" t="str">
        <x:f>IF(A96="","",IF(K96&lt;&gt;"Attended","N/A",IF(COUNTIFS('13 Effectiveness Review'!$B$6:$B$155,B96,'13 Effectiveness Review'!$C$6:$C$155,E96)&gt;0,"Reviewed",IF(V96&lt;TODAY(),"Overdue","Due"))))</x:f>
      </x:c>
      <x:c r="X96" s="92"/>
      <x:c r="Y96" s="92"/>
      <x:c r="Z96" s="92"/>
      <x:c r="AA96" s="85" t="str">
        <x:f>IF(E96="","",E96&amp;"|"&amp;COUNTIF($E$6:E96,E96))</x:f>
      </x:c>
      <x:c r="AB96" s="85" t="str">
        <x:f>IF(A96="","",A96)</x:f>
      </x:c>
      <x:c r="AC96" s="85" t="str">
        <x:f>IF(A96="","",B96)</x:f>
      </x:c>
      <x:c r="AD96" s="85" t="str">
        <x:f>IF(A96="","",C96)</x:f>
      </x:c>
      <x:c r="AE96" s="85" t="str">
        <x:f>IF(A96="","",D96)</x:f>
      </x:c>
      <x:c r="AF96" s="85" t="str">
        <x:f>IF(A96="","",L96)</x:f>
      </x:c>
      <x:c r="AG96" s="85" t="str">
        <x:f>IF(A96="","",K96)</x:f>
      </x:c>
      <x:c r="AH96" s="85" t="str">
        <x:f>IF(A96="","",Q96)</x:f>
      </x:c>
      <x:c r="AI96" s="85" t="str">
        <x:f>IF(A96="","",R96)</x:f>
      </x:c>
      <x:c r="AJ96" s="85" t="str">
        <x:f>IF(A96="","",U96)</x:f>
      </x:c>
      <x:c r="AK96" s="85" t="str">
        <x:f>IF(A96="","",W96)</x:f>
      </x:c>
      <x:c r="AL96" s="85" t="str">
        <x:f>IFERROR(IF(A96="","",Y96),"")</x:f>
      </x:c>
      <x:c r="AM96" s="85" t="str">
        <x:f>IFERROR(IF(A96="","",Z96),"")</x:f>
      </x:c>
    </x:row>
    <x:row r="97">
      <x:c r="A97" s="92"/>
      <x:c r="B97" s="92"/>
      <x:c r="C97" s="94" t="str">
        <x:f>IFERROR(VLOOKUP(B97,'06 Training Register'!$A$6:$Y$55,3,FALSE),"")</x:f>
      </x:c>
      <x:c r="D97" s="102" t="str">
        <x:f>IF(B97="","",IFERROR(IF(VLOOKUP(B97,'06 Training Register'!$A$6:$Y$55,15,FALSE)&gt;0,VLOOKUP(B97,'06 Training Register'!$A$6:$Y$55,15,FALSE),VLOOKUP(B97,'06 Training Register'!$A$6:$Y$55,12,FALSE)),""))</x:f>
      </x:c>
      <x:c r="E97" s="92"/>
      <x:c r="F97" s="94" t="str">
        <x:f>IFERROR(VLOOKUP(E97,'01 Staff Master'!$A$6:$M$105,2,FALSE),"")</x:f>
      </x:c>
      <x:c r="G97" s="94" t="str">
        <x:f>IFERROR(VLOOKUP(E97,'01 Staff Master'!$A$6:$M$105,3,FALSE),"")</x:f>
      </x:c>
      <x:c r="H97" s="94" t="str">
        <x:f>IFERROR(VLOOKUP(E97,'01 Staff Master'!$A$6:$M$105,5,FALSE),"")</x:f>
      </x:c>
      <x:c r="I97" s="94" t="str">
        <x:f>IFERROR(VLOOKUP(B97,'06 Training Register'!$A$6:$Y$55,4,FALSE),"")</x:f>
      </x:c>
      <x:c r="J97" s="92"/>
      <x:c r="K97" s="92"/>
      <x:c r="L97" s="92"/>
      <x:c r="M97" s="103"/>
      <x:c r="N97" s="103"/>
      <x:c r="O97" s="104" t="str">
        <x:f>IF(OR(M97="",N97=""),"",N97-M97)</x:f>
      </x:c>
      <x:c r="P97" s="103"/>
      <x:c r="Q97" s="94" t="str">
        <x:f>IF(OR(N97="",P97=""),"",IF(N97&gt;=P97,"Pass","Not Yet"))</x:f>
      </x:c>
      <x:c r="R97" s="92"/>
      <x:c r="S97" s="93"/>
      <x:c r="T97" s="102" t="str">
        <x:f>IF(OR(D97="",K97&lt;&gt;"Attended"),"",D97+3)</x:f>
      </x:c>
      <x:c r="U97" s="94" t="str">
        <x:f>IF(A97="","",IF(K97&lt;&gt;"Attended","N/A",IF(COUNTIFS('12 Training Evaluation'!$B$6:$B$155,B97,'12 Training Evaluation'!$C$6:$C$155,E97,'12 Training Evaluation'!$W$6:$W$155,"Complete")&gt;0,"Complete","Pending")))</x:f>
      </x:c>
      <x:c r="V97" s="102" t="str">
        <x:f>IF(OR(D97="",K97&lt;&gt;"Attended"),"",D97+30)</x:f>
      </x:c>
      <x:c r="W97" s="94" t="str">
        <x:f>IF(A97="","",IF(K97&lt;&gt;"Attended","N/A",IF(COUNTIFS('13 Effectiveness Review'!$B$6:$B$155,B97,'13 Effectiveness Review'!$C$6:$C$155,E97)&gt;0,"Reviewed",IF(V97&lt;TODAY(),"Overdue","Due"))))</x:f>
      </x:c>
      <x:c r="X97" s="92"/>
      <x:c r="Y97" s="92"/>
      <x:c r="Z97" s="92"/>
      <x:c r="AA97" s="85" t="str">
        <x:f>IF(E97="","",E97&amp;"|"&amp;COUNTIF($E$6:E97,E97))</x:f>
      </x:c>
      <x:c r="AB97" s="85" t="str">
        <x:f>IF(A97="","",A97)</x:f>
      </x:c>
      <x:c r="AC97" s="85" t="str">
        <x:f>IF(A97="","",B97)</x:f>
      </x:c>
      <x:c r="AD97" s="85" t="str">
        <x:f>IF(A97="","",C97)</x:f>
      </x:c>
      <x:c r="AE97" s="85" t="str">
        <x:f>IF(A97="","",D97)</x:f>
      </x:c>
      <x:c r="AF97" s="85" t="str">
        <x:f>IF(A97="","",L97)</x:f>
      </x:c>
      <x:c r="AG97" s="85" t="str">
        <x:f>IF(A97="","",K97)</x:f>
      </x:c>
      <x:c r="AH97" s="85" t="str">
        <x:f>IF(A97="","",Q97)</x:f>
      </x:c>
      <x:c r="AI97" s="85" t="str">
        <x:f>IF(A97="","",R97)</x:f>
      </x:c>
      <x:c r="AJ97" s="85" t="str">
        <x:f>IF(A97="","",U97)</x:f>
      </x:c>
      <x:c r="AK97" s="85" t="str">
        <x:f>IF(A97="","",W97)</x:f>
      </x:c>
      <x:c r="AL97" s="85" t="str">
        <x:f>IFERROR(IF(A97="","",Y97),"")</x:f>
      </x:c>
      <x:c r="AM97" s="85" t="str">
        <x:f>IFERROR(IF(A97="","",Z97),"")</x:f>
      </x:c>
    </x:row>
    <x:row r="98">
      <x:c r="A98" s="92"/>
      <x:c r="B98" s="92"/>
      <x:c r="C98" s="94" t="str">
        <x:f>IFERROR(VLOOKUP(B98,'06 Training Register'!$A$6:$Y$55,3,FALSE),"")</x:f>
      </x:c>
      <x:c r="D98" s="102" t="str">
        <x:f>IF(B98="","",IFERROR(IF(VLOOKUP(B98,'06 Training Register'!$A$6:$Y$55,15,FALSE)&gt;0,VLOOKUP(B98,'06 Training Register'!$A$6:$Y$55,15,FALSE),VLOOKUP(B98,'06 Training Register'!$A$6:$Y$55,12,FALSE)),""))</x:f>
      </x:c>
      <x:c r="E98" s="92"/>
      <x:c r="F98" s="94" t="str">
        <x:f>IFERROR(VLOOKUP(E98,'01 Staff Master'!$A$6:$M$105,2,FALSE),"")</x:f>
      </x:c>
      <x:c r="G98" s="94" t="str">
        <x:f>IFERROR(VLOOKUP(E98,'01 Staff Master'!$A$6:$M$105,3,FALSE),"")</x:f>
      </x:c>
      <x:c r="H98" s="94" t="str">
        <x:f>IFERROR(VLOOKUP(E98,'01 Staff Master'!$A$6:$M$105,5,FALSE),"")</x:f>
      </x:c>
      <x:c r="I98" s="94" t="str">
        <x:f>IFERROR(VLOOKUP(B98,'06 Training Register'!$A$6:$Y$55,4,FALSE),"")</x:f>
      </x:c>
      <x:c r="J98" s="92"/>
      <x:c r="K98" s="92"/>
      <x:c r="L98" s="92"/>
      <x:c r="M98" s="103"/>
      <x:c r="N98" s="103"/>
      <x:c r="O98" s="104" t="str">
        <x:f>IF(OR(M98="",N98=""),"",N98-M98)</x:f>
      </x:c>
      <x:c r="P98" s="103"/>
      <x:c r="Q98" s="94" t="str">
        <x:f>IF(OR(N98="",P98=""),"",IF(N98&gt;=P98,"Pass","Not Yet"))</x:f>
      </x:c>
      <x:c r="R98" s="92"/>
      <x:c r="S98" s="93"/>
      <x:c r="T98" s="102" t="str">
        <x:f>IF(OR(D98="",K98&lt;&gt;"Attended"),"",D98+3)</x:f>
      </x:c>
      <x:c r="U98" s="94" t="str">
        <x:f>IF(A98="","",IF(K98&lt;&gt;"Attended","N/A",IF(COUNTIFS('12 Training Evaluation'!$B$6:$B$155,B98,'12 Training Evaluation'!$C$6:$C$155,E98,'12 Training Evaluation'!$W$6:$W$155,"Complete")&gt;0,"Complete","Pending")))</x:f>
      </x:c>
      <x:c r="V98" s="102" t="str">
        <x:f>IF(OR(D98="",K98&lt;&gt;"Attended"),"",D98+30)</x:f>
      </x:c>
      <x:c r="W98" s="94" t="str">
        <x:f>IF(A98="","",IF(K98&lt;&gt;"Attended","N/A",IF(COUNTIFS('13 Effectiveness Review'!$B$6:$B$155,B98,'13 Effectiveness Review'!$C$6:$C$155,E98)&gt;0,"Reviewed",IF(V98&lt;TODAY(),"Overdue","Due"))))</x:f>
      </x:c>
      <x:c r="X98" s="92"/>
      <x:c r="Y98" s="92"/>
      <x:c r="Z98" s="92"/>
      <x:c r="AA98" s="85" t="str">
        <x:f>IF(E98="","",E98&amp;"|"&amp;COUNTIF($E$6:E98,E98))</x:f>
      </x:c>
      <x:c r="AB98" s="85" t="str">
        <x:f>IF(A98="","",A98)</x:f>
      </x:c>
      <x:c r="AC98" s="85" t="str">
        <x:f>IF(A98="","",B98)</x:f>
      </x:c>
      <x:c r="AD98" s="85" t="str">
        <x:f>IF(A98="","",C98)</x:f>
      </x:c>
      <x:c r="AE98" s="85" t="str">
        <x:f>IF(A98="","",D98)</x:f>
      </x:c>
      <x:c r="AF98" s="85" t="str">
        <x:f>IF(A98="","",L98)</x:f>
      </x:c>
      <x:c r="AG98" s="85" t="str">
        <x:f>IF(A98="","",K98)</x:f>
      </x:c>
      <x:c r="AH98" s="85" t="str">
        <x:f>IF(A98="","",Q98)</x:f>
      </x:c>
      <x:c r="AI98" s="85" t="str">
        <x:f>IF(A98="","",R98)</x:f>
      </x:c>
      <x:c r="AJ98" s="85" t="str">
        <x:f>IF(A98="","",U98)</x:f>
      </x:c>
      <x:c r="AK98" s="85" t="str">
        <x:f>IF(A98="","",W98)</x:f>
      </x:c>
      <x:c r="AL98" s="85" t="str">
        <x:f>IFERROR(IF(A98="","",Y98),"")</x:f>
      </x:c>
      <x:c r="AM98" s="85" t="str">
        <x:f>IFERROR(IF(A98="","",Z98),"")</x:f>
      </x:c>
    </x:row>
    <x:row r="99">
      <x:c r="A99" s="92"/>
      <x:c r="B99" s="92"/>
      <x:c r="C99" s="94" t="str">
        <x:f>IFERROR(VLOOKUP(B99,'06 Training Register'!$A$6:$Y$55,3,FALSE),"")</x:f>
      </x:c>
      <x:c r="D99" s="102" t="str">
        <x:f>IF(B99="","",IFERROR(IF(VLOOKUP(B99,'06 Training Register'!$A$6:$Y$55,15,FALSE)&gt;0,VLOOKUP(B99,'06 Training Register'!$A$6:$Y$55,15,FALSE),VLOOKUP(B99,'06 Training Register'!$A$6:$Y$55,12,FALSE)),""))</x:f>
      </x:c>
      <x:c r="E99" s="92"/>
      <x:c r="F99" s="94" t="str">
        <x:f>IFERROR(VLOOKUP(E99,'01 Staff Master'!$A$6:$M$105,2,FALSE),"")</x:f>
      </x:c>
      <x:c r="G99" s="94" t="str">
        <x:f>IFERROR(VLOOKUP(E99,'01 Staff Master'!$A$6:$M$105,3,FALSE),"")</x:f>
      </x:c>
      <x:c r="H99" s="94" t="str">
        <x:f>IFERROR(VLOOKUP(E99,'01 Staff Master'!$A$6:$M$105,5,FALSE),"")</x:f>
      </x:c>
      <x:c r="I99" s="94" t="str">
        <x:f>IFERROR(VLOOKUP(B99,'06 Training Register'!$A$6:$Y$55,4,FALSE),"")</x:f>
      </x:c>
      <x:c r="J99" s="92"/>
      <x:c r="K99" s="92"/>
      <x:c r="L99" s="92"/>
      <x:c r="M99" s="103"/>
      <x:c r="N99" s="103"/>
      <x:c r="O99" s="104" t="str">
        <x:f>IF(OR(M99="",N99=""),"",N99-M99)</x:f>
      </x:c>
      <x:c r="P99" s="103"/>
      <x:c r="Q99" s="94" t="str">
        <x:f>IF(OR(N99="",P99=""),"",IF(N99&gt;=P99,"Pass","Not Yet"))</x:f>
      </x:c>
      <x:c r="R99" s="92"/>
      <x:c r="S99" s="93"/>
      <x:c r="T99" s="102" t="str">
        <x:f>IF(OR(D99="",K99&lt;&gt;"Attended"),"",D99+3)</x:f>
      </x:c>
      <x:c r="U99" s="94" t="str">
        <x:f>IF(A99="","",IF(K99&lt;&gt;"Attended","N/A",IF(COUNTIFS('12 Training Evaluation'!$B$6:$B$155,B99,'12 Training Evaluation'!$C$6:$C$155,E99,'12 Training Evaluation'!$W$6:$W$155,"Complete")&gt;0,"Complete","Pending")))</x:f>
      </x:c>
      <x:c r="V99" s="102" t="str">
        <x:f>IF(OR(D99="",K99&lt;&gt;"Attended"),"",D99+30)</x:f>
      </x:c>
      <x:c r="W99" s="94" t="str">
        <x:f>IF(A99="","",IF(K99&lt;&gt;"Attended","N/A",IF(COUNTIFS('13 Effectiveness Review'!$B$6:$B$155,B99,'13 Effectiveness Review'!$C$6:$C$155,E99)&gt;0,"Reviewed",IF(V99&lt;TODAY(),"Overdue","Due"))))</x:f>
      </x:c>
      <x:c r="X99" s="92"/>
      <x:c r="Y99" s="92"/>
      <x:c r="Z99" s="92"/>
      <x:c r="AA99" s="85" t="str">
        <x:f>IF(E99="","",E99&amp;"|"&amp;COUNTIF($E$6:E99,E99))</x:f>
      </x:c>
      <x:c r="AB99" s="85" t="str">
        <x:f>IF(A99="","",A99)</x:f>
      </x:c>
      <x:c r="AC99" s="85" t="str">
        <x:f>IF(A99="","",B99)</x:f>
      </x:c>
      <x:c r="AD99" s="85" t="str">
        <x:f>IF(A99="","",C99)</x:f>
      </x:c>
      <x:c r="AE99" s="85" t="str">
        <x:f>IF(A99="","",D99)</x:f>
      </x:c>
      <x:c r="AF99" s="85" t="str">
        <x:f>IF(A99="","",L99)</x:f>
      </x:c>
      <x:c r="AG99" s="85" t="str">
        <x:f>IF(A99="","",K99)</x:f>
      </x:c>
      <x:c r="AH99" s="85" t="str">
        <x:f>IF(A99="","",Q99)</x:f>
      </x:c>
      <x:c r="AI99" s="85" t="str">
        <x:f>IF(A99="","",R99)</x:f>
      </x:c>
      <x:c r="AJ99" s="85" t="str">
        <x:f>IF(A99="","",U99)</x:f>
      </x:c>
      <x:c r="AK99" s="85" t="str">
        <x:f>IF(A99="","",W99)</x:f>
      </x:c>
      <x:c r="AL99" s="85" t="str">
        <x:f>IFERROR(IF(A99="","",Y99),"")</x:f>
      </x:c>
      <x:c r="AM99" s="85" t="str">
        <x:f>IFERROR(IF(A99="","",Z99),"")</x:f>
      </x:c>
    </x:row>
    <x:row r="100">
      <x:c r="A100" s="92"/>
      <x:c r="B100" s="92"/>
      <x:c r="C100" s="94" t="str">
        <x:f>IFERROR(VLOOKUP(B100,'06 Training Register'!$A$6:$Y$55,3,FALSE),"")</x:f>
      </x:c>
      <x:c r="D100" s="102" t="str">
        <x:f>IF(B100="","",IFERROR(IF(VLOOKUP(B100,'06 Training Register'!$A$6:$Y$55,15,FALSE)&gt;0,VLOOKUP(B100,'06 Training Register'!$A$6:$Y$55,15,FALSE),VLOOKUP(B100,'06 Training Register'!$A$6:$Y$55,12,FALSE)),""))</x:f>
      </x:c>
      <x:c r="E100" s="92"/>
      <x:c r="F100" s="94" t="str">
        <x:f>IFERROR(VLOOKUP(E100,'01 Staff Master'!$A$6:$M$105,2,FALSE),"")</x:f>
      </x:c>
      <x:c r="G100" s="94" t="str">
        <x:f>IFERROR(VLOOKUP(E100,'01 Staff Master'!$A$6:$M$105,3,FALSE),"")</x:f>
      </x:c>
      <x:c r="H100" s="94" t="str">
        <x:f>IFERROR(VLOOKUP(E100,'01 Staff Master'!$A$6:$M$105,5,FALSE),"")</x:f>
      </x:c>
      <x:c r="I100" s="94" t="str">
        <x:f>IFERROR(VLOOKUP(B100,'06 Training Register'!$A$6:$Y$55,4,FALSE),"")</x:f>
      </x:c>
      <x:c r="J100" s="92"/>
      <x:c r="K100" s="92"/>
      <x:c r="L100" s="92"/>
      <x:c r="M100" s="103"/>
      <x:c r="N100" s="103"/>
      <x:c r="O100" s="104" t="str">
        <x:f>IF(OR(M100="",N100=""),"",N100-M100)</x:f>
      </x:c>
      <x:c r="P100" s="103"/>
      <x:c r="Q100" s="94" t="str">
        <x:f>IF(OR(N100="",P100=""),"",IF(N100&gt;=P100,"Pass","Not Yet"))</x:f>
      </x:c>
      <x:c r="R100" s="92"/>
      <x:c r="S100" s="93"/>
      <x:c r="T100" s="102" t="str">
        <x:f>IF(OR(D100="",K100&lt;&gt;"Attended"),"",D100+3)</x:f>
      </x:c>
      <x:c r="U100" s="94" t="str">
        <x:f>IF(A100="","",IF(K100&lt;&gt;"Attended","N/A",IF(COUNTIFS('12 Training Evaluation'!$B$6:$B$155,B100,'12 Training Evaluation'!$C$6:$C$155,E100,'12 Training Evaluation'!$W$6:$W$155,"Complete")&gt;0,"Complete","Pending")))</x:f>
      </x:c>
      <x:c r="V100" s="102" t="str">
        <x:f>IF(OR(D100="",K100&lt;&gt;"Attended"),"",D100+30)</x:f>
      </x:c>
      <x:c r="W100" s="94" t="str">
        <x:f>IF(A100="","",IF(K100&lt;&gt;"Attended","N/A",IF(COUNTIFS('13 Effectiveness Review'!$B$6:$B$155,B100,'13 Effectiveness Review'!$C$6:$C$155,E100)&gt;0,"Reviewed",IF(V100&lt;TODAY(),"Overdue","Due"))))</x:f>
      </x:c>
      <x:c r="X100" s="92"/>
      <x:c r="Y100" s="92"/>
      <x:c r="Z100" s="92"/>
      <x:c r="AA100" s="85" t="str">
        <x:f>IF(E100="","",E100&amp;"|"&amp;COUNTIF($E$6:E100,E100))</x:f>
      </x:c>
      <x:c r="AB100" s="85" t="str">
        <x:f>IF(A100="","",A100)</x:f>
      </x:c>
      <x:c r="AC100" s="85" t="str">
        <x:f>IF(A100="","",B100)</x:f>
      </x:c>
      <x:c r="AD100" s="85" t="str">
        <x:f>IF(A100="","",C100)</x:f>
      </x:c>
      <x:c r="AE100" s="85" t="str">
        <x:f>IF(A100="","",D100)</x:f>
      </x:c>
      <x:c r="AF100" s="85" t="str">
        <x:f>IF(A100="","",L100)</x:f>
      </x:c>
      <x:c r="AG100" s="85" t="str">
        <x:f>IF(A100="","",K100)</x:f>
      </x:c>
      <x:c r="AH100" s="85" t="str">
        <x:f>IF(A100="","",Q100)</x:f>
      </x:c>
      <x:c r="AI100" s="85" t="str">
        <x:f>IF(A100="","",R100)</x:f>
      </x:c>
      <x:c r="AJ100" s="85" t="str">
        <x:f>IF(A100="","",U100)</x:f>
      </x:c>
      <x:c r="AK100" s="85" t="str">
        <x:f>IF(A100="","",W100)</x:f>
      </x:c>
      <x:c r="AL100" s="85" t="str">
        <x:f>IFERROR(IF(A100="","",Y100),"")</x:f>
      </x:c>
      <x:c r="AM100" s="85" t="str">
        <x:f>IFERROR(IF(A100="","",Z100),"")</x:f>
      </x:c>
    </x:row>
    <x:row r="101">
      <x:c r="A101" s="92"/>
      <x:c r="B101" s="92"/>
      <x:c r="C101" s="94" t="str">
        <x:f>IFERROR(VLOOKUP(B101,'06 Training Register'!$A$6:$Y$55,3,FALSE),"")</x:f>
      </x:c>
      <x:c r="D101" s="102" t="str">
        <x:f>IF(B101="","",IFERROR(IF(VLOOKUP(B101,'06 Training Register'!$A$6:$Y$55,15,FALSE)&gt;0,VLOOKUP(B101,'06 Training Register'!$A$6:$Y$55,15,FALSE),VLOOKUP(B101,'06 Training Register'!$A$6:$Y$55,12,FALSE)),""))</x:f>
      </x:c>
      <x:c r="E101" s="92"/>
      <x:c r="F101" s="94" t="str">
        <x:f>IFERROR(VLOOKUP(E101,'01 Staff Master'!$A$6:$M$105,2,FALSE),"")</x:f>
      </x:c>
      <x:c r="G101" s="94" t="str">
        <x:f>IFERROR(VLOOKUP(E101,'01 Staff Master'!$A$6:$M$105,3,FALSE),"")</x:f>
      </x:c>
      <x:c r="H101" s="94" t="str">
        <x:f>IFERROR(VLOOKUP(E101,'01 Staff Master'!$A$6:$M$105,5,FALSE),"")</x:f>
      </x:c>
      <x:c r="I101" s="94" t="str">
        <x:f>IFERROR(VLOOKUP(B101,'06 Training Register'!$A$6:$Y$55,4,FALSE),"")</x:f>
      </x:c>
      <x:c r="J101" s="92"/>
      <x:c r="K101" s="92"/>
      <x:c r="L101" s="92"/>
      <x:c r="M101" s="103"/>
      <x:c r="N101" s="103"/>
      <x:c r="O101" s="104" t="str">
        <x:f>IF(OR(M101="",N101=""),"",N101-M101)</x:f>
      </x:c>
      <x:c r="P101" s="103"/>
      <x:c r="Q101" s="94" t="str">
        <x:f>IF(OR(N101="",P101=""),"",IF(N101&gt;=P101,"Pass","Not Yet"))</x:f>
      </x:c>
      <x:c r="R101" s="92"/>
      <x:c r="S101" s="93"/>
      <x:c r="T101" s="102" t="str">
        <x:f>IF(OR(D101="",K101&lt;&gt;"Attended"),"",D101+3)</x:f>
      </x:c>
      <x:c r="U101" s="94" t="str">
        <x:f>IF(A101="","",IF(K101&lt;&gt;"Attended","N/A",IF(COUNTIFS('12 Training Evaluation'!$B$6:$B$155,B101,'12 Training Evaluation'!$C$6:$C$155,E101,'12 Training Evaluation'!$W$6:$W$155,"Complete")&gt;0,"Complete","Pending")))</x:f>
      </x:c>
      <x:c r="V101" s="102" t="str">
        <x:f>IF(OR(D101="",K101&lt;&gt;"Attended"),"",D101+30)</x:f>
      </x:c>
      <x:c r="W101" s="94" t="str">
        <x:f>IF(A101="","",IF(K101&lt;&gt;"Attended","N/A",IF(COUNTIFS('13 Effectiveness Review'!$B$6:$B$155,B101,'13 Effectiveness Review'!$C$6:$C$155,E101)&gt;0,"Reviewed",IF(V101&lt;TODAY(),"Overdue","Due"))))</x:f>
      </x:c>
      <x:c r="X101" s="92"/>
      <x:c r="Y101" s="92"/>
      <x:c r="Z101" s="92"/>
      <x:c r="AA101" s="85" t="str">
        <x:f>IF(E101="","",E101&amp;"|"&amp;COUNTIF($E$6:E101,E101))</x:f>
      </x:c>
      <x:c r="AB101" s="85" t="str">
        <x:f>IF(A101="","",A101)</x:f>
      </x:c>
      <x:c r="AC101" s="85" t="str">
        <x:f>IF(A101="","",B101)</x:f>
      </x:c>
      <x:c r="AD101" s="85" t="str">
        <x:f>IF(A101="","",C101)</x:f>
      </x:c>
      <x:c r="AE101" s="85" t="str">
        <x:f>IF(A101="","",D101)</x:f>
      </x:c>
      <x:c r="AF101" s="85" t="str">
        <x:f>IF(A101="","",L101)</x:f>
      </x:c>
      <x:c r="AG101" s="85" t="str">
        <x:f>IF(A101="","",K101)</x:f>
      </x:c>
      <x:c r="AH101" s="85" t="str">
        <x:f>IF(A101="","",Q101)</x:f>
      </x:c>
      <x:c r="AI101" s="85" t="str">
        <x:f>IF(A101="","",R101)</x:f>
      </x:c>
      <x:c r="AJ101" s="85" t="str">
        <x:f>IF(A101="","",U101)</x:f>
      </x:c>
      <x:c r="AK101" s="85" t="str">
        <x:f>IF(A101="","",W101)</x:f>
      </x:c>
      <x:c r="AL101" s="85" t="str">
        <x:f>IFERROR(IF(A101="","",Y101),"")</x:f>
      </x:c>
      <x:c r="AM101" s="85" t="str">
        <x:f>IFERROR(IF(A101="","",Z101),"")</x:f>
      </x:c>
    </x:row>
    <x:row r="102">
      <x:c r="A102" s="92"/>
      <x:c r="B102" s="92"/>
      <x:c r="C102" s="94" t="str">
        <x:f>IFERROR(VLOOKUP(B102,'06 Training Register'!$A$6:$Y$55,3,FALSE),"")</x:f>
      </x:c>
      <x:c r="D102" s="102" t="str">
        <x:f>IF(B102="","",IFERROR(IF(VLOOKUP(B102,'06 Training Register'!$A$6:$Y$55,15,FALSE)&gt;0,VLOOKUP(B102,'06 Training Register'!$A$6:$Y$55,15,FALSE),VLOOKUP(B102,'06 Training Register'!$A$6:$Y$55,12,FALSE)),""))</x:f>
      </x:c>
      <x:c r="E102" s="92"/>
      <x:c r="F102" s="94" t="str">
        <x:f>IFERROR(VLOOKUP(E102,'01 Staff Master'!$A$6:$M$105,2,FALSE),"")</x:f>
      </x:c>
      <x:c r="G102" s="94" t="str">
        <x:f>IFERROR(VLOOKUP(E102,'01 Staff Master'!$A$6:$M$105,3,FALSE),"")</x:f>
      </x:c>
      <x:c r="H102" s="94" t="str">
        <x:f>IFERROR(VLOOKUP(E102,'01 Staff Master'!$A$6:$M$105,5,FALSE),"")</x:f>
      </x:c>
      <x:c r="I102" s="94" t="str">
        <x:f>IFERROR(VLOOKUP(B102,'06 Training Register'!$A$6:$Y$55,4,FALSE),"")</x:f>
      </x:c>
      <x:c r="J102" s="92"/>
      <x:c r="K102" s="92"/>
      <x:c r="L102" s="92"/>
      <x:c r="M102" s="103"/>
      <x:c r="N102" s="103"/>
      <x:c r="O102" s="104" t="str">
        <x:f>IF(OR(M102="",N102=""),"",N102-M102)</x:f>
      </x:c>
      <x:c r="P102" s="103"/>
      <x:c r="Q102" s="94" t="str">
        <x:f>IF(OR(N102="",P102=""),"",IF(N102&gt;=P102,"Pass","Not Yet"))</x:f>
      </x:c>
      <x:c r="R102" s="92"/>
      <x:c r="S102" s="93"/>
      <x:c r="T102" s="102" t="str">
        <x:f>IF(OR(D102="",K102&lt;&gt;"Attended"),"",D102+3)</x:f>
      </x:c>
      <x:c r="U102" s="94" t="str">
        <x:f>IF(A102="","",IF(K102&lt;&gt;"Attended","N/A",IF(COUNTIFS('12 Training Evaluation'!$B$6:$B$155,B102,'12 Training Evaluation'!$C$6:$C$155,E102,'12 Training Evaluation'!$W$6:$W$155,"Complete")&gt;0,"Complete","Pending")))</x:f>
      </x:c>
      <x:c r="V102" s="102" t="str">
        <x:f>IF(OR(D102="",K102&lt;&gt;"Attended"),"",D102+30)</x:f>
      </x:c>
      <x:c r="W102" s="94" t="str">
        <x:f>IF(A102="","",IF(K102&lt;&gt;"Attended","N/A",IF(COUNTIFS('13 Effectiveness Review'!$B$6:$B$155,B102,'13 Effectiveness Review'!$C$6:$C$155,E102)&gt;0,"Reviewed",IF(V102&lt;TODAY(),"Overdue","Due"))))</x:f>
      </x:c>
      <x:c r="X102" s="92"/>
      <x:c r="Y102" s="92"/>
      <x:c r="Z102" s="92"/>
      <x:c r="AA102" s="85" t="str">
        <x:f>IF(E102="","",E102&amp;"|"&amp;COUNTIF($E$6:E102,E102))</x:f>
      </x:c>
      <x:c r="AB102" s="85" t="str">
        <x:f>IF(A102="","",A102)</x:f>
      </x:c>
      <x:c r="AC102" s="85" t="str">
        <x:f>IF(A102="","",B102)</x:f>
      </x:c>
      <x:c r="AD102" s="85" t="str">
        <x:f>IF(A102="","",C102)</x:f>
      </x:c>
      <x:c r="AE102" s="85" t="str">
        <x:f>IF(A102="","",D102)</x:f>
      </x:c>
      <x:c r="AF102" s="85" t="str">
        <x:f>IF(A102="","",L102)</x:f>
      </x:c>
      <x:c r="AG102" s="85" t="str">
        <x:f>IF(A102="","",K102)</x:f>
      </x:c>
      <x:c r="AH102" s="85" t="str">
        <x:f>IF(A102="","",Q102)</x:f>
      </x:c>
      <x:c r="AI102" s="85" t="str">
        <x:f>IF(A102="","",R102)</x:f>
      </x:c>
      <x:c r="AJ102" s="85" t="str">
        <x:f>IF(A102="","",U102)</x:f>
      </x:c>
      <x:c r="AK102" s="85" t="str">
        <x:f>IF(A102="","",W102)</x:f>
      </x:c>
      <x:c r="AL102" s="85" t="str">
        <x:f>IFERROR(IF(A102="","",Y102),"")</x:f>
      </x:c>
      <x:c r="AM102" s="85" t="str">
        <x:f>IFERROR(IF(A102="","",Z102),"")</x:f>
      </x:c>
    </x:row>
    <x:row r="103">
      <x:c r="A103" s="92"/>
      <x:c r="B103" s="92"/>
      <x:c r="C103" s="94" t="str">
        <x:f>IFERROR(VLOOKUP(B103,'06 Training Register'!$A$6:$Y$55,3,FALSE),"")</x:f>
      </x:c>
      <x:c r="D103" s="102" t="str">
        <x:f>IF(B103="","",IFERROR(IF(VLOOKUP(B103,'06 Training Register'!$A$6:$Y$55,15,FALSE)&gt;0,VLOOKUP(B103,'06 Training Register'!$A$6:$Y$55,15,FALSE),VLOOKUP(B103,'06 Training Register'!$A$6:$Y$55,12,FALSE)),""))</x:f>
      </x:c>
      <x:c r="E103" s="92"/>
      <x:c r="F103" s="94" t="str">
        <x:f>IFERROR(VLOOKUP(E103,'01 Staff Master'!$A$6:$M$105,2,FALSE),"")</x:f>
      </x:c>
      <x:c r="G103" s="94" t="str">
        <x:f>IFERROR(VLOOKUP(E103,'01 Staff Master'!$A$6:$M$105,3,FALSE),"")</x:f>
      </x:c>
      <x:c r="H103" s="94" t="str">
        <x:f>IFERROR(VLOOKUP(E103,'01 Staff Master'!$A$6:$M$105,5,FALSE),"")</x:f>
      </x:c>
      <x:c r="I103" s="94" t="str">
        <x:f>IFERROR(VLOOKUP(B103,'06 Training Register'!$A$6:$Y$55,4,FALSE),"")</x:f>
      </x:c>
      <x:c r="J103" s="92"/>
      <x:c r="K103" s="92"/>
      <x:c r="L103" s="92"/>
      <x:c r="M103" s="103"/>
      <x:c r="N103" s="103"/>
      <x:c r="O103" s="104" t="str">
        <x:f>IF(OR(M103="",N103=""),"",N103-M103)</x:f>
      </x:c>
      <x:c r="P103" s="103"/>
      <x:c r="Q103" s="94" t="str">
        <x:f>IF(OR(N103="",P103=""),"",IF(N103&gt;=P103,"Pass","Not Yet"))</x:f>
      </x:c>
      <x:c r="R103" s="92"/>
      <x:c r="S103" s="93"/>
      <x:c r="T103" s="102" t="str">
        <x:f>IF(OR(D103="",K103&lt;&gt;"Attended"),"",D103+3)</x:f>
      </x:c>
      <x:c r="U103" s="94" t="str">
        <x:f>IF(A103="","",IF(K103&lt;&gt;"Attended","N/A",IF(COUNTIFS('12 Training Evaluation'!$B$6:$B$155,B103,'12 Training Evaluation'!$C$6:$C$155,E103,'12 Training Evaluation'!$W$6:$W$155,"Complete")&gt;0,"Complete","Pending")))</x:f>
      </x:c>
      <x:c r="V103" s="102" t="str">
        <x:f>IF(OR(D103="",K103&lt;&gt;"Attended"),"",D103+30)</x:f>
      </x:c>
      <x:c r="W103" s="94" t="str">
        <x:f>IF(A103="","",IF(K103&lt;&gt;"Attended","N/A",IF(COUNTIFS('13 Effectiveness Review'!$B$6:$B$155,B103,'13 Effectiveness Review'!$C$6:$C$155,E103)&gt;0,"Reviewed",IF(V103&lt;TODAY(),"Overdue","Due"))))</x:f>
      </x:c>
      <x:c r="X103" s="92"/>
      <x:c r="Y103" s="92"/>
      <x:c r="Z103" s="92"/>
      <x:c r="AA103" s="85" t="str">
        <x:f>IF(E103="","",E103&amp;"|"&amp;COUNTIF($E$6:E103,E103))</x:f>
      </x:c>
      <x:c r="AB103" s="85" t="str">
        <x:f>IF(A103="","",A103)</x:f>
      </x:c>
      <x:c r="AC103" s="85" t="str">
        <x:f>IF(A103="","",B103)</x:f>
      </x:c>
      <x:c r="AD103" s="85" t="str">
        <x:f>IF(A103="","",C103)</x:f>
      </x:c>
      <x:c r="AE103" s="85" t="str">
        <x:f>IF(A103="","",D103)</x:f>
      </x:c>
      <x:c r="AF103" s="85" t="str">
        <x:f>IF(A103="","",L103)</x:f>
      </x:c>
      <x:c r="AG103" s="85" t="str">
        <x:f>IF(A103="","",K103)</x:f>
      </x:c>
      <x:c r="AH103" s="85" t="str">
        <x:f>IF(A103="","",Q103)</x:f>
      </x:c>
      <x:c r="AI103" s="85" t="str">
        <x:f>IF(A103="","",R103)</x:f>
      </x:c>
      <x:c r="AJ103" s="85" t="str">
        <x:f>IF(A103="","",U103)</x:f>
      </x:c>
      <x:c r="AK103" s="85" t="str">
        <x:f>IF(A103="","",W103)</x:f>
      </x:c>
      <x:c r="AL103" s="85" t="str">
        <x:f>IFERROR(IF(A103="","",Y103),"")</x:f>
      </x:c>
      <x:c r="AM103" s="85" t="str">
        <x:f>IFERROR(IF(A103="","",Z103),"")</x:f>
      </x:c>
    </x:row>
    <x:row r="104">
      <x:c r="A104" s="92"/>
      <x:c r="B104" s="92"/>
      <x:c r="C104" s="94" t="str">
        <x:f>IFERROR(VLOOKUP(B104,'06 Training Register'!$A$6:$Y$55,3,FALSE),"")</x:f>
      </x:c>
      <x:c r="D104" s="102" t="str">
        <x:f>IF(B104="","",IFERROR(IF(VLOOKUP(B104,'06 Training Register'!$A$6:$Y$55,15,FALSE)&gt;0,VLOOKUP(B104,'06 Training Register'!$A$6:$Y$55,15,FALSE),VLOOKUP(B104,'06 Training Register'!$A$6:$Y$55,12,FALSE)),""))</x:f>
      </x:c>
      <x:c r="E104" s="92"/>
      <x:c r="F104" s="94" t="str">
        <x:f>IFERROR(VLOOKUP(E104,'01 Staff Master'!$A$6:$M$105,2,FALSE),"")</x:f>
      </x:c>
      <x:c r="G104" s="94" t="str">
        <x:f>IFERROR(VLOOKUP(E104,'01 Staff Master'!$A$6:$M$105,3,FALSE),"")</x:f>
      </x:c>
      <x:c r="H104" s="94" t="str">
        <x:f>IFERROR(VLOOKUP(E104,'01 Staff Master'!$A$6:$M$105,5,FALSE),"")</x:f>
      </x:c>
      <x:c r="I104" s="94" t="str">
        <x:f>IFERROR(VLOOKUP(B104,'06 Training Register'!$A$6:$Y$55,4,FALSE),"")</x:f>
      </x:c>
      <x:c r="J104" s="92"/>
      <x:c r="K104" s="92"/>
      <x:c r="L104" s="92"/>
      <x:c r="M104" s="103"/>
      <x:c r="N104" s="103"/>
      <x:c r="O104" s="104" t="str">
        <x:f>IF(OR(M104="",N104=""),"",N104-M104)</x:f>
      </x:c>
      <x:c r="P104" s="103"/>
      <x:c r="Q104" s="94" t="str">
        <x:f>IF(OR(N104="",P104=""),"",IF(N104&gt;=P104,"Pass","Not Yet"))</x:f>
      </x:c>
      <x:c r="R104" s="92"/>
      <x:c r="S104" s="93"/>
      <x:c r="T104" s="102" t="str">
        <x:f>IF(OR(D104="",K104&lt;&gt;"Attended"),"",D104+3)</x:f>
      </x:c>
      <x:c r="U104" s="94" t="str">
        <x:f>IF(A104="","",IF(K104&lt;&gt;"Attended","N/A",IF(COUNTIFS('12 Training Evaluation'!$B$6:$B$155,B104,'12 Training Evaluation'!$C$6:$C$155,E104,'12 Training Evaluation'!$W$6:$W$155,"Complete")&gt;0,"Complete","Pending")))</x:f>
      </x:c>
      <x:c r="V104" s="102" t="str">
        <x:f>IF(OR(D104="",K104&lt;&gt;"Attended"),"",D104+30)</x:f>
      </x:c>
      <x:c r="W104" s="94" t="str">
        <x:f>IF(A104="","",IF(K104&lt;&gt;"Attended","N/A",IF(COUNTIFS('13 Effectiveness Review'!$B$6:$B$155,B104,'13 Effectiveness Review'!$C$6:$C$155,E104)&gt;0,"Reviewed",IF(V104&lt;TODAY(),"Overdue","Due"))))</x:f>
      </x:c>
      <x:c r="X104" s="92"/>
      <x:c r="Y104" s="92"/>
      <x:c r="Z104" s="92"/>
      <x:c r="AA104" s="85" t="str">
        <x:f>IF(E104="","",E104&amp;"|"&amp;COUNTIF($E$6:E104,E104))</x:f>
      </x:c>
      <x:c r="AB104" s="85" t="str">
        <x:f>IF(A104="","",A104)</x:f>
      </x:c>
      <x:c r="AC104" s="85" t="str">
        <x:f>IF(A104="","",B104)</x:f>
      </x:c>
      <x:c r="AD104" s="85" t="str">
        <x:f>IF(A104="","",C104)</x:f>
      </x:c>
      <x:c r="AE104" s="85" t="str">
        <x:f>IF(A104="","",D104)</x:f>
      </x:c>
      <x:c r="AF104" s="85" t="str">
        <x:f>IF(A104="","",L104)</x:f>
      </x:c>
      <x:c r="AG104" s="85" t="str">
        <x:f>IF(A104="","",K104)</x:f>
      </x:c>
      <x:c r="AH104" s="85" t="str">
        <x:f>IF(A104="","",Q104)</x:f>
      </x:c>
      <x:c r="AI104" s="85" t="str">
        <x:f>IF(A104="","",R104)</x:f>
      </x:c>
      <x:c r="AJ104" s="85" t="str">
        <x:f>IF(A104="","",U104)</x:f>
      </x:c>
      <x:c r="AK104" s="85" t="str">
        <x:f>IF(A104="","",W104)</x:f>
      </x:c>
      <x:c r="AL104" s="85" t="str">
        <x:f>IFERROR(IF(A104="","",Y104),"")</x:f>
      </x:c>
      <x:c r="AM104" s="85" t="str">
        <x:f>IFERROR(IF(A104="","",Z104),"")</x:f>
      </x:c>
    </x:row>
    <x:row r="105">
      <x:c r="A105" s="92"/>
      <x:c r="B105" s="92"/>
      <x:c r="C105" s="94" t="str">
        <x:f>IFERROR(VLOOKUP(B105,'06 Training Register'!$A$6:$Y$55,3,FALSE),"")</x:f>
      </x:c>
      <x:c r="D105" s="102" t="str">
        <x:f>IF(B105="","",IFERROR(IF(VLOOKUP(B105,'06 Training Register'!$A$6:$Y$55,15,FALSE)&gt;0,VLOOKUP(B105,'06 Training Register'!$A$6:$Y$55,15,FALSE),VLOOKUP(B105,'06 Training Register'!$A$6:$Y$55,12,FALSE)),""))</x:f>
      </x:c>
      <x:c r="E105" s="92"/>
      <x:c r="F105" s="94" t="str">
        <x:f>IFERROR(VLOOKUP(E105,'01 Staff Master'!$A$6:$M$105,2,FALSE),"")</x:f>
      </x:c>
      <x:c r="G105" s="94" t="str">
        <x:f>IFERROR(VLOOKUP(E105,'01 Staff Master'!$A$6:$M$105,3,FALSE),"")</x:f>
      </x:c>
      <x:c r="H105" s="94" t="str">
        <x:f>IFERROR(VLOOKUP(E105,'01 Staff Master'!$A$6:$M$105,5,FALSE),"")</x:f>
      </x:c>
      <x:c r="I105" s="94" t="str">
        <x:f>IFERROR(VLOOKUP(B105,'06 Training Register'!$A$6:$Y$55,4,FALSE),"")</x:f>
      </x:c>
      <x:c r="J105" s="92"/>
      <x:c r="K105" s="92"/>
      <x:c r="L105" s="92"/>
      <x:c r="M105" s="103"/>
      <x:c r="N105" s="103"/>
      <x:c r="O105" s="104" t="str">
        <x:f>IF(OR(M105="",N105=""),"",N105-M105)</x:f>
      </x:c>
      <x:c r="P105" s="103"/>
      <x:c r="Q105" s="94" t="str">
        <x:f>IF(OR(N105="",P105=""),"",IF(N105&gt;=P105,"Pass","Not Yet"))</x:f>
      </x:c>
      <x:c r="R105" s="92"/>
      <x:c r="S105" s="93"/>
      <x:c r="T105" s="102" t="str">
        <x:f>IF(OR(D105="",K105&lt;&gt;"Attended"),"",D105+3)</x:f>
      </x:c>
      <x:c r="U105" s="94" t="str">
        <x:f>IF(A105="","",IF(K105&lt;&gt;"Attended","N/A",IF(COUNTIFS('12 Training Evaluation'!$B$6:$B$155,B105,'12 Training Evaluation'!$C$6:$C$155,E105,'12 Training Evaluation'!$W$6:$W$155,"Complete")&gt;0,"Complete","Pending")))</x:f>
      </x:c>
      <x:c r="V105" s="102" t="str">
        <x:f>IF(OR(D105="",K105&lt;&gt;"Attended"),"",D105+30)</x:f>
      </x:c>
      <x:c r="W105" s="94" t="str">
        <x:f>IF(A105="","",IF(K105&lt;&gt;"Attended","N/A",IF(COUNTIFS('13 Effectiveness Review'!$B$6:$B$155,B105,'13 Effectiveness Review'!$C$6:$C$155,E105)&gt;0,"Reviewed",IF(V105&lt;TODAY(),"Overdue","Due"))))</x:f>
      </x:c>
      <x:c r="X105" s="92"/>
      <x:c r="Y105" s="92"/>
      <x:c r="Z105" s="92"/>
      <x:c r="AA105" s="85" t="str">
        <x:f>IF(E105="","",E105&amp;"|"&amp;COUNTIF($E$6:E105,E105))</x:f>
      </x:c>
      <x:c r="AB105" s="85" t="str">
        <x:f>IF(A105="","",A105)</x:f>
      </x:c>
      <x:c r="AC105" s="85" t="str">
        <x:f>IF(A105="","",B105)</x:f>
      </x:c>
      <x:c r="AD105" s="85" t="str">
        <x:f>IF(A105="","",C105)</x:f>
      </x:c>
      <x:c r="AE105" s="85" t="str">
        <x:f>IF(A105="","",D105)</x:f>
      </x:c>
      <x:c r="AF105" s="85" t="str">
        <x:f>IF(A105="","",L105)</x:f>
      </x:c>
      <x:c r="AG105" s="85" t="str">
        <x:f>IF(A105="","",K105)</x:f>
      </x:c>
      <x:c r="AH105" s="85" t="str">
        <x:f>IF(A105="","",Q105)</x:f>
      </x:c>
      <x:c r="AI105" s="85" t="str">
        <x:f>IF(A105="","",R105)</x:f>
      </x:c>
      <x:c r="AJ105" s="85" t="str">
        <x:f>IF(A105="","",U105)</x:f>
      </x:c>
      <x:c r="AK105" s="85" t="str">
        <x:f>IF(A105="","",W105)</x:f>
      </x:c>
      <x:c r="AL105" s="85" t="str">
        <x:f>IFERROR(IF(A105="","",Y105),"")</x:f>
      </x:c>
      <x:c r="AM105" s="85" t="str">
        <x:f>IFERROR(IF(A105="","",Z105),"")</x:f>
      </x:c>
    </x:row>
    <x:row r="106">
      <x:c r="A106" s="92"/>
      <x:c r="B106" s="92"/>
      <x:c r="C106" s="94" t="str">
        <x:f>IFERROR(VLOOKUP(B106,'06 Training Register'!$A$6:$Y$55,3,FALSE),"")</x:f>
      </x:c>
      <x:c r="D106" s="102" t="str">
        <x:f>IF(B106="","",IFERROR(IF(VLOOKUP(B106,'06 Training Register'!$A$6:$Y$55,15,FALSE)&gt;0,VLOOKUP(B106,'06 Training Register'!$A$6:$Y$55,15,FALSE),VLOOKUP(B106,'06 Training Register'!$A$6:$Y$55,12,FALSE)),""))</x:f>
      </x:c>
      <x:c r="E106" s="92"/>
      <x:c r="F106" s="94" t="str">
        <x:f>IFERROR(VLOOKUP(E106,'01 Staff Master'!$A$6:$M$105,2,FALSE),"")</x:f>
      </x:c>
      <x:c r="G106" s="94" t="str">
        <x:f>IFERROR(VLOOKUP(E106,'01 Staff Master'!$A$6:$M$105,3,FALSE),"")</x:f>
      </x:c>
      <x:c r="H106" s="94" t="str">
        <x:f>IFERROR(VLOOKUP(E106,'01 Staff Master'!$A$6:$M$105,5,FALSE),"")</x:f>
      </x:c>
      <x:c r="I106" s="94" t="str">
        <x:f>IFERROR(VLOOKUP(B106,'06 Training Register'!$A$6:$Y$55,4,FALSE),"")</x:f>
      </x:c>
      <x:c r="J106" s="92"/>
      <x:c r="K106" s="92"/>
      <x:c r="L106" s="92"/>
      <x:c r="M106" s="103"/>
      <x:c r="N106" s="103"/>
      <x:c r="O106" s="104" t="str">
        <x:f>IF(OR(M106="",N106=""),"",N106-M106)</x:f>
      </x:c>
      <x:c r="P106" s="103"/>
      <x:c r="Q106" s="94" t="str">
        <x:f>IF(OR(N106="",P106=""),"",IF(N106&gt;=P106,"Pass","Not Yet"))</x:f>
      </x:c>
      <x:c r="R106" s="92"/>
      <x:c r="S106" s="93"/>
      <x:c r="T106" s="102" t="str">
        <x:f>IF(OR(D106="",K106&lt;&gt;"Attended"),"",D106+3)</x:f>
      </x:c>
      <x:c r="U106" s="94" t="str">
        <x:f>IF(A106="","",IF(K106&lt;&gt;"Attended","N/A",IF(COUNTIFS('12 Training Evaluation'!$B$6:$B$155,B106,'12 Training Evaluation'!$C$6:$C$155,E106,'12 Training Evaluation'!$W$6:$W$155,"Complete")&gt;0,"Complete","Pending")))</x:f>
      </x:c>
      <x:c r="V106" s="102" t="str">
        <x:f>IF(OR(D106="",K106&lt;&gt;"Attended"),"",D106+30)</x:f>
      </x:c>
      <x:c r="W106" s="94" t="str">
        <x:f>IF(A106="","",IF(K106&lt;&gt;"Attended","N/A",IF(COUNTIFS('13 Effectiveness Review'!$B$6:$B$155,B106,'13 Effectiveness Review'!$C$6:$C$155,E106)&gt;0,"Reviewed",IF(V106&lt;TODAY(),"Overdue","Due"))))</x:f>
      </x:c>
      <x:c r="X106" s="92"/>
      <x:c r="Y106" s="92"/>
      <x:c r="Z106" s="92"/>
      <x:c r="AA106" s="85" t="str">
        <x:f>IF(E106="","",E106&amp;"|"&amp;COUNTIF($E$6:E106,E106))</x:f>
      </x:c>
      <x:c r="AB106" s="85" t="str">
        <x:f>IF(A106="","",A106)</x:f>
      </x:c>
      <x:c r="AC106" s="85" t="str">
        <x:f>IF(A106="","",B106)</x:f>
      </x:c>
      <x:c r="AD106" s="85" t="str">
        <x:f>IF(A106="","",C106)</x:f>
      </x:c>
      <x:c r="AE106" s="85" t="str">
        <x:f>IF(A106="","",D106)</x:f>
      </x:c>
      <x:c r="AF106" s="85" t="str">
        <x:f>IF(A106="","",L106)</x:f>
      </x:c>
      <x:c r="AG106" s="85" t="str">
        <x:f>IF(A106="","",K106)</x:f>
      </x:c>
      <x:c r="AH106" s="85" t="str">
        <x:f>IF(A106="","",Q106)</x:f>
      </x:c>
      <x:c r="AI106" s="85" t="str">
        <x:f>IF(A106="","",R106)</x:f>
      </x:c>
      <x:c r="AJ106" s="85" t="str">
        <x:f>IF(A106="","",U106)</x:f>
      </x:c>
      <x:c r="AK106" s="85" t="str">
        <x:f>IF(A106="","",W106)</x:f>
      </x:c>
      <x:c r="AL106" s="85" t="str">
        <x:f>IFERROR(IF(A106="","",Y106),"")</x:f>
      </x:c>
      <x:c r="AM106" s="85" t="str">
        <x:f>IFERROR(IF(A106="","",Z106),"")</x:f>
      </x:c>
    </x:row>
    <x:row r="107">
      <x:c r="A107" s="92"/>
      <x:c r="B107" s="92"/>
      <x:c r="C107" s="94" t="str">
        <x:f>IFERROR(VLOOKUP(B107,'06 Training Register'!$A$6:$Y$55,3,FALSE),"")</x:f>
      </x:c>
      <x:c r="D107" s="102" t="str">
        <x:f>IF(B107="","",IFERROR(IF(VLOOKUP(B107,'06 Training Register'!$A$6:$Y$55,15,FALSE)&gt;0,VLOOKUP(B107,'06 Training Register'!$A$6:$Y$55,15,FALSE),VLOOKUP(B107,'06 Training Register'!$A$6:$Y$55,12,FALSE)),""))</x:f>
      </x:c>
      <x:c r="E107" s="92"/>
      <x:c r="F107" s="94" t="str">
        <x:f>IFERROR(VLOOKUP(E107,'01 Staff Master'!$A$6:$M$105,2,FALSE),"")</x:f>
      </x:c>
      <x:c r="G107" s="94" t="str">
        <x:f>IFERROR(VLOOKUP(E107,'01 Staff Master'!$A$6:$M$105,3,FALSE),"")</x:f>
      </x:c>
      <x:c r="H107" s="94" t="str">
        <x:f>IFERROR(VLOOKUP(E107,'01 Staff Master'!$A$6:$M$105,5,FALSE),"")</x:f>
      </x:c>
      <x:c r="I107" s="94" t="str">
        <x:f>IFERROR(VLOOKUP(B107,'06 Training Register'!$A$6:$Y$55,4,FALSE),"")</x:f>
      </x:c>
      <x:c r="J107" s="92"/>
      <x:c r="K107" s="92"/>
      <x:c r="L107" s="92"/>
      <x:c r="M107" s="103"/>
      <x:c r="N107" s="103"/>
      <x:c r="O107" s="104" t="str">
        <x:f>IF(OR(M107="",N107=""),"",N107-M107)</x:f>
      </x:c>
      <x:c r="P107" s="103"/>
      <x:c r="Q107" s="94" t="str">
        <x:f>IF(OR(N107="",P107=""),"",IF(N107&gt;=P107,"Pass","Not Yet"))</x:f>
      </x:c>
      <x:c r="R107" s="92"/>
      <x:c r="S107" s="93"/>
      <x:c r="T107" s="102" t="str">
        <x:f>IF(OR(D107="",K107&lt;&gt;"Attended"),"",D107+3)</x:f>
      </x:c>
      <x:c r="U107" s="94" t="str">
        <x:f>IF(A107="","",IF(K107&lt;&gt;"Attended","N/A",IF(COUNTIFS('12 Training Evaluation'!$B$6:$B$155,B107,'12 Training Evaluation'!$C$6:$C$155,E107,'12 Training Evaluation'!$W$6:$W$155,"Complete")&gt;0,"Complete","Pending")))</x:f>
      </x:c>
      <x:c r="V107" s="102" t="str">
        <x:f>IF(OR(D107="",K107&lt;&gt;"Attended"),"",D107+30)</x:f>
      </x:c>
      <x:c r="W107" s="94" t="str">
        <x:f>IF(A107="","",IF(K107&lt;&gt;"Attended","N/A",IF(COUNTIFS('13 Effectiveness Review'!$B$6:$B$155,B107,'13 Effectiveness Review'!$C$6:$C$155,E107)&gt;0,"Reviewed",IF(V107&lt;TODAY(),"Overdue","Due"))))</x:f>
      </x:c>
      <x:c r="X107" s="92"/>
      <x:c r="Y107" s="92"/>
      <x:c r="Z107" s="92"/>
      <x:c r="AA107" s="85" t="str">
        <x:f>IF(E107="","",E107&amp;"|"&amp;COUNTIF($E$6:E107,E107))</x:f>
      </x:c>
      <x:c r="AB107" s="85" t="str">
        <x:f>IF(A107="","",A107)</x:f>
      </x:c>
      <x:c r="AC107" s="85" t="str">
        <x:f>IF(A107="","",B107)</x:f>
      </x:c>
      <x:c r="AD107" s="85" t="str">
        <x:f>IF(A107="","",C107)</x:f>
      </x:c>
      <x:c r="AE107" s="85" t="str">
        <x:f>IF(A107="","",D107)</x:f>
      </x:c>
      <x:c r="AF107" s="85" t="str">
        <x:f>IF(A107="","",L107)</x:f>
      </x:c>
      <x:c r="AG107" s="85" t="str">
        <x:f>IF(A107="","",K107)</x:f>
      </x:c>
      <x:c r="AH107" s="85" t="str">
        <x:f>IF(A107="","",Q107)</x:f>
      </x:c>
      <x:c r="AI107" s="85" t="str">
        <x:f>IF(A107="","",R107)</x:f>
      </x:c>
      <x:c r="AJ107" s="85" t="str">
        <x:f>IF(A107="","",U107)</x:f>
      </x:c>
      <x:c r="AK107" s="85" t="str">
        <x:f>IF(A107="","",W107)</x:f>
      </x:c>
      <x:c r="AL107" s="85" t="str">
        <x:f>IFERROR(IF(A107="","",Y107),"")</x:f>
      </x:c>
      <x:c r="AM107" s="85" t="str">
        <x:f>IFERROR(IF(A107="","",Z107),"")</x:f>
      </x:c>
    </x:row>
    <x:row r="108">
      <x:c r="A108" s="92"/>
      <x:c r="B108" s="92"/>
      <x:c r="C108" s="94" t="str">
        <x:f>IFERROR(VLOOKUP(B108,'06 Training Register'!$A$6:$Y$55,3,FALSE),"")</x:f>
      </x:c>
      <x:c r="D108" s="102" t="str">
        <x:f>IF(B108="","",IFERROR(IF(VLOOKUP(B108,'06 Training Register'!$A$6:$Y$55,15,FALSE)&gt;0,VLOOKUP(B108,'06 Training Register'!$A$6:$Y$55,15,FALSE),VLOOKUP(B108,'06 Training Register'!$A$6:$Y$55,12,FALSE)),""))</x:f>
      </x:c>
      <x:c r="E108" s="92"/>
      <x:c r="F108" s="94" t="str">
        <x:f>IFERROR(VLOOKUP(E108,'01 Staff Master'!$A$6:$M$105,2,FALSE),"")</x:f>
      </x:c>
      <x:c r="G108" s="94" t="str">
        <x:f>IFERROR(VLOOKUP(E108,'01 Staff Master'!$A$6:$M$105,3,FALSE),"")</x:f>
      </x:c>
      <x:c r="H108" s="94" t="str">
        <x:f>IFERROR(VLOOKUP(E108,'01 Staff Master'!$A$6:$M$105,5,FALSE),"")</x:f>
      </x:c>
      <x:c r="I108" s="94" t="str">
        <x:f>IFERROR(VLOOKUP(B108,'06 Training Register'!$A$6:$Y$55,4,FALSE),"")</x:f>
      </x:c>
      <x:c r="J108" s="92"/>
      <x:c r="K108" s="92"/>
      <x:c r="L108" s="92"/>
      <x:c r="M108" s="103"/>
      <x:c r="N108" s="103"/>
      <x:c r="O108" s="104" t="str">
        <x:f>IF(OR(M108="",N108=""),"",N108-M108)</x:f>
      </x:c>
      <x:c r="P108" s="103"/>
      <x:c r="Q108" s="94" t="str">
        <x:f>IF(OR(N108="",P108=""),"",IF(N108&gt;=P108,"Pass","Not Yet"))</x:f>
      </x:c>
      <x:c r="R108" s="92"/>
      <x:c r="S108" s="93"/>
      <x:c r="T108" s="102" t="str">
        <x:f>IF(OR(D108="",K108&lt;&gt;"Attended"),"",D108+3)</x:f>
      </x:c>
      <x:c r="U108" s="94" t="str">
        <x:f>IF(A108="","",IF(K108&lt;&gt;"Attended","N/A",IF(COUNTIFS('12 Training Evaluation'!$B$6:$B$155,B108,'12 Training Evaluation'!$C$6:$C$155,E108,'12 Training Evaluation'!$W$6:$W$155,"Complete")&gt;0,"Complete","Pending")))</x:f>
      </x:c>
      <x:c r="V108" s="102" t="str">
        <x:f>IF(OR(D108="",K108&lt;&gt;"Attended"),"",D108+30)</x:f>
      </x:c>
      <x:c r="W108" s="94" t="str">
        <x:f>IF(A108="","",IF(K108&lt;&gt;"Attended","N/A",IF(COUNTIFS('13 Effectiveness Review'!$B$6:$B$155,B108,'13 Effectiveness Review'!$C$6:$C$155,E108)&gt;0,"Reviewed",IF(V108&lt;TODAY(),"Overdue","Due"))))</x:f>
      </x:c>
      <x:c r="X108" s="92"/>
      <x:c r="Y108" s="92"/>
      <x:c r="Z108" s="92"/>
      <x:c r="AA108" s="85" t="str">
        <x:f>IF(E108="","",E108&amp;"|"&amp;COUNTIF($E$6:E108,E108))</x:f>
      </x:c>
      <x:c r="AB108" s="85" t="str">
        <x:f>IF(A108="","",A108)</x:f>
      </x:c>
      <x:c r="AC108" s="85" t="str">
        <x:f>IF(A108="","",B108)</x:f>
      </x:c>
      <x:c r="AD108" s="85" t="str">
        <x:f>IF(A108="","",C108)</x:f>
      </x:c>
      <x:c r="AE108" s="85" t="str">
        <x:f>IF(A108="","",D108)</x:f>
      </x:c>
      <x:c r="AF108" s="85" t="str">
        <x:f>IF(A108="","",L108)</x:f>
      </x:c>
      <x:c r="AG108" s="85" t="str">
        <x:f>IF(A108="","",K108)</x:f>
      </x:c>
      <x:c r="AH108" s="85" t="str">
        <x:f>IF(A108="","",Q108)</x:f>
      </x:c>
      <x:c r="AI108" s="85" t="str">
        <x:f>IF(A108="","",R108)</x:f>
      </x:c>
      <x:c r="AJ108" s="85" t="str">
        <x:f>IF(A108="","",U108)</x:f>
      </x:c>
      <x:c r="AK108" s="85" t="str">
        <x:f>IF(A108="","",W108)</x:f>
      </x:c>
      <x:c r="AL108" s="85" t="str">
        <x:f>IFERROR(IF(A108="","",Y108),"")</x:f>
      </x:c>
      <x:c r="AM108" s="85" t="str">
        <x:f>IFERROR(IF(A108="","",Z108),"")</x:f>
      </x:c>
    </x:row>
    <x:row r="109">
      <x:c r="A109" s="92"/>
      <x:c r="B109" s="92"/>
      <x:c r="C109" s="94" t="str">
        <x:f>IFERROR(VLOOKUP(B109,'06 Training Register'!$A$6:$Y$55,3,FALSE),"")</x:f>
      </x:c>
      <x:c r="D109" s="102" t="str">
        <x:f>IF(B109="","",IFERROR(IF(VLOOKUP(B109,'06 Training Register'!$A$6:$Y$55,15,FALSE)&gt;0,VLOOKUP(B109,'06 Training Register'!$A$6:$Y$55,15,FALSE),VLOOKUP(B109,'06 Training Register'!$A$6:$Y$55,12,FALSE)),""))</x:f>
      </x:c>
      <x:c r="E109" s="92"/>
      <x:c r="F109" s="94" t="str">
        <x:f>IFERROR(VLOOKUP(E109,'01 Staff Master'!$A$6:$M$105,2,FALSE),"")</x:f>
      </x:c>
      <x:c r="G109" s="94" t="str">
        <x:f>IFERROR(VLOOKUP(E109,'01 Staff Master'!$A$6:$M$105,3,FALSE),"")</x:f>
      </x:c>
      <x:c r="H109" s="94" t="str">
        <x:f>IFERROR(VLOOKUP(E109,'01 Staff Master'!$A$6:$M$105,5,FALSE),"")</x:f>
      </x:c>
      <x:c r="I109" s="94" t="str">
        <x:f>IFERROR(VLOOKUP(B109,'06 Training Register'!$A$6:$Y$55,4,FALSE),"")</x:f>
      </x:c>
      <x:c r="J109" s="92"/>
      <x:c r="K109" s="92"/>
      <x:c r="L109" s="92"/>
      <x:c r="M109" s="103"/>
      <x:c r="N109" s="103"/>
      <x:c r="O109" s="104" t="str">
        <x:f>IF(OR(M109="",N109=""),"",N109-M109)</x:f>
      </x:c>
      <x:c r="P109" s="103"/>
      <x:c r="Q109" s="94" t="str">
        <x:f>IF(OR(N109="",P109=""),"",IF(N109&gt;=P109,"Pass","Not Yet"))</x:f>
      </x:c>
      <x:c r="R109" s="92"/>
      <x:c r="S109" s="93"/>
      <x:c r="T109" s="102" t="str">
        <x:f>IF(OR(D109="",K109&lt;&gt;"Attended"),"",D109+3)</x:f>
      </x:c>
      <x:c r="U109" s="94" t="str">
        <x:f>IF(A109="","",IF(K109&lt;&gt;"Attended","N/A",IF(COUNTIFS('12 Training Evaluation'!$B$6:$B$155,B109,'12 Training Evaluation'!$C$6:$C$155,E109,'12 Training Evaluation'!$W$6:$W$155,"Complete")&gt;0,"Complete","Pending")))</x:f>
      </x:c>
      <x:c r="V109" s="102" t="str">
        <x:f>IF(OR(D109="",K109&lt;&gt;"Attended"),"",D109+30)</x:f>
      </x:c>
      <x:c r="W109" s="94" t="str">
        <x:f>IF(A109="","",IF(K109&lt;&gt;"Attended","N/A",IF(COUNTIFS('13 Effectiveness Review'!$B$6:$B$155,B109,'13 Effectiveness Review'!$C$6:$C$155,E109)&gt;0,"Reviewed",IF(V109&lt;TODAY(),"Overdue","Due"))))</x:f>
      </x:c>
      <x:c r="X109" s="92"/>
      <x:c r="Y109" s="92"/>
      <x:c r="Z109" s="92"/>
      <x:c r="AA109" s="85" t="str">
        <x:f>IF(E109="","",E109&amp;"|"&amp;COUNTIF($E$6:E109,E109))</x:f>
      </x:c>
      <x:c r="AB109" s="85" t="str">
        <x:f>IF(A109="","",A109)</x:f>
      </x:c>
      <x:c r="AC109" s="85" t="str">
        <x:f>IF(A109="","",B109)</x:f>
      </x:c>
      <x:c r="AD109" s="85" t="str">
        <x:f>IF(A109="","",C109)</x:f>
      </x:c>
      <x:c r="AE109" s="85" t="str">
        <x:f>IF(A109="","",D109)</x:f>
      </x:c>
      <x:c r="AF109" s="85" t="str">
        <x:f>IF(A109="","",L109)</x:f>
      </x:c>
      <x:c r="AG109" s="85" t="str">
        <x:f>IF(A109="","",K109)</x:f>
      </x:c>
      <x:c r="AH109" s="85" t="str">
        <x:f>IF(A109="","",Q109)</x:f>
      </x:c>
      <x:c r="AI109" s="85" t="str">
        <x:f>IF(A109="","",R109)</x:f>
      </x:c>
      <x:c r="AJ109" s="85" t="str">
        <x:f>IF(A109="","",U109)</x:f>
      </x:c>
      <x:c r="AK109" s="85" t="str">
        <x:f>IF(A109="","",W109)</x:f>
      </x:c>
      <x:c r="AL109" s="85" t="str">
        <x:f>IFERROR(IF(A109="","",Y109),"")</x:f>
      </x:c>
      <x:c r="AM109" s="85" t="str">
        <x:f>IFERROR(IF(A109="","",Z109),"")</x:f>
      </x:c>
    </x:row>
    <x:row r="110">
      <x:c r="A110" s="92"/>
      <x:c r="B110" s="92"/>
      <x:c r="C110" s="94" t="str">
        <x:f>IFERROR(VLOOKUP(B110,'06 Training Register'!$A$6:$Y$55,3,FALSE),"")</x:f>
      </x:c>
      <x:c r="D110" s="102" t="str">
        <x:f>IF(B110="","",IFERROR(IF(VLOOKUP(B110,'06 Training Register'!$A$6:$Y$55,15,FALSE)&gt;0,VLOOKUP(B110,'06 Training Register'!$A$6:$Y$55,15,FALSE),VLOOKUP(B110,'06 Training Register'!$A$6:$Y$55,12,FALSE)),""))</x:f>
      </x:c>
      <x:c r="E110" s="92"/>
      <x:c r="F110" s="94" t="str">
        <x:f>IFERROR(VLOOKUP(E110,'01 Staff Master'!$A$6:$M$105,2,FALSE),"")</x:f>
      </x:c>
      <x:c r="G110" s="94" t="str">
        <x:f>IFERROR(VLOOKUP(E110,'01 Staff Master'!$A$6:$M$105,3,FALSE),"")</x:f>
      </x:c>
      <x:c r="H110" s="94" t="str">
        <x:f>IFERROR(VLOOKUP(E110,'01 Staff Master'!$A$6:$M$105,5,FALSE),"")</x:f>
      </x:c>
      <x:c r="I110" s="94" t="str">
        <x:f>IFERROR(VLOOKUP(B110,'06 Training Register'!$A$6:$Y$55,4,FALSE),"")</x:f>
      </x:c>
      <x:c r="J110" s="92"/>
      <x:c r="K110" s="92"/>
      <x:c r="L110" s="92"/>
      <x:c r="M110" s="103"/>
      <x:c r="N110" s="103"/>
      <x:c r="O110" s="104" t="str">
        <x:f>IF(OR(M110="",N110=""),"",N110-M110)</x:f>
      </x:c>
      <x:c r="P110" s="103"/>
      <x:c r="Q110" s="94" t="str">
        <x:f>IF(OR(N110="",P110=""),"",IF(N110&gt;=P110,"Pass","Not Yet"))</x:f>
      </x:c>
      <x:c r="R110" s="92"/>
      <x:c r="S110" s="93"/>
      <x:c r="T110" s="102" t="str">
        <x:f>IF(OR(D110="",K110&lt;&gt;"Attended"),"",D110+3)</x:f>
      </x:c>
      <x:c r="U110" s="94" t="str">
        <x:f>IF(A110="","",IF(K110&lt;&gt;"Attended","N/A",IF(COUNTIFS('12 Training Evaluation'!$B$6:$B$155,B110,'12 Training Evaluation'!$C$6:$C$155,E110,'12 Training Evaluation'!$W$6:$W$155,"Complete")&gt;0,"Complete","Pending")))</x:f>
      </x:c>
      <x:c r="V110" s="102" t="str">
        <x:f>IF(OR(D110="",K110&lt;&gt;"Attended"),"",D110+30)</x:f>
      </x:c>
      <x:c r="W110" s="94" t="str">
        <x:f>IF(A110="","",IF(K110&lt;&gt;"Attended","N/A",IF(COUNTIFS('13 Effectiveness Review'!$B$6:$B$155,B110,'13 Effectiveness Review'!$C$6:$C$155,E110)&gt;0,"Reviewed",IF(V110&lt;TODAY(),"Overdue","Due"))))</x:f>
      </x:c>
      <x:c r="X110" s="92"/>
      <x:c r="Y110" s="92"/>
      <x:c r="Z110" s="92"/>
      <x:c r="AA110" s="85" t="str">
        <x:f>IF(E110="","",E110&amp;"|"&amp;COUNTIF($E$6:E110,E110))</x:f>
      </x:c>
      <x:c r="AB110" s="85" t="str">
        <x:f>IF(A110="","",A110)</x:f>
      </x:c>
      <x:c r="AC110" s="85" t="str">
        <x:f>IF(A110="","",B110)</x:f>
      </x:c>
      <x:c r="AD110" s="85" t="str">
        <x:f>IF(A110="","",C110)</x:f>
      </x:c>
      <x:c r="AE110" s="85" t="str">
        <x:f>IF(A110="","",D110)</x:f>
      </x:c>
      <x:c r="AF110" s="85" t="str">
        <x:f>IF(A110="","",L110)</x:f>
      </x:c>
      <x:c r="AG110" s="85" t="str">
        <x:f>IF(A110="","",K110)</x:f>
      </x:c>
      <x:c r="AH110" s="85" t="str">
        <x:f>IF(A110="","",Q110)</x:f>
      </x:c>
      <x:c r="AI110" s="85" t="str">
        <x:f>IF(A110="","",R110)</x:f>
      </x:c>
      <x:c r="AJ110" s="85" t="str">
        <x:f>IF(A110="","",U110)</x:f>
      </x:c>
      <x:c r="AK110" s="85" t="str">
        <x:f>IF(A110="","",W110)</x:f>
      </x:c>
      <x:c r="AL110" s="85" t="str">
        <x:f>IFERROR(IF(A110="","",Y110),"")</x:f>
      </x:c>
      <x:c r="AM110" s="85" t="str">
        <x:f>IFERROR(IF(A110="","",Z110),"")</x:f>
      </x:c>
    </x:row>
    <x:row r="111">
      <x:c r="A111" s="92"/>
      <x:c r="B111" s="92"/>
      <x:c r="C111" s="94" t="str">
        <x:f>IFERROR(VLOOKUP(B111,'06 Training Register'!$A$6:$Y$55,3,FALSE),"")</x:f>
      </x:c>
      <x:c r="D111" s="102" t="str">
        <x:f>IF(B111="","",IFERROR(IF(VLOOKUP(B111,'06 Training Register'!$A$6:$Y$55,15,FALSE)&gt;0,VLOOKUP(B111,'06 Training Register'!$A$6:$Y$55,15,FALSE),VLOOKUP(B111,'06 Training Register'!$A$6:$Y$55,12,FALSE)),""))</x:f>
      </x:c>
      <x:c r="E111" s="92"/>
      <x:c r="F111" s="94" t="str">
        <x:f>IFERROR(VLOOKUP(E111,'01 Staff Master'!$A$6:$M$105,2,FALSE),"")</x:f>
      </x:c>
      <x:c r="G111" s="94" t="str">
        <x:f>IFERROR(VLOOKUP(E111,'01 Staff Master'!$A$6:$M$105,3,FALSE),"")</x:f>
      </x:c>
      <x:c r="H111" s="94" t="str">
        <x:f>IFERROR(VLOOKUP(E111,'01 Staff Master'!$A$6:$M$105,5,FALSE),"")</x:f>
      </x:c>
      <x:c r="I111" s="94" t="str">
        <x:f>IFERROR(VLOOKUP(B111,'06 Training Register'!$A$6:$Y$55,4,FALSE),"")</x:f>
      </x:c>
      <x:c r="J111" s="92"/>
      <x:c r="K111" s="92"/>
      <x:c r="L111" s="92"/>
      <x:c r="M111" s="103"/>
      <x:c r="N111" s="103"/>
      <x:c r="O111" s="104" t="str">
        <x:f>IF(OR(M111="",N111=""),"",N111-M111)</x:f>
      </x:c>
      <x:c r="P111" s="103"/>
      <x:c r="Q111" s="94" t="str">
        <x:f>IF(OR(N111="",P111=""),"",IF(N111&gt;=P111,"Pass","Not Yet"))</x:f>
      </x:c>
      <x:c r="R111" s="92"/>
      <x:c r="S111" s="93"/>
      <x:c r="T111" s="102" t="str">
        <x:f>IF(OR(D111="",K111&lt;&gt;"Attended"),"",D111+3)</x:f>
      </x:c>
      <x:c r="U111" s="94" t="str">
        <x:f>IF(A111="","",IF(K111&lt;&gt;"Attended","N/A",IF(COUNTIFS('12 Training Evaluation'!$B$6:$B$155,B111,'12 Training Evaluation'!$C$6:$C$155,E111,'12 Training Evaluation'!$W$6:$W$155,"Complete")&gt;0,"Complete","Pending")))</x:f>
      </x:c>
      <x:c r="V111" s="102" t="str">
        <x:f>IF(OR(D111="",K111&lt;&gt;"Attended"),"",D111+30)</x:f>
      </x:c>
      <x:c r="W111" s="94" t="str">
        <x:f>IF(A111="","",IF(K111&lt;&gt;"Attended","N/A",IF(COUNTIFS('13 Effectiveness Review'!$B$6:$B$155,B111,'13 Effectiveness Review'!$C$6:$C$155,E111)&gt;0,"Reviewed",IF(V111&lt;TODAY(),"Overdue","Due"))))</x:f>
      </x:c>
      <x:c r="X111" s="92"/>
      <x:c r="Y111" s="92"/>
      <x:c r="Z111" s="92"/>
      <x:c r="AA111" s="85" t="str">
        <x:f>IF(E111="","",E111&amp;"|"&amp;COUNTIF($E$6:E111,E111))</x:f>
      </x:c>
      <x:c r="AB111" s="85" t="str">
        <x:f>IF(A111="","",A111)</x:f>
      </x:c>
      <x:c r="AC111" s="85" t="str">
        <x:f>IF(A111="","",B111)</x:f>
      </x:c>
      <x:c r="AD111" s="85" t="str">
        <x:f>IF(A111="","",C111)</x:f>
      </x:c>
      <x:c r="AE111" s="85" t="str">
        <x:f>IF(A111="","",D111)</x:f>
      </x:c>
      <x:c r="AF111" s="85" t="str">
        <x:f>IF(A111="","",L111)</x:f>
      </x:c>
      <x:c r="AG111" s="85" t="str">
        <x:f>IF(A111="","",K111)</x:f>
      </x:c>
      <x:c r="AH111" s="85" t="str">
        <x:f>IF(A111="","",Q111)</x:f>
      </x:c>
      <x:c r="AI111" s="85" t="str">
        <x:f>IF(A111="","",R111)</x:f>
      </x:c>
      <x:c r="AJ111" s="85" t="str">
        <x:f>IF(A111="","",U111)</x:f>
      </x:c>
      <x:c r="AK111" s="85" t="str">
        <x:f>IF(A111="","",W111)</x:f>
      </x:c>
      <x:c r="AL111" s="85" t="str">
        <x:f>IFERROR(IF(A111="","",Y111),"")</x:f>
      </x:c>
      <x:c r="AM111" s="85" t="str">
        <x:f>IFERROR(IF(A111="","",Z111),"")</x:f>
      </x:c>
    </x:row>
    <x:row r="112">
      <x:c r="A112" s="92"/>
      <x:c r="B112" s="92"/>
      <x:c r="C112" s="94" t="str">
        <x:f>IFERROR(VLOOKUP(B112,'06 Training Register'!$A$6:$Y$55,3,FALSE),"")</x:f>
      </x:c>
      <x:c r="D112" s="102" t="str">
        <x:f>IF(B112="","",IFERROR(IF(VLOOKUP(B112,'06 Training Register'!$A$6:$Y$55,15,FALSE)&gt;0,VLOOKUP(B112,'06 Training Register'!$A$6:$Y$55,15,FALSE),VLOOKUP(B112,'06 Training Register'!$A$6:$Y$55,12,FALSE)),""))</x:f>
      </x:c>
      <x:c r="E112" s="92"/>
      <x:c r="F112" s="94" t="str">
        <x:f>IFERROR(VLOOKUP(E112,'01 Staff Master'!$A$6:$M$105,2,FALSE),"")</x:f>
      </x:c>
      <x:c r="G112" s="94" t="str">
        <x:f>IFERROR(VLOOKUP(E112,'01 Staff Master'!$A$6:$M$105,3,FALSE),"")</x:f>
      </x:c>
      <x:c r="H112" s="94" t="str">
        <x:f>IFERROR(VLOOKUP(E112,'01 Staff Master'!$A$6:$M$105,5,FALSE),"")</x:f>
      </x:c>
      <x:c r="I112" s="94" t="str">
        <x:f>IFERROR(VLOOKUP(B112,'06 Training Register'!$A$6:$Y$55,4,FALSE),"")</x:f>
      </x:c>
      <x:c r="J112" s="92"/>
      <x:c r="K112" s="92"/>
      <x:c r="L112" s="92"/>
      <x:c r="M112" s="103"/>
      <x:c r="N112" s="103"/>
      <x:c r="O112" s="104" t="str">
        <x:f>IF(OR(M112="",N112=""),"",N112-M112)</x:f>
      </x:c>
      <x:c r="P112" s="103"/>
      <x:c r="Q112" s="94" t="str">
        <x:f>IF(OR(N112="",P112=""),"",IF(N112&gt;=P112,"Pass","Not Yet"))</x:f>
      </x:c>
      <x:c r="R112" s="92"/>
      <x:c r="S112" s="93"/>
      <x:c r="T112" s="102" t="str">
        <x:f>IF(OR(D112="",K112&lt;&gt;"Attended"),"",D112+3)</x:f>
      </x:c>
      <x:c r="U112" s="94" t="str">
        <x:f>IF(A112="","",IF(K112&lt;&gt;"Attended","N/A",IF(COUNTIFS('12 Training Evaluation'!$B$6:$B$155,B112,'12 Training Evaluation'!$C$6:$C$155,E112,'12 Training Evaluation'!$W$6:$W$155,"Complete")&gt;0,"Complete","Pending")))</x:f>
      </x:c>
      <x:c r="V112" s="102" t="str">
        <x:f>IF(OR(D112="",K112&lt;&gt;"Attended"),"",D112+30)</x:f>
      </x:c>
      <x:c r="W112" s="94" t="str">
        <x:f>IF(A112="","",IF(K112&lt;&gt;"Attended","N/A",IF(COUNTIFS('13 Effectiveness Review'!$B$6:$B$155,B112,'13 Effectiveness Review'!$C$6:$C$155,E112)&gt;0,"Reviewed",IF(V112&lt;TODAY(),"Overdue","Due"))))</x:f>
      </x:c>
      <x:c r="X112" s="92"/>
      <x:c r="Y112" s="92"/>
      <x:c r="Z112" s="92"/>
      <x:c r="AA112" s="85" t="str">
        <x:f>IF(E112="","",E112&amp;"|"&amp;COUNTIF($E$6:E112,E112))</x:f>
      </x:c>
      <x:c r="AB112" s="85" t="str">
        <x:f>IF(A112="","",A112)</x:f>
      </x:c>
      <x:c r="AC112" s="85" t="str">
        <x:f>IF(A112="","",B112)</x:f>
      </x:c>
      <x:c r="AD112" s="85" t="str">
        <x:f>IF(A112="","",C112)</x:f>
      </x:c>
      <x:c r="AE112" s="85" t="str">
        <x:f>IF(A112="","",D112)</x:f>
      </x:c>
      <x:c r="AF112" s="85" t="str">
        <x:f>IF(A112="","",L112)</x:f>
      </x:c>
      <x:c r="AG112" s="85" t="str">
        <x:f>IF(A112="","",K112)</x:f>
      </x:c>
      <x:c r="AH112" s="85" t="str">
        <x:f>IF(A112="","",Q112)</x:f>
      </x:c>
      <x:c r="AI112" s="85" t="str">
        <x:f>IF(A112="","",R112)</x:f>
      </x:c>
      <x:c r="AJ112" s="85" t="str">
        <x:f>IF(A112="","",U112)</x:f>
      </x:c>
      <x:c r="AK112" s="85" t="str">
        <x:f>IF(A112="","",W112)</x:f>
      </x:c>
      <x:c r="AL112" s="85" t="str">
        <x:f>IFERROR(IF(A112="","",Y112),"")</x:f>
      </x:c>
      <x:c r="AM112" s="85" t="str">
        <x:f>IFERROR(IF(A112="","",Z112),"")</x:f>
      </x:c>
    </x:row>
    <x:row r="113">
      <x:c r="A113" s="92"/>
      <x:c r="B113" s="92"/>
      <x:c r="C113" s="94" t="str">
        <x:f>IFERROR(VLOOKUP(B113,'06 Training Register'!$A$6:$Y$55,3,FALSE),"")</x:f>
      </x:c>
      <x:c r="D113" s="102" t="str">
        <x:f>IF(B113="","",IFERROR(IF(VLOOKUP(B113,'06 Training Register'!$A$6:$Y$55,15,FALSE)&gt;0,VLOOKUP(B113,'06 Training Register'!$A$6:$Y$55,15,FALSE),VLOOKUP(B113,'06 Training Register'!$A$6:$Y$55,12,FALSE)),""))</x:f>
      </x:c>
      <x:c r="E113" s="92"/>
      <x:c r="F113" s="94" t="str">
        <x:f>IFERROR(VLOOKUP(E113,'01 Staff Master'!$A$6:$M$105,2,FALSE),"")</x:f>
      </x:c>
      <x:c r="G113" s="94" t="str">
        <x:f>IFERROR(VLOOKUP(E113,'01 Staff Master'!$A$6:$M$105,3,FALSE),"")</x:f>
      </x:c>
      <x:c r="H113" s="94" t="str">
        <x:f>IFERROR(VLOOKUP(E113,'01 Staff Master'!$A$6:$M$105,5,FALSE),"")</x:f>
      </x:c>
      <x:c r="I113" s="94" t="str">
        <x:f>IFERROR(VLOOKUP(B113,'06 Training Register'!$A$6:$Y$55,4,FALSE),"")</x:f>
      </x:c>
      <x:c r="J113" s="92"/>
      <x:c r="K113" s="92"/>
      <x:c r="L113" s="92"/>
      <x:c r="M113" s="103"/>
      <x:c r="N113" s="103"/>
      <x:c r="O113" s="104" t="str">
        <x:f>IF(OR(M113="",N113=""),"",N113-M113)</x:f>
      </x:c>
      <x:c r="P113" s="103"/>
      <x:c r="Q113" s="94" t="str">
        <x:f>IF(OR(N113="",P113=""),"",IF(N113&gt;=P113,"Pass","Not Yet"))</x:f>
      </x:c>
      <x:c r="R113" s="92"/>
      <x:c r="S113" s="93"/>
      <x:c r="T113" s="102" t="str">
        <x:f>IF(OR(D113="",K113&lt;&gt;"Attended"),"",D113+3)</x:f>
      </x:c>
      <x:c r="U113" s="94" t="str">
        <x:f>IF(A113="","",IF(K113&lt;&gt;"Attended","N/A",IF(COUNTIFS('12 Training Evaluation'!$B$6:$B$155,B113,'12 Training Evaluation'!$C$6:$C$155,E113,'12 Training Evaluation'!$W$6:$W$155,"Complete")&gt;0,"Complete","Pending")))</x:f>
      </x:c>
      <x:c r="V113" s="102" t="str">
        <x:f>IF(OR(D113="",K113&lt;&gt;"Attended"),"",D113+30)</x:f>
      </x:c>
      <x:c r="W113" s="94" t="str">
        <x:f>IF(A113="","",IF(K113&lt;&gt;"Attended","N/A",IF(COUNTIFS('13 Effectiveness Review'!$B$6:$B$155,B113,'13 Effectiveness Review'!$C$6:$C$155,E113)&gt;0,"Reviewed",IF(V113&lt;TODAY(),"Overdue","Due"))))</x:f>
      </x:c>
      <x:c r="X113" s="92"/>
      <x:c r="Y113" s="92"/>
      <x:c r="Z113" s="92"/>
      <x:c r="AA113" s="85" t="str">
        <x:f>IF(E113="","",E113&amp;"|"&amp;COUNTIF($E$6:E113,E113))</x:f>
      </x:c>
      <x:c r="AB113" s="85" t="str">
        <x:f>IF(A113="","",A113)</x:f>
      </x:c>
      <x:c r="AC113" s="85" t="str">
        <x:f>IF(A113="","",B113)</x:f>
      </x:c>
      <x:c r="AD113" s="85" t="str">
        <x:f>IF(A113="","",C113)</x:f>
      </x:c>
      <x:c r="AE113" s="85" t="str">
        <x:f>IF(A113="","",D113)</x:f>
      </x:c>
      <x:c r="AF113" s="85" t="str">
        <x:f>IF(A113="","",L113)</x:f>
      </x:c>
      <x:c r="AG113" s="85" t="str">
        <x:f>IF(A113="","",K113)</x:f>
      </x:c>
      <x:c r="AH113" s="85" t="str">
        <x:f>IF(A113="","",Q113)</x:f>
      </x:c>
      <x:c r="AI113" s="85" t="str">
        <x:f>IF(A113="","",R113)</x:f>
      </x:c>
      <x:c r="AJ113" s="85" t="str">
        <x:f>IF(A113="","",U113)</x:f>
      </x:c>
      <x:c r="AK113" s="85" t="str">
        <x:f>IF(A113="","",W113)</x:f>
      </x:c>
      <x:c r="AL113" s="85" t="str">
        <x:f>IFERROR(IF(A113="","",Y113),"")</x:f>
      </x:c>
      <x:c r="AM113" s="85" t="str">
        <x:f>IFERROR(IF(A113="","",Z113),"")</x:f>
      </x:c>
    </x:row>
    <x:row r="114">
      <x:c r="A114" s="92"/>
      <x:c r="B114" s="92"/>
      <x:c r="C114" s="94" t="str">
        <x:f>IFERROR(VLOOKUP(B114,'06 Training Register'!$A$6:$Y$55,3,FALSE),"")</x:f>
      </x:c>
      <x:c r="D114" s="102" t="str">
        <x:f>IF(B114="","",IFERROR(IF(VLOOKUP(B114,'06 Training Register'!$A$6:$Y$55,15,FALSE)&gt;0,VLOOKUP(B114,'06 Training Register'!$A$6:$Y$55,15,FALSE),VLOOKUP(B114,'06 Training Register'!$A$6:$Y$55,12,FALSE)),""))</x:f>
      </x:c>
      <x:c r="E114" s="92"/>
      <x:c r="F114" s="94" t="str">
        <x:f>IFERROR(VLOOKUP(E114,'01 Staff Master'!$A$6:$M$105,2,FALSE),"")</x:f>
      </x:c>
      <x:c r="G114" s="94" t="str">
        <x:f>IFERROR(VLOOKUP(E114,'01 Staff Master'!$A$6:$M$105,3,FALSE),"")</x:f>
      </x:c>
      <x:c r="H114" s="94" t="str">
        <x:f>IFERROR(VLOOKUP(E114,'01 Staff Master'!$A$6:$M$105,5,FALSE),"")</x:f>
      </x:c>
      <x:c r="I114" s="94" t="str">
        <x:f>IFERROR(VLOOKUP(B114,'06 Training Register'!$A$6:$Y$55,4,FALSE),"")</x:f>
      </x:c>
      <x:c r="J114" s="92"/>
      <x:c r="K114" s="92"/>
      <x:c r="L114" s="92"/>
      <x:c r="M114" s="103"/>
      <x:c r="N114" s="103"/>
      <x:c r="O114" s="104" t="str">
        <x:f>IF(OR(M114="",N114=""),"",N114-M114)</x:f>
      </x:c>
      <x:c r="P114" s="103"/>
      <x:c r="Q114" s="94" t="str">
        <x:f>IF(OR(N114="",P114=""),"",IF(N114&gt;=P114,"Pass","Not Yet"))</x:f>
      </x:c>
      <x:c r="R114" s="92"/>
      <x:c r="S114" s="93"/>
      <x:c r="T114" s="102" t="str">
        <x:f>IF(OR(D114="",K114&lt;&gt;"Attended"),"",D114+3)</x:f>
      </x:c>
      <x:c r="U114" s="94" t="str">
        <x:f>IF(A114="","",IF(K114&lt;&gt;"Attended","N/A",IF(COUNTIFS('12 Training Evaluation'!$B$6:$B$155,B114,'12 Training Evaluation'!$C$6:$C$155,E114,'12 Training Evaluation'!$W$6:$W$155,"Complete")&gt;0,"Complete","Pending")))</x:f>
      </x:c>
      <x:c r="V114" s="102" t="str">
        <x:f>IF(OR(D114="",K114&lt;&gt;"Attended"),"",D114+30)</x:f>
      </x:c>
      <x:c r="W114" s="94" t="str">
        <x:f>IF(A114="","",IF(K114&lt;&gt;"Attended","N/A",IF(COUNTIFS('13 Effectiveness Review'!$B$6:$B$155,B114,'13 Effectiveness Review'!$C$6:$C$155,E114)&gt;0,"Reviewed",IF(V114&lt;TODAY(),"Overdue","Due"))))</x:f>
      </x:c>
      <x:c r="X114" s="92"/>
      <x:c r="Y114" s="92"/>
      <x:c r="Z114" s="92"/>
      <x:c r="AA114" s="85" t="str">
        <x:f>IF(E114="","",E114&amp;"|"&amp;COUNTIF($E$6:E114,E114))</x:f>
      </x:c>
      <x:c r="AB114" s="85" t="str">
        <x:f>IF(A114="","",A114)</x:f>
      </x:c>
      <x:c r="AC114" s="85" t="str">
        <x:f>IF(A114="","",B114)</x:f>
      </x:c>
      <x:c r="AD114" s="85" t="str">
        <x:f>IF(A114="","",C114)</x:f>
      </x:c>
      <x:c r="AE114" s="85" t="str">
        <x:f>IF(A114="","",D114)</x:f>
      </x:c>
      <x:c r="AF114" s="85" t="str">
        <x:f>IF(A114="","",L114)</x:f>
      </x:c>
      <x:c r="AG114" s="85" t="str">
        <x:f>IF(A114="","",K114)</x:f>
      </x:c>
      <x:c r="AH114" s="85" t="str">
        <x:f>IF(A114="","",Q114)</x:f>
      </x:c>
      <x:c r="AI114" s="85" t="str">
        <x:f>IF(A114="","",R114)</x:f>
      </x:c>
      <x:c r="AJ114" s="85" t="str">
        <x:f>IF(A114="","",U114)</x:f>
      </x:c>
      <x:c r="AK114" s="85" t="str">
        <x:f>IF(A114="","",W114)</x:f>
      </x:c>
      <x:c r="AL114" s="85" t="str">
        <x:f>IFERROR(IF(A114="","",Y114),"")</x:f>
      </x:c>
      <x:c r="AM114" s="85" t="str">
        <x:f>IFERROR(IF(A114="","",Z114),"")</x:f>
      </x:c>
    </x:row>
    <x:row r="115">
      <x:c r="A115" s="92"/>
      <x:c r="B115" s="92"/>
      <x:c r="C115" s="94" t="str">
        <x:f>IFERROR(VLOOKUP(B115,'06 Training Register'!$A$6:$Y$55,3,FALSE),"")</x:f>
      </x:c>
      <x:c r="D115" s="102" t="str">
        <x:f>IF(B115="","",IFERROR(IF(VLOOKUP(B115,'06 Training Register'!$A$6:$Y$55,15,FALSE)&gt;0,VLOOKUP(B115,'06 Training Register'!$A$6:$Y$55,15,FALSE),VLOOKUP(B115,'06 Training Register'!$A$6:$Y$55,12,FALSE)),""))</x:f>
      </x:c>
      <x:c r="E115" s="92"/>
      <x:c r="F115" s="94" t="str">
        <x:f>IFERROR(VLOOKUP(E115,'01 Staff Master'!$A$6:$M$105,2,FALSE),"")</x:f>
      </x:c>
      <x:c r="G115" s="94" t="str">
        <x:f>IFERROR(VLOOKUP(E115,'01 Staff Master'!$A$6:$M$105,3,FALSE),"")</x:f>
      </x:c>
      <x:c r="H115" s="94" t="str">
        <x:f>IFERROR(VLOOKUP(E115,'01 Staff Master'!$A$6:$M$105,5,FALSE),"")</x:f>
      </x:c>
      <x:c r="I115" s="94" t="str">
        <x:f>IFERROR(VLOOKUP(B115,'06 Training Register'!$A$6:$Y$55,4,FALSE),"")</x:f>
      </x:c>
      <x:c r="J115" s="92"/>
      <x:c r="K115" s="92"/>
      <x:c r="L115" s="92"/>
      <x:c r="M115" s="103"/>
      <x:c r="N115" s="103"/>
      <x:c r="O115" s="104" t="str">
        <x:f>IF(OR(M115="",N115=""),"",N115-M115)</x:f>
      </x:c>
      <x:c r="P115" s="103"/>
      <x:c r="Q115" s="94" t="str">
        <x:f>IF(OR(N115="",P115=""),"",IF(N115&gt;=P115,"Pass","Not Yet"))</x:f>
      </x:c>
      <x:c r="R115" s="92"/>
      <x:c r="S115" s="93"/>
      <x:c r="T115" s="102" t="str">
        <x:f>IF(OR(D115="",K115&lt;&gt;"Attended"),"",D115+3)</x:f>
      </x:c>
      <x:c r="U115" s="94" t="str">
        <x:f>IF(A115="","",IF(K115&lt;&gt;"Attended","N/A",IF(COUNTIFS('12 Training Evaluation'!$B$6:$B$155,B115,'12 Training Evaluation'!$C$6:$C$155,E115,'12 Training Evaluation'!$W$6:$W$155,"Complete")&gt;0,"Complete","Pending")))</x:f>
      </x:c>
      <x:c r="V115" s="102" t="str">
        <x:f>IF(OR(D115="",K115&lt;&gt;"Attended"),"",D115+30)</x:f>
      </x:c>
      <x:c r="W115" s="94" t="str">
        <x:f>IF(A115="","",IF(K115&lt;&gt;"Attended","N/A",IF(COUNTIFS('13 Effectiveness Review'!$B$6:$B$155,B115,'13 Effectiveness Review'!$C$6:$C$155,E115)&gt;0,"Reviewed",IF(V115&lt;TODAY(),"Overdue","Due"))))</x:f>
      </x:c>
      <x:c r="X115" s="92"/>
      <x:c r="Y115" s="92"/>
      <x:c r="Z115" s="92"/>
      <x:c r="AA115" s="85" t="str">
        <x:f>IF(E115="","",E115&amp;"|"&amp;COUNTIF($E$6:E115,E115))</x:f>
      </x:c>
      <x:c r="AB115" s="85" t="str">
        <x:f>IF(A115="","",A115)</x:f>
      </x:c>
      <x:c r="AC115" s="85" t="str">
        <x:f>IF(A115="","",B115)</x:f>
      </x:c>
      <x:c r="AD115" s="85" t="str">
        <x:f>IF(A115="","",C115)</x:f>
      </x:c>
      <x:c r="AE115" s="85" t="str">
        <x:f>IF(A115="","",D115)</x:f>
      </x:c>
      <x:c r="AF115" s="85" t="str">
        <x:f>IF(A115="","",L115)</x:f>
      </x:c>
      <x:c r="AG115" s="85" t="str">
        <x:f>IF(A115="","",K115)</x:f>
      </x:c>
      <x:c r="AH115" s="85" t="str">
        <x:f>IF(A115="","",Q115)</x:f>
      </x:c>
      <x:c r="AI115" s="85" t="str">
        <x:f>IF(A115="","",R115)</x:f>
      </x:c>
      <x:c r="AJ115" s="85" t="str">
        <x:f>IF(A115="","",U115)</x:f>
      </x:c>
      <x:c r="AK115" s="85" t="str">
        <x:f>IF(A115="","",W115)</x:f>
      </x:c>
      <x:c r="AL115" s="85" t="str">
        <x:f>IFERROR(IF(A115="","",Y115),"")</x:f>
      </x:c>
      <x:c r="AM115" s="85" t="str">
        <x:f>IFERROR(IF(A115="","",Z115),"")</x:f>
      </x:c>
    </x:row>
    <x:row r="116">
      <x:c r="A116" s="92"/>
      <x:c r="B116" s="92"/>
      <x:c r="C116" s="94" t="str">
        <x:f>IFERROR(VLOOKUP(B116,'06 Training Register'!$A$6:$Y$55,3,FALSE),"")</x:f>
      </x:c>
      <x:c r="D116" s="102" t="str">
        <x:f>IF(B116="","",IFERROR(IF(VLOOKUP(B116,'06 Training Register'!$A$6:$Y$55,15,FALSE)&gt;0,VLOOKUP(B116,'06 Training Register'!$A$6:$Y$55,15,FALSE),VLOOKUP(B116,'06 Training Register'!$A$6:$Y$55,12,FALSE)),""))</x:f>
      </x:c>
      <x:c r="E116" s="92"/>
      <x:c r="F116" s="94" t="str">
        <x:f>IFERROR(VLOOKUP(E116,'01 Staff Master'!$A$6:$M$105,2,FALSE),"")</x:f>
      </x:c>
      <x:c r="G116" s="94" t="str">
        <x:f>IFERROR(VLOOKUP(E116,'01 Staff Master'!$A$6:$M$105,3,FALSE),"")</x:f>
      </x:c>
      <x:c r="H116" s="94" t="str">
        <x:f>IFERROR(VLOOKUP(E116,'01 Staff Master'!$A$6:$M$105,5,FALSE),"")</x:f>
      </x:c>
      <x:c r="I116" s="94" t="str">
        <x:f>IFERROR(VLOOKUP(B116,'06 Training Register'!$A$6:$Y$55,4,FALSE),"")</x:f>
      </x:c>
      <x:c r="J116" s="92"/>
      <x:c r="K116" s="92"/>
      <x:c r="L116" s="92"/>
      <x:c r="M116" s="103"/>
      <x:c r="N116" s="103"/>
      <x:c r="O116" s="104" t="str">
        <x:f>IF(OR(M116="",N116=""),"",N116-M116)</x:f>
      </x:c>
      <x:c r="P116" s="103"/>
      <x:c r="Q116" s="94" t="str">
        <x:f>IF(OR(N116="",P116=""),"",IF(N116&gt;=P116,"Pass","Not Yet"))</x:f>
      </x:c>
      <x:c r="R116" s="92"/>
      <x:c r="S116" s="93"/>
      <x:c r="T116" s="102" t="str">
        <x:f>IF(OR(D116="",K116&lt;&gt;"Attended"),"",D116+3)</x:f>
      </x:c>
      <x:c r="U116" s="94" t="str">
        <x:f>IF(A116="","",IF(K116&lt;&gt;"Attended","N/A",IF(COUNTIFS('12 Training Evaluation'!$B$6:$B$155,B116,'12 Training Evaluation'!$C$6:$C$155,E116,'12 Training Evaluation'!$W$6:$W$155,"Complete")&gt;0,"Complete","Pending")))</x:f>
      </x:c>
      <x:c r="V116" s="102" t="str">
        <x:f>IF(OR(D116="",K116&lt;&gt;"Attended"),"",D116+30)</x:f>
      </x:c>
      <x:c r="W116" s="94" t="str">
        <x:f>IF(A116="","",IF(K116&lt;&gt;"Attended","N/A",IF(COUNTIFS('13 Effectiveness Review'!$B$6:$B$155,B116,'13 Effectiveness Review'!$C$6:$C$155,E116)&gt;0,"Reviewed",IF(V116&lt;TODAY(),"Overdue","Due"))))</x:f>
      </x:c>
      <x:c r="X116" s="92"/>
      <x:c r="Y116" s="92"/>
      <x:c r="Z116" s="92"/>
      <x:c r="AA116" s="85" t="str">
        <x:f>IF(E116="","",E116&amp;"|"&amp;COUNTIF($E$6:E116,E116))</x:f>
      </x:c>
      <x:c r="AB116" s="85" t="str">
        <x:f>IF(A116="","",A116)</x:f>
      </x:c>
      <x:c r="AC116" s="85" t="str">
        <x:f>IF(A116="","",B116)</x:f>
      </x:c>
      <x:c r="AD116" s="85" t="str">
        <x:f>IF(A116="","",C116)</x:f>
      </x:c>
      <x:c r="AE116" s="85" t="str">
        <x:f>IF(A116="","",D116)</x:f>
      </x:c>
      <x:c r="AF116" s="85" t="str">
        <x:f>IF(A116="","",L116)</x:f>
      </x:c>
      <x:c r="AG116" s="85" t="str">
        <x:f>IF(A116="","",K116)</x:f>
      </x:c>
      <x:c r="AH116" s="85" t="str">
        <x:f>IF(A116="","",Q116)</x:f>
      </x:c>
      <x:c r="AI116" s="85" t="str">
        <x:f>IF(A116="","",R116)</x:f>
      </x:c>
      <x:c r="AJ116" s="85" t="str">
        <x:f>IF(A116="","",U116)</x:f>
      </x:c>
      <x:c r="AK116" s="85" t="str">
        <x:f>IF(A116="","",W116)</x:f>
      </x:c>
      <x:c r="AL116" s="85" t="str">
        <x:f>IFERROR(IF(A116="","",Y116),"")</x:f>
      </x:c>
      <x:c r="AM116" s="85" t="str">
        <x:f>IFERROR(IF(A116="","",Z116),"")</x:f>
      </x:c>
    </x:row>
    <x:row r="117">
      <x:c r="A117" s="92"/>
      <x:c r="B117" s="92"/>
      <x:c r="C117" s="94" t="str">
        <x:f>IFERROR(VLOOKUP(B117,'06 Training Register'!$A$6:$Y$55,3,FALSE),"")</x:f>
      </x:c>
      <x:c r="D117" s="102" t="str">
        <x:f>IF(B117="","",IFERROR(IF(VLOOKUP(B117,'06 Training Register'!$A$6:$Y$55,15,FALSE)&gt;0,VLOOKUP(B117,'06 Training Register'!$A$6:$Y$55,15,FALSE),VLOOKUP(B117,'06 Training Register'!$A$6:$Y$55,12,FALSE)),""))</x:f>
      </x:c>
      <x:c r="E117" s="92"/>
      <x:c r="F117" s="94" t="str">
        <x:f>IFERROR(VLOOKUP(E117,'01 Staff Master'!$A$6:$M$105,2,FALSE),"")</x:f>
      </x:c>
      <x:c r="G117" s="94" t="str">
        <x:f>IFERROR(VLOOKUP(E117,'01 Staff Master'!$A$6:$M$105,3,FALSE),"")</x:f>
      </x:c>
      <x:c r="H117" s="94" t="str">
        <x:f>IFERROR(VLOOKUP(E117,'01 Staff Master'!$A$6:$M$105,5,FALSE),"")</x:f>
      </x:c>
      <x:c r="I117" s="94" t="str">
        <x:f>IFERROR(VLOOKUP(B117,'06 Training Register'!$A$6:$Y$55,4,FALSE),"")</x:f>
      </x:c>
      <x:c r="J117" s="92"/>
      <x:c r="K117" s="92"/>
      <x:c r="L117" s="92"/>
      <x:c r="M117" s="103"/>
      <x:c r="N117" s="103"/>
      <x:c r="O117" s="104" t="str">
        <x:f>IF(OR(M117="",N117=""),"",N117-M117)</x:f>
      </x:c>
      <x:c r="P117" s="103"/>
      <x:c r="Q117" s="94" t="str">
        <x:f>IF(OR(N117="",P117=""),"",IF(N117&gt;=P117,"Pass","Not Yet"))</x:f>
      </x:c>
      <x:c r="R117" s="92"/>
      <x:c r="S117" s="93"/>
      <x:c r="T117" s="102" t="str">
        <x:f>IF(OR(D117="",K117&lt;&gt;"Attended"),"",D117+3)</x:f>
      </x:c>
      <x:c r="U117" s="94" t="str">
        <x:f>IF(A117="","",IF(K117&lt;&gt;"Attended","N/A",IF(COUNTIFS('12 Training Evaluation'!$B$6:$B$155,B117,'12 Training Evaluation'!$C$6:$C$155,E117,'12 Training Evaluation'!$W$6:$W$155,"Complete")&gt;0,"Complete","Pending")))</x:f>
      </x:c>
      <x:c r="V117" s="102" t="str">
        <x:f>IF(OR(D117="",K117&lt;&gt;"Attended"),"",D117+30)</x:f>
      </x:c>
      <x:c r="W117" s="94" t="str">
        <x:f>IF(A117="","",IF(K117&lt;&gt;"Attended","N/A",IF(COUNTIFS('13 Effectiveness Review'!$B$6:$B$155,B117,'13 Effectiveness Review'!$C$6:$C$155,E117)&gt;0,"Reviewed",IF(V117&lt;TODAY(),"Overdue","Due"))))</x:f>
      </x:c>
      <x:c r="X117" s="92"/>
      <x:c r="Y117" s="92"/>
      <x:c r="Z117" s="92"/>
      <x:c r="AA117" s="85" t="str">
        <x:f>IF(E117="","",E117&amp;"|"&amp;COUNTIF($E$6:E117,E117))</x:f>
      </x:c>
      <x:c r="AB117" s="85" t="str">
        <x:f>IF(A117="","",A117)</x:f>
      </x:c>
      <x:c r="AC117" s="85" t="str">
        <x:f>IF(A117="","",B117)</x:f>
      </x:c>
      <x:c r="AD117" s="85" t="str">
        <x:f>IF(A117="","",C117)</x:f>
      </x:c>
      <x:c r="AE117" s="85" t="str">
        <x:f>IF(A117="","",D117)</x:f>
      </x:c>
      <x:c r="AF117" s="85" t="str">
        <x:f>IF(A117="","",L117)</x:f>
      </x:c>
      <x:c r="AG117" s="85" t="str">
        <x:f>IF(A117="","",K117)</x:f>
      </x:c>
      <x:c r="AH117" s="85" t="str">
        <x:f>IF(A117="","",Q117)</x:f>
      </x:c>
      <x:c r="AI117" s="85" t="str">
        <x:f>IF(A117="","",R117)</x:f>
      </x:c>
      <x:c r="AJ117" s="85" t="str">
        <x:f>IF(A117="","",U117)</x:f>
      </x:c>
      <x:c r="AK117" s="85" t="str">
        <x:f>IF(A117="","",W117)</x:f>
      </x:c>
      <x:c r="AL117" s="85" t="str">
        <x:f>IFERROR(IF(A117="","",Y117),"")</x:f>
      </x:c>
      <x:c r="AM117" s="85" t="str">
        <x:f>IFERROR(IF(A117="","",Z117),"")</x:f>
      </x:c>
    </x:row>
    <x:row r="118">
      <x:c r="A118" s="92"/>
      <x:c r="B118" s="92"/>
      <x:c r="C118" s="94" t="str">
        <x:f>IFERROR(VLOOKUP(B118,'06 Training Register'!$A$6:$Y$55,3,FALSE),"")</x:f>
      </x:c>
      <x:c r="D118" s="102" t="str">
        <x:f>IF(B118="","",IFERROR(IF(VLOOKUP(B118,'06 Training Register'!$A$6:$Y$55,15,FALSE)&gt;0,VLOOKUP(B118,'06 Training Register'!$A$6:$Y$55,15,FALSE),VLOOKUP(B118,'06 Training Register'!$A$6:$Y$55,12,FALSE)),""))</x:f>
      </x:c>
      <x:c r="E118" s="92"/>
      <x:c r="F118" s="94" t="str">
        <x:f>IFERROR(VLOOKUP(E118,'01 Staff Master'!$A$6:$M$105,2,FALSE),"")</x:f>
      </x:c>
      <x:c r="G118" s="94" t="str">
        <x:f>IFERROR(VLOOKUP(E118,'01 Staff Master'!$A$6:$M$105,3,FALSE),"")</x:f>
      </x:c>
      <x:c r="H118" s="94" t="str">
        <x:f>IFERROR(VLOOKUP(E118,'01 Staff Master'!$A$6:$M$105,5,FALSE),"")</x:f>
      </x:c>
      <x:c r="I118" s="94" t="str">
        <x:f>IFERROR(VLOOKUP(B118,'06 Training Register'!$A$6:$Y$55,4,FALSE),"")</x:f>
      </x:c>
      <x:c r="J118" s="92"/>
      <x:c r="K118" s="92"/>
      <x:c r="L118" s="92"/>
      <x:c r="M118" s="103"/>
      <x:c r="N118" s="103"/>
      <x:c r="O118" s="104" t="str">
        <x:f>IF(OR(M118="",N118=""),"",N118-M118)</x:f>
      </x:c>
      <x:c r="P118" s="103"/>
      <x:c r="Q118" s="94" t="str">
        <x:f>IF(OR(N118="",P118=""),"",IF(N118&gt;=P118,"Pass","Not Yet"))</x:f>
      </x:c>
      <x:c r="R118" s="92"/>
      <x:c r="S118" s="93"/>
      <x:c r="T118" s="102" t="str">
        <x:f>IF(OR(D118="",K118&lt;&gt;"Attended"),"",D118+3)</x:f>
      </x:c>
      <x:c r="U118" s="94" t="str">
        <x:f>IF(A118="","",IF(K118&lt;&gt;"Attended","N/A",IF(COUNTIFS('12 Training Evaluation'!$B$6:$B$155,B118,'12 Training Evaluation'!$C$6:$C$155,E118,'12 Training Evaluation'!$W$6:$W$155,"Complete")&gt;0,"Complete","Pending")))</x:f>
      </x:c>
      <x:c r="V118" s="102" t="str">
        <x:f>IF(OR(D118="",K118&lt;&gt;"Attended"),"",D118+30)</x:f>
      </x:c>
      <x:c r="W118" s="94" t="str">
        <x:f>IF(A118="","",IF(K118&lt;&gt;"Attended","N/A",IF(COUNTIFS('13 Effectiveness Review'!$B$6:$B$155,B118,'13 Effectiveness Review'!$C$6:$C$155,E118)&gt;0,"Reviewed",IF(V118&lt;TODAY(),"Overdue","Due"))))</x:f>
      </x:c>
      <x:c r="X118" s="92"/>
      <x:c r="Y118" s="92"/>
      <x:c r="Z118" s="92"/>
      <x:c r="AA118" s="85" t="str">
        <x:f>IF(E118="","",E118&amp;"|"&amp;COUNTIF($E$6:E118,E118))</x:f>
      </x:c>
      <x:c r="AB118" s="85" t="str">
        <x:f>IF(A118="","",A118)</x:f>
      </x:c>
      <x:c r="AC118" s="85" t="str">
        <x:f>IF(A118="","",B118)</x:f>
      </x:c>
      <x:c r="AD118" s="85" t="str">
        <x:f>IF(A118="","",C118)</x:f>
      </x:c>
      <x:c r="AE118" s="85" t="str">
        <x:f>IF(A118="","",D118)</x:f>
      </x:c>
      <x:c r="AF118" s="85" t="str">
        <x:f>IF(A118="","",L118)</x:f>
      </x:c>
      <x:c r="AG118" s="85" t="str">
        <x:f>IF(A118="","",K118)</x:f>
      </x:c>
      <x:c r="AH118" s="85" t="str">
        <x:f>IF(A118="","",Q118)</x:f>
      </x:c>
      <x:c r="AI118" s="85" t="str">
        <x:f>IF(A118="","",R118)</x:f>
      </x:c>
      <x:c r="AJ118" s="85" t="str">
        <x:f>IF(A118="","",U118)</x:f>
      </x:c>
      <x:c r="AK118" s="85" t="str">
        <x:f>IF(A118="","",W118)</x:f>
      </x:c>
      <x:c r="AL118" s="85" t="str">
        <x:f>IFERROR(IF(A118="","",Y118),"")</x:f>
      </x:c>
      <x:c r="AM118" s="85" t="str">
        <x:f>IFERROR(IF(A118="","",Z118),"")</x:f>
      </x:c>
    </x:row>
    <x:row r="119">
      <x:c r="A119" s="92"/>
      <x:c r="B119" s="92"/>
      <x:c r="C119" s="94" t="str">
        <x:f>IFERROR(VLOOKUP(B119,'06 Training Register'!$A$6:$Y$55,3,FALSE),"")</x:f>
      </x:c>
      <x:c r="D119" s="102" t="str">
        <x:f>IF(B119="","",IFERROR(IF(VLOOKUP(B119,'06 Training Register'!$A$6:$Y$55,15,FALSE)&gt;0,VLOOKUP(B119,'06 Training Register'!$A$6:$Y$55,15,FALSE),VLOOKUP(B119,'06 Training Register'!$A$6:$Y$55,12,FALSE)),""))</x:f>
      </x:c>
      <x:c r="E119" s="92"/>
      <x:c r="F119" s="94" t="str">
        <x:f>IFERROR(VLOOKUP(E119,'01 Staff Master'!$A$6:$M$105,2,FALSE),"")</x:f>
      </x:c>
      <x:c r="G119" s="94" t="str">
        <x:f>IFERROR(VLOOKUP(E119,'01 Staff Master'!$A$6:$M$105,3,FALSE),"")</x:f>
      </x:c>
      <x:c r="H119" s="94" t="str">
        <x:f>IFERROR(VLOOKUP(E119,'01 Staff Master'!$A$6:$M$105,5,FALSE),"")</x:f>
      </x:c>
      <x:c r="I119" s="94" t="str">
        <x:f>IFERROR(VLOOKUP(B119,'06 Training Register'!$A$6:$Y$55,4,FALSE),"")</x:f>
      </x:c>
      <x:c r="J119" s="92"/>
      <x:c r="K119" s="92"/>
      <x:c r="L119" s="92"/>
      <x:c r="M119" s="103"/>
      <x:c r="N119" s="103"/>
      <x:c r="O119" s="104" t="str">
        <x:f>IF(OR(M119="",N119=""),"",N119-M119)</x:f>
      </x:c>
      <x:c r="P119" s="103"/>
      <x:c r="Q119" s="94" t="str">
        <x:f>IF(OR(N119="",P119=""),"",IF(N119&gt;=P119,"Pass","Not Yet"))</x:f>
      </x:c>
      <x:c r="R119" s="92"/>
      <x:c r="S119" s="93"/>
      <x:c r="T119" s="102" t="str">
        <x:f>IF(OR(D119="",K119&lt;&gt;"Attended"),"",D119+3)</x:f>
      </x:c>
      <x:c r="U119" s="94" t="str">
        <x:f>IF(A119="","",IF(K119&lt;&gt;"Attended","N/A",IF(COUNTIFS('12 Training Evaluation'!$B$6:$B$155,B119,'12 Training Evaluation'!$C$6:$C$155,E119,'12 Training Evaluation'!$W$6:$W$155,"Complete")&gt;0,"Complete","Pending")))</x:f>
      </x:c>
      <x:c r="V119" s="102" t="str">
        <x:f>IF(OR(D119="",K119&lt;&gt;"Attended"),"",D119+30)</x:f>
      </x:c>
      <x:c r="W119" s="94" t="str">
        <x:f>IF(A119="","",IF(K119&lt;&gt;"Attended","N/A",IF(COUNTIFS('13 Effectiveness Review'!$B$6:$B$155,B119,'13 Effectiveness Review'!$C$6:$C$155,E119)&gt;0,"Reviewed",IF(V119&lt;TODAY(),"Overdue","Due"))))</x:f>
      </x:c>
      <x:c r="X119" s="92"/>
      <x:c r="Y119" s="92"/>
      <x:c r="Z119" s="92"/>
      <x:c r="AA119" s="85" t="str">
        <x:f>IF(E119="","",E119&amp;"|"&amp;COUNTIF($E$6:E119,E119))</x:f>
      </x:c>
      <x:c r="AB119" s="85" t="str">
        <x:f>IF(A119="","",A119)</x:f>
      </x:c>
      <x:c r="AC119" s="85" t="str">
        <x:f>IF(A119="","",B119)</x:f>
      </x:c>
      <x:c r="AD119" s="85" t="str">
        <x:f>IF(A119="","",C119)</x:f>
      </x:c>
      <x:c r="AE119" s="85" t="str">
        <x:f>IF(A119="","",D119)</x:f>
      </x:c>
      <x:c r="AF119" s="85" t="str">
        <x:f>IF(A119="","",L119)</x:f>
      </x:c>
      <x:c r="AG119" s="85" t="str">
        <x:f>IF(A119="","",K119)</x:f>
      </x:c>
      <x:c r="AH119" s="85" t="str">
        <x:f>IF(A119="","",Q119)</x:f>
      </x:c>
      <x:c r="AI119" s="85" t="str">
        <x:f>IF(A119="","",R119)</x:f>
      </x:c>
      <x:c r="AJ119" s="85" t="str">
        <x:f>IF(A119="","",U119)</x:f>
      </x:c>
      <x:c r="AK119" s="85" t="str">
        <x:f>IF(A119="","",W119)</x:f>
      </x:c>
      <x:c r="AL119" s="85" t="str">
        <x:f>IFERROR(IF(A119="","",Y119),"")</x:f>
      </x:c>
      <x:c r="AM119" s="85" t="str">
        <x:f>IFERROR(IF(A119="","",Z119),"")</x:f>
      </x:c>
    </x:row>
    <x:row r="120">
      <x:c r="A120" s="92"/>
      <x:c r="B120" s="92"/>
      <x:c r="C120" s="94" t="str">
        <x:f>IFERROR(VLOOKUP(B120,'06 Training Register'!$A$6:$Y$55,3,FALSE),"")</x:f>
      </x:c>
      <x:c r="D120" s="102" t="str">
        <x:f>IF(B120="","",IFERROR(IF(VLOOKUP(B120,'06 Training Register'!$A$6:$Y$55,15,FALSE)&gt;0,VLOOKUP(B120,'06 Training Register'!$A$6:$Y$55,15,FALSE),VLOOKUP(B120,'06 Training Register'!$A$6:$Y$55,12,FALSE)),""))</x:f>
      </x:c>
      <x:c r="E120" s="92"/>
      <x:c r="F120" s="94" t="str">
        <x:f>IFERROR(VLOOKUP(E120,'01 Staff Master'!$A$6:$M$105,2,FALSE),"")</x:f>
      </x:c>
      <x:c r="G120" s="94" t="str">
        <x:f>IFERROR(VLOOKUP(E120,'01 Staff Master'!$A$6:$M$105,3,FALSE),"")</x:f>
      </x:c>
      <x:c r="H120" s="94" t="str">
        <x:f>IFERROR(VLOOKUP(E120,'01 Staff Master'!$A$6:$M$105,5,FALSE),"")</x:f>
      </x:c>
      <x:c r="I120" s="94" t="str">
        <x:f>IFERROR(VLOOKUP(B120,'06 Training Register'!$A$6:$Y$55,4,FALSE),"")</x:f>
      </x:c>
      <x:c r="J120" s="92"/>
      <x:c r="K120" s="92"/>
      <x:c r="L120" s="92"/>
      <x:c r="M120" s="103"/>
      <x:c r="N120" s="103"/>
      <x:c r="O120" s="104" t="str">
        <x:f>IF(OR(M120="",N120=""),"",N120-M120)</x:f>
      </x:c>
      <x:c r="P120" s="103"/>
      <x:c r="Q120" s="94" t="str">
        <x:f>IF(OR(N120="",P120=""),"",IF(N120&gt;=P120,"Pass","Not Yet"))</x:f>
      </x:c>
      <x:c r="R120" s="92"/>
      <x:c r="S120" s="93"/>
      <x:c r="T120" s="102" t="str">
        <x:f>IF(OR(D120="",K120&lt;&gt;"Attended"),"",D120+3)</x:f>
      </x:c>
      <x:c r="U120" s="94" t="str">
        <x:f>IF(A120="","",IF(K120&lt;&gt;"Attended","N/A",IF(COUNTIFS('12 Training Evaluation'!$B$6:$B$155,B120,'12 Training Evaluation'!$C$6:$C$155,E120,'12 Training Evaluation'!$W$6:$W$155,"Complete")&gt;0,"Complete","Pending")))</x:f>
      </x:c>
      <x:c r="V120" s="102" t="str">
        <x:f>IF(OR(D120="",K120&lt;&gt;"Attended"),"",D120+30)</x:f>
      </x:c>
      <x:c r="W120" s="94" t="str">
        <x:f>IF(A120="","",IF(K120&lt;&gt;"Attended","N/A",IF(COUNTIFS('13 Effectiveness Review'!$B$6:$B$155,B120,'13 Effectiveness Review'!$C$6:$C$155,E120)&gt;0,"Reviewed",IF(V120&lt;TODAY(),"Overdue","Due"))))</x:f>
      </x:c>
      <x:c r="X120" s="92"/>
      <x:c r="Y120" s="92"/>
      <x:c r="Z120" s="92"/>
      <x:c r="AA120" s="85" t="str">
        <x:f>IF(E120="","",E120&amp;"|"&amp;COUNTIF($E$6:E120,E120))</x:f>
      </x:c>
      <x:c r="AB120" s="85" t="str">
        <x:f>IF(A120="","",A120)</x:f>
      </x:c>
      <x:c r="AC120" s="85" t="str">
        <x:f>IF(A120="","",B120)</x:f>
      </x:c>
      <x:c r="AD120" s="85" t="str">
        <x:f>IF(A120="","",C120)</x:f>
      </x:c>
      <x:c r="AE120" s="85" t="str">
        <x:f>IF(A120="","",D120)</x:f>
      </x:c>
      <x:c r="AF120" s="85" t="str">
        <x:f>IF(A120="","",L120)</x:f>
      </x:c>
      <x:c r="AG120" s="85" t="str">
        <x:f>IF(A120="","",K120)</x:f>
      </x:c>
      <x:c r="AH120" s="85" t="str">
        <x:f>IF(A120="","",Q120)</x:f>
      </x:c>
      <x:c r="AI120" s="85" t="str">
        <x:f>IF(A120="","",R120)</x:f>
      </x:c>
      <x:c r="AJ120" s="85" t="str">
        <x:f>IF(A120="","",U120)</x:f>
      </x:c>
      <x:c r="AK120" s="85" t="str">
        <x:f>IF(A120="","",W120)</x:f>
      </x:c>
      <x:c r="AL120" s="85" t="str">
        <x:f>IFERROR(IF(A120="","",Y120),"")</x:f>
      </x:c>
      <x:c r="AM120" s="85" t="str">
        <x:f>IFERROR(IF(A120="","",Z120),"")</x:f>
      </x:c>
    </x:row>
    <x:row r="121">
      <x:c r="A121" s="92"/>
      <x:c r="B121" s="92"/>
      <x:c r="C121" s="94" t="str">
        <x:f>IFERROR(VLOOKUP(B121,'06 Training Register'!$A$6:$Y$55,3,FALSE),"")</x:f>
      </x:c>
      <x:c r="D121" s="102" t="str">
        <x:f>IF(B121="","",IFERROR(IF(VLOOKUP(B121,'06 Training Register'!$A$6:$Y$55,15,FALSE)&gt;0,VLOOKUP(B121,'06 Training Register'!$A$6:$Y$55,15,FALSE),VLOOKUP(B121,'06 Training Register'!$A$6:$Y$55,12,FALSE)),""))</x:f>
      </x:c>
      <x:c r="E121" s="92"/>
      <x:c r="F121" s="94" t="str">
        <x:f>IFERROR(VLOOKUP(E121,'01 Staff Master'!$A$6:$M$105,2,FALSE),"")</x:f>
      </x:c>
      <x:c r="G121" s="94" t="str">
        <x:f>IFERROR(VLOOKUP(E121,'01 Staff Master'!$A$6:$M$105,3,FALSE),"")</x:f>
      </x:c>
      <x:c r="H121" s="94" t="str">
        <x:f>IFERROR(VLOOKUP(E121,'01 Staff Master'!$A$6:$M$105,5,FALSE),"")</x:f>
      </x:c>
      <x:c r="I121" s="94" t="str">
        <x:f>IFERROR(VLOOKUP(B121,'06 Training Register'!$A$6:$Y$55,4,FALSE),"")</x:f>
      </x:c>
      <x:c r="J121" s="92"/>
      <x:c r="K121" s="92"/>
      <x:c r="L121" s="92"/>
      <x:c r="M121" s="103"/>
      <x:c r="N121" s="103"/>
      <x:c r="O121" s="104" t="str">
        <x:f>IF(OR(M121="",N121=""),"",N121-M121)</x:f>
      </x:c>
      <x:c r="P121" s="103"/>
      <x:c r="Q121" s="94" t="str">
        <x:f>IF(OR(N121="",P121=""),"",IF(N121&gt;=P121,"Pass","Not Yet"))</x:f>
      </x:c>
      <x:c r="R121" s="92"/>
      <x:c r="S121" s="93"/>
      <x:c r="T121" s="102" t="str">
        <x:f>IF(OR(D121="",K121&lt;&gt;"Attended"),"",D121+3)</x:f>
      </x:c>
      <x:c r="U121" s="94" t="str">
        <x:f>IF(A121="","",IF(K121&lt;&gt;"Attended","N/A",IF(COUNTIFS('12 Training Evaluation'!$B$6:$B$155,B121,'12 Training Evaluation'!$C$6:$C$155,E121,'12 Training Evaluation'!$W$6:$W$155,"Complete")&gt;0,"Complete","Pending")))</x:f>
      </x:c>
      <x:c r="V121" s="102" t="str">
        <x:f>IF(OR(D121="",K121&lt;&gt;"Attended"),"",D121+30)</x:f>
      </x:c>
      <x:c r="W121" s="94" t="str">
        <x:f>IF(A121="","",IF(K121&lt;&gt;"Attended","N/A",IF(COUNTIFS('13 Effectiveness Review'!$B$6:$B$155,B121,'13 Effectiveness Review'!$C$6:$C$155,E121)&gt;0,"Reviewed",IF(V121&lt;TODAY(),"Overdue","Due"))))</x:f>
      </x:c>
      <x:c r="X121" s="92"/>
      <x:c r="Y121" s="92"/>
      <x:c r="Z121" s="92"/>
      <x:c r="AA121" s="85" t="str">
        <x:f>IF(E121="","",E121&amp;"|"&amp;COUNTIF($E$6:E121,E121))</x:f>
      </x:c>
      <x:c r="AB121" s="85" t="str">
        <x:f>IF(A121="","",A121)</x:f>
      </x:c>
      <x:c r="AC121" s="85" t="str">
        <x:f>IF(A121="","",B121)</x:f>
      </x:c>
      <x:c r="AD121" s="85" t="str">
        <x:f>IF(A121="","",C121)</x:f>
      </x:c>
      <x:c r="AE121" s="85" t="str">
        <x:f>IF(A121="","",D121)</x:f>
      </x:c>
      <x:c r="AF121" s="85" t="str">
        <x:f>IF(A121="","",L121)</x:f>
      </x:c>
      <x:c r="AG121" s="85" t="str">
        <x:f>IF(A121="","",K121)</x:f>
      </x:c>
      <x:c r="AH121" s="85" t="str">
        <x:f>IF(A121="","",Q121)</x:f>
      </x:c>
      <x:c r="AI121" s="85" t="str">
        <x:f>IF(A121="","",R121)</x:f>
      </x:c>
      <x:c r="AJ121" s="85" t="str">
        <x:f>IF(A121="","",U121)</x:f>
      </x:c>
      <x:c r="AK121" s="85" t="str">
        <x:f>IF(A121="","",W121)</x:f>
      </x:c>
      <x:c r="AL121" s="85" t="str">
        <x:f>IFERROR(IF(A121="","",Y121),"")</x:f>
      </x:c>
      <x:c r="AM121" s="85" t="str">
        <x:f>IFERROR(IF(A121="","",Z121),"")</x:f>
      </x:c>
    </x:row>
    <x:row r="122">
      <x:c r="A122" s="92"/>
      <x:c r="B122" s="92"/>
      <x:c r="C122" s="94" t="str">
        <x:f>IFERROR(VLOOKUP(B122,'06 Training Register'!$A$6:$Y$55,3,FALSE),"")</x:f>
      </x:c>
      <x:c r="D122" s="102" t="str">
        <x:f>IF(B122="","",IFERROR(IF(VLOOKUP(B122,'06 Training Register'!$A$6:$Y$55,15,FALSE)&gt;0,VLOOKUP(B122,'06 Training Register'!$A$6:$Y$55,15,FALSE),VLOOKUP(B122,'06 Training Register'!$A$6:$Y$55,12,FALSE)),""))</x:f>
      </x:c>
      <x:c r="E122" s="92"/>
      <x:c r="F122" s="94" t="str">
        <x:f>IFERROR(VLOOKUP(E122,'01 Staff Master'!$A$6:$M$105,2,FALSE),"")</x:f>
      </x:c>
      <x:c r="G122" s="94" t="str">
        <x:f>IFERROR(VLOOKUP(E122,'01 Staff Master'!$A$6:$M$105,3,FALSE),"")</x:f>
      </x:c>
      <x:c r="H122" s="94" t="str">
        <x:f>IFERROR(VLOOKUP(E122,'01 Staff Master'!$A$6:$M$105,5,FALSE),"")</x:f>
      </x:c>
      <x:c r="I122" s="94" t="str">
        <x:f>IFERROR(VLOOKUP(B122,'06 Training Register'!$A$6:$Y$55,4,FALSE),"")</x:f>
      </x:c>
      <x:c r="J122" s="92"/>
      <x:c r="K122" s="92"/>
      <x:c r="L122" s="92"/>
      <x:c r="M122" s="103"/>
      <x:c r="N122" s="103"/>
      <x:c r="O122" s="104" t="str">
        <x:f>IF(OR(M122="",N122=""),"",N122-M122)</x:f>
      </x:c>
      <x:c r="P122" s="103"/>
      <x:c r="Q122" s="94" t="str">
        <x:f>IF(OR(N122="",P122=""),"",IF(N122&gt;=P122,"Pass","Not Yet"))</x:f>
      </x:c>
      <x:c r="R122" s="92"/>
      <x:c r="S122" s="93"/>
      <x:c r="T122" s="102" t="str">
        <x:f>IF(OR(D122="",K122&lt;&gt;"Attended"),"",D122+3)</x:f>
      </x:c>
      <x:c r="U122" s="94" t="str">
        <x:f>IF(A122="","",IF(K122&lt;&gt;"Attended","N/A",IF(COUNTIFS('12 Training Evaluation'!$B$6:$B$155,B122,'12 Training Evaluation'!$C$6:$C$155,E122,'12 Training Evaluation'!$W$6:$W$155,"Complete")&gt;0,"Complete","Pending")))</x:f>
      </x:c>
      <x:c r="V122" s="102" t="str">
        <x:f>IF(OR(D122="",K122&lt;&gt;"Attended"),"",D122+30)</x:f>
      </x:c>
      <x:c r="W122" s="94" t="str">
        <x:f>IF(A122="","",IF(K122&lt;&gt;"Attended","N/A",IF(COUNTIFS('13 Effectiveness Review'!$B$6:$B$155,B122,'13 Effectiveness Review'!$C$6:$C$155,E122)&gt;0,"Reviewed",IF(V122&lt;TODAY(),"Overdue","Due"))))</x:f>
      </x:c>
      <x:c r="X122" s="92"/>
      <x:c r="Y122" s="92"/>
      <x:c r="Z122" s="92"/>
      <x:c r="AA122" s="85" t="str">
        <x:f>IF(E122="","",E122&amp;"|"&amp;COUNTIF($E$6:E122,E122))</x:f>
      </x:c>
      <x:c r="AB122" s="85" t="str">
        <x:f>IF(A122="","",A122)</x:f>
      </x:c>
      <x:c r="AC122" s="85" t="str">
        <x:f>IF(A122="","",B122)</x:f>
      </x:c>
      <x:c r="AD122" s="85" t="str">
        <x:f>IF(A122="","",C122)</x:f>
      </x:c>
      <x:c r="AE122" s="85" t="str">
        <x:f>IF(A122="","",D122)</x:f>
      </x:c>
      <x:c r="AF122" s="85" t="str">
        <x:f>IF(A122="","",L122)</x:f>
      </x:c>
      <x:c r="AG122" s="85" t="str">
        <x:f>IF(A122="","",K122)</x:f>
      </x:c>
      <x:c r="AH122" s="85" t="str">
        <x:f>IF(A122="","",Q122)</x:f>
      </x:c>
      <x:c r="AI122" s="85" t="str">
        <x:f>IF(A122="","",R122)</x:f>
      </x:c>
      <x:c r="AJ122" s="85" t="str">
        <x:f>IF(A122="","",U122)</x:f>
      </x:c>
      <x:c r="AK122" s="85" t="str">
        <x:f>IF(A122="","",W122)</x:f>
      </x:c>
      <x:c r="AL122" s="85" t="str">
        <x:f>IFERROR(IF(A122="","",Y122),"")</x:f>
      </x:c>
      <x:c r="AM122" s="85" t="str">
        <x:f>IFERROR(IF(A122="","",Z122),"")</x:f>
      </x:c>
    </x:row>
    <x:row r="123">
      <x:c r="A123" s="92"/>
      <x:c r="B123" s="92"/>
      <x:c r="C123" s="94" t="str">
        <x:f>IFERROR(VLOOKUP(B123,'06 Training Register'!$A$6:$Y$55,3,FALSE),"")</x:f>
      </x:c>
      <x:c r="D123" s="102" t="str">
        <x:f>IF(B123="","",IFERROR(IF(VLOOKUP(B123,'06 Training Register'!$A$6:$Y$55,15,FALSE)&gt;0,VLOOKUP(B123,'06 Training Register'!$A$6:$Y$55,15,FALSE),VLOOKUP(B123,'06 Training Register'!$A$6:$Y$55,12,FALSE)),""))</x:f>
      </x:c>
      <x:c r="E123" s="92"/>
      <x:c r="F123" s="94" t="str">
        <x:f>IFERROR(VLOOKUP(E123,'01 Staff Master'!$A$6:$M$105,2,FALSE),"")</x:f>
      </x:c>
      <x:c r="G123" s="94" t="str">
        <x:f>IFERROR(VLOOKUP(E123,'01 Staff Master'!$A$6:$M$105,3,FALSE),"")</x:f>
      </x:c>
      <x:c r="H123" s="94" t="str">
        <x:f>IFERROR(VLOOKUP(E123,'01 Staff Master'!$A$6:$M$105,5,FALSE),"")</x:f>
      </x:c>
      <x:c r="I123" s="94" t="str">
        <x:f>IFERROR(VLOOKUP(B123,'06 Training Register'!$A$6:$Y$55,4,FALSE),"")</x:f>
      </x:c>
      <x:c r="J123" s="92"/>
      <x:c r="K123" s="92"/>
      <x:c r="L123" s="92"/>
      <x:c r="M123" s="103"/>
      <x:c r="N123" s="103"/>
      <x:c r="O123" s="104" t="str">
        <x:f>IF(OR(M123="",N123=""),"",N123-M123)</x:f>
      </x:c>
      <x:c r="P123" s="103"/>
      <x:c r="Q123" s="94" t="str">
        <x:f>IF(OR(N123="",P123=""),"",IF(N123&gt;=P123,"Pass","Not Yet"))</x:f>
      </x:c>
      <x:c r="R123" s="92"/>
      <x:c r="S123" s="93"/>
      <x:c r="T123" s="102" t="str">
        <x:f>IF(OR(D123="",K123&lt;&gt;"Attended"),"",D123+3)</x:f>
      </x:c>
      <x:c r="U123" s="94" t="str">
        <x:f>IF(A123="","",IF(K123&lt;&gt;"Attended","N/A",IF(COUNTIFS('12 Training Evaluation'!$B$6:$B$155,B123,'12 Training Evaluation'!$C$6:$C$155,E123,'12 Training Evaluation'!$W$6:$W$155,"Complete")&gt;0,"Complete","Pending")))</x:f>
      </x:c>
      <x:c r="V123" s="102" t="str">
        <x:f>IF(OR(D123="",K123&lt;&gt;"Attended"),"",D123+30)</x:f>
      </x:c>
      <x:c r="W123" s="94" t="str">
        <x:f>IF(A123="","",IF(K123&lt;&gt;"Attended","N/A",IF(COUNTIFS('13 Effectiveness Review'!$B$6:$B$155,B123,'13 Effectiveness Review'!$C$6:$C$155,E123)&gt;0,"Reviewed",IF(V123&lt;TODAY(),"Overdue","Due"))))</x:f>
      </x:c>
      <x:c r="X123" s="92"/>
      <x:c r="Y123" s="92"/>
      <x:c r="Z123" s="92"/>
      <x:c r="AA123" s="85" t="str">
        <x:f>IF(E123="","",E123&amp;"|"&amp;COUNTIF($E$6:E123,E123))</x:f>
      </x:c>
      <x:c r="AB123" s="85" t="str">
        <x:f>IF(A123="","",A123)</x:f>
      </x:c>
      <x:c r="AC123" s="85" t="str">
        <x:f>IF(A123="","",B123)</x:f>
      </x:c>
      <x:c r="AD123" s="85" t="str">
        <x:f>IF(A123="","",C123)</x:f>
      </x:c>
      <x:c r="AE123" s="85" t="str">
        <x:f>IF(A123="","",D123)</x:f>
      </x:c>
      <x:c r="AF123" s="85" t="str">
        <x:f>IF(A123="","",L123)</x:f>
      </x:c>
      <x:c r="AG123" s="85" t="str">
        <x:f>IF(A123="","",K123)</x:f>
      </x:c>
      <x:c r="AH123" s="85" t="str">
        <x:f>IF(A123="","",Q123)</x:f>
      </x:c>
      <x:c r="AI123" s="85" t="str">
        <x:f>IF(A123="","",R123)</x:f>
      </x:c>
      <x:c r="AJ123" s="85" t="str">
        <x:f>IF(A123="","",U123)</x:f>
      </x:c>
      <x:c r="AK123" s="85" t="str">
        <x:f>IF(A123="","",W123)</x:f>
      </x:c>
      <x:c r="AL123" s="85" t="str">
        <x:f>IFERROR(IF(A123="","",Y123),"")</x:f>
      </x:c>
      <x:c r="AM123" s="85" t="str">
        <x:f>IFERROR(IF(A123="","",Z123),"")</x:f>
      </x:c>
    </x:row>
    <x:row r="124">
      <x:c r="A124" s="92"/>
      <x:c r="B124" s="92"/>
      <x:c r="C124" s="94" t="str">
        <x:f>IFERROR(VLOOKUP(B124,'06 Training Register'!$A$6:$Y$55,3,FALSE),"")</x:f>
      </x:c>
      <x:c r="D124" s="102" t="str">
        <x:f>IF(B124="","",IFERROR(IF(VLOOKUP(B124,'06 Training Register'!$A$6:$Y$55,15,FALSE)&gt;0,VLOOKUP(B124,'06 Training Register'!$A$6:$Y$55,15,FALSE),VLOOKUP(B124,'06 Training Register'!$A$6:$Y$55,12,FALSE)),""))</x:f>
      </x:c>
      <x:c r="E124" s="92"/>
      <x:c r="F124" s="94" t="str">
        <x:f>IFERROR(VLOOKUP(E124,'01 Staff Master'!$A$6:$M$105,2,FALSE),"")</x:f>
      </x:c>
      <x:c r="G124" s="94" t="str">
        <x:f>IFERROR(VLOOKUP(E124,'01 Staff Master'!$A$6:$M$105,3,FALSE),"")</x:f>
      </x:c>
      <x:c r="H124" s="94" t="str">
        <x:f>IFERROR(VLOOKUP(E124,'01 Staff Master'!$A$6:$M$105,5,FALSE),"")</x:f>
      </x:c>
      <x:c r="I124" s="94" t="str">
        <x:f>IFERROR(VLOOKUP(B124,'06 Training Register'!$A$6:$Y$55,4,FALSE),"")</x:f>
      </x:c>
      <x:c r="J124" s="92"/>
      <x:c r="K124" s="92"/>
      <x:c r="L124" s="92"/>
      <x:c r="M124" s="103"/>
      <x:c r="N124" s="103"/>
      <x:c r="O124" s="104" t="str">
        <x:f>IF(OR(M124="",N124=""),"",N124-M124)</x:f>
      </x:c>
      <x:c r="P124" s="103"/>
      <x:c r="Q124" s="94" t="str">
        <x:f>IF(OR(N124="",P124=""),"",IF(N124&gt;=P124,"Pass","Not Yet"))</x:f>
      </x:c>
      <x:c r="R124" s="92"/>
      <x:c r="S124" s="93"/>
      <x:c r="T124" s="102" t="str">
        <x:f>IF(OR(D124="",K124&lt;&gt;"Attended"),"",D124+3)</x:f>
      </x:c>
      <x:c r="U124" s="94" t="str">
        <x:f>IF(A124="","",IF(K124&lt;&gt;"Attended","N/A",IF(COUNTIFS('12 Training Evaluation'!$B$6:$B$155,B124,'12 Training Evaluation'!$C$6:$C$155,E124,'12 Training Evaluation'!$W$6:$W$155,"Complete")&gt;0,"Complete","Pending")))</x:f>
      </x:c>
      <x:c r="V124" s="102" t="str">
        <x:f>IF(OR(D124="",K124&lt;&gt;"Attended"),"",D124+30)</x:f>
      </x:c>
      <x:c r="W124" s="94" t="str">
        <x:f>IF(A124="","",IF(K124&lt;&gt;"Attended","N/A",IF(COUNTIFS('13 Effectiveness Review'!$B$6:$B$155,B124,'13 Effectiveness Review'!$C$6:$C$155,E124)&gt;0,"Reviewed",IF(V124&lt;TODAY(),"Overdue","Due"))))</x:f>
      </x:c>
      <x:c r="X124" s="92"/>
      <x:c r="Y124" s="92"/>
      <x:c r="Z124" s="92"/>
      <x:c r="AA124" s="85" t="str">
        <x:f>IF(E124="","",E124&amp;"|"&amp;COUNTIF($E$6:E124,E124))</x:f>
      </x:c>
      <x:c r="AB124" s="85" t="str">
        <x:f>IF(A124="","",A124)</x:f>
      </x:c>
      <x:c r="AC124" s="85" t="str">
        <x:f>IF(A124="","",B124)</x:f>
      </x:c>
      <x:c r="AD124" s="85" t="str">
        <x:f>IF(A124="","",C124)</x:f>
      </x:c>
      <x:c r="AE124" s="85" t="str">
        <x:f>IF(A124="","",D124)</x:f>
      </x:c>
      <x:c r="AF124" s="85" t="str">
        <x:f>IF(A124="","",L124)</x:f>
      </x:c>
      <x:c r="AG124" s="85" t="str">
        <x:f>IF(A124="","",K124)</x:f>
      </x:c>
      <x:c r="AH124" s="85" t="str">
        <x:f>IF(A124="","",Q124)</x:f>
      </x:c>
      <x:c r="AI124" s="85" t="str">
        <x:f>IF(A124="","",R124)</x:f>
      </x:c>
      <x:c r="AJ124" s="85" t="str">
        <x:f>IF(A124="","",U124)</x:f>
      </x:c>
      <x:c r="AK124" s="85" t="str">
        <x:f>IF(A124="","",W124)</x:f>
      </x:c>
      <x:c r="AL124" s="85" t="str">
        <x:f>IFERROR(IF(A124="","",Y124),"")</x:f>
      </x:c>
      <x:c r="AM124" s="85" t="str">
        <x:f>IFERROR(IF(A124="","",Z124),"")</x:f>
      </x:c>
    </x:row>
    <x:row r="125">
      <x:c r="A125" s="92"/>
      <x:c r="B125" s="92"/>
      <x:c r="C125" s="94" t="str">
        <x:f>IFERROR(VLOOKUP(B125,'06 Training Register'!$A$6:$Y$55,3,FALSE),"")</x:f>
      </x:c>
      <x:c r="D125" s="102" t="str">
        <x:f>IF(B125="","",IFERROR(IF(VLOOKUP(B125,'06 Training Register'!$A$6:$Y$55,15,FALSE)&gt;0,VLOOKUP(B125,'06 Training Register'!$A$6:$Y$55,15,FALSE),VLOOKUP(B125,'06 Training Register'!$A$6:$Y$55,12,FALSE)),""))</x:f>
      </x:c>
      <x:c r="E125" s="92"/>
      <x:c r="F125" s="94" t="str">
        <x:f>IFERROR(VLOOKUP(E125,'01 Staff Master'!$A$6:$M$105,2,FALSE),"")</x:f>
      </x:c>
      <x:c r="G125" s="94" t="str">
        <x:f>IFERROR(VLOOKUP(E125,'01 Staff Master'!$A$6:$M$105,3,FALSE),"")</x:f>
      </x:c>
      <x:c r="H125" s="94" t="str">
        <x:f>IFERROR(VLOOKUP(E125,'01 Staff Master'!$A$6:$M$105,5,FALSE),"")</x:f>
      </x:c>
      <x:c r="I125" s="94" t="str">
        <x:f>IFERROR(VLOOKUP(B125,'06 Training Register'!$A$6:$Y$55,4,FALSE),"")</x:f>
      </x:c>
      <x:c r="J125" s="92"/>
      <x:c r="K125" s="92"/>
      <x:c r="L125" s="92"/>
      <x:c r="M125" s="103"/>
      <x:c r="N125" s="103"/>
      <x:c r="O125" s="104" t="str">
        <x:f>IF(OR(M125="",N125=""),"",N125-M125)</x:f>
      </x:c>
      <x:c r="P125" s="103"/>
      <x:c r="Q125" s="94" t="str">
        <x:f>IF(OR(N125="",P125=""),"",IF(N125&gt;=P125,"Pass","Not Yet"))</x:f>
      </x:c>
      <x:c r="R125" s="92"/>
      <x:c r="S125" s="93"/>
      <x:c r="T125" s="102" t="str">
        <x:f>IF(OR(D125="",K125&lt;&gt;"Attended"),"",D125+3)</x:f>
      </x:c>
      <x:c r="U125" s="94" t="str">
        <x:f>IF(A125="","",IF(K125&lt;&gt;"Attended","N/A",IF(COUNTIFS('12 Training Evaluation'!$B$6:$B$155,B125,'12 Training Evaluation'!$C$6:$C$155,E125,'12 Training Evaluation'!$W$6:$W$155,"Complete")&gt;0,"Complete","Pending")))</x:f>
      </x:c>
      <x:c r="V125" s="102" t="str">
        <x:f>IF(OR(D125="",K125&lt;&gt;"Attended"),"",D125+30)</x:f>
      </x:c>
      <x:c r="W125" s="94" t="str">
        <x:f>IF(A125="","",IF(K125&lt;&gt;"Attended","N/A",IF(COUNTIFS('13 Effectiveness Review'!$B$6:$B$155,B125,'13 Effectiveness Review'!$C$6:$C$155,E125)&gt;0,"Reviewed",IF(V125&lt;TODAY(),"Overdue","Due"))))</x:f>
      </x:c>
      <x:c r="X125" s="92"/>
      <x:c r="Y125" s="92"/>
      <x:c r="Z125" s="92"/>
      <x:c r="AA125" s="85" t="str">
        <x:f>IF(E125="","",E125&amp;"|"&amp;COUNTIF($E$6:E125,E125))</x:f>
      </x:c>
      <x:c r="AB125" s="85" t="str">
        <x:f>IF(A125="","",A125)</x:f>
      </x:c>
      <x:c r="AC125" s="85" t="str">
        <x:f>IF(A125="","",B125)</x:f>
      </x:c>
      <x:c r="AD125" s="85" t="str">
        <x:f>IF(A125="","",C125)</x:f>
      </x:c>
      <x:c r="AE125" s="85" t="str">
        <x:f>IF(A125="","",D125)</x:f>
      </x:c>
      <x:c r="AF125" s="85" t="str">
        <x:f>IF(A125="","",L125)</x:f>
      </x:c>
      <x:c r="AG125" s="85" t="str">
        <x:f>IF(A125="","",K125)</x:f>
      </x:c>
      <x:c r="AH125" s="85" t="str">
        <x:f>IF(A125="","",Q125)</x:f>
      </x:c>
      <x:c r="AI125" s="85" t="str">
        <x:f>IF(A125="","",R125)</x:f>
      </x:c>
      <x:c r="AJ125" s="85" t="str">
        <x:f>IF(A125="","",U125)</x:f>
      </x:c>
      <x:c r="AK125" s="85" t="str">
        <x:f>IF(A125="","",W125)</x:f>
      </x:c>
      <x:c r="AL125" s="85" t="str">
        <x:f>IFERROR(IF(A125="","",Y125),"")</x:f>
      </x:c>
      <x:c r="AM125" s="85" t="str">
        <x:f>IFERROR(IF(A125="","",Z125),"")</x:f>
      </x:c>
    </x:row>
    <x:row r="126">
      <x:c r="A126" s="92"/>
      <x:c r="B126" s="92"/>
      <x:c r="C126" s="94" t="str">
        <x:f>IFERROR(VLOOKUP(B126,'06 Training Register'!$A$6:$Y$55,3,FALSE),"")</x:f>
      </x:c>
      <x:c r="D126" s="102" t="str">
        <x:f>IF(B126="","",IFERROR(IF(VLOOKUP(B126,'06 Training Register'!$A$6:$Y$55,15,FALSE)&gt;0,VLOOKUP(B126,'06 Training Register'!$A$6:$Y$55,15,FALSE),VLOOKUP(B126,'06 Training Register'!$A$6:$Y$55,12,FALSE)),""))</x:f>
      </x:c>
      <x:c r="E126" s="92"/>
      <x:c r="F126" s="94" t="str">
        <x:f>IFERROR(VLOOKUP(E126,'01 Staff Master'!$A$6:$M$105,2,FALSE),"")</x:f>
      </x:c>
      <x:c r="G126" s="94" t="str">
        <x:f>IFERROR(VLOOKUP(E126,'01 Staff Master'!$A$6:$M$105,3,FALSE),"")</x:f>
      </x:c>
      <x:c r="H126" s="94" t="str">
        <x:f>IFERROR(VLOOKUP(E126,'01 Staff Master'!$A$6:$M$105,5,FALSE),"")</x:f>
      </x:c>
      <x:c r="I126" s="94" t="str">
        <x:f>IFERROR(VLOOKUP(B126,'06 Training Register'!$A$6:$Y$55,4,FALSE),"")</x:f>
      </x:c>
      <x:c r="J126" s="92"/>
      <x:c r="K126" s="92"/>
      <x:c r="L126" s="92"/>
      <x:c r="M126" s="103"/>
      <x:c r="N126" s="103"/>
      <x:c r="O126" s="104" t="str">
        <x:f>IF(OR(M126="",N126=""),"",N126-M126)</x:f>
      </x:c>
      <x:c r="P126" s="103"/>
      <x:c r="Q126" s="94" t="str">
        <x:f>IF(OR(N126="",P126=""),"",IF(N126&gt;=P126,"Pass","Not Yet"))</x:f>
      </x:c>
      <x:c r="R126" s="92"/>
      <x:c r="S126" s="93"/>
      <x:c r="T126" s="102" t="str">
        <x:f>IF(OR(D126="",K126&lt;&gt;"Attended"),"",D126+3)</x:f>
      </x:c>
      <x:c r="U126" s="94" t="str">
        <x:f>IF(A126="","",IF(K126&lt;&gt;"Attended","N/A",IF(COUNTIFS('12 Training Evaluation'!$B$6:$B$155,B126,'12 Training Evaluation'!$C$6:$C$155,E126,'12 Training Evaluation'!$W$6:$W$155,"Complete")&gt;0,"Complete","Pending")))</x:f>
      </x:c>
      <x:c r="V126" s="102" t="str">
        <x:f>IF(OR(D126="",K126&lt;&gt;"Attended"),"",D126+30)</x:f>
      </x:c>
      <x:c r="W126" s="94" t="str">
        <x:f>IF(A126="","",IF(K126&lt;&gt;"Attended","N/A",IF(COUNTIFS('13 Effectiveness Review'!$B$6:$B$155,B126,'13 Effectiveness Review'!$C$6:$C$155,E126)&gt;0,"Reviewed",IF(V126&lt;TODAY(),"Overdue","Due"))))</x:f>
      </x:c>
      <x:c r="X126" s="92"/>
      <x:c r="Y126" s="92"/>
      <x:c r="Z126" s="92"/>
      <x:c r="AA126" s="85" t="str">
        <x:f>IF(E126="","",E126&amp;"|"&amp;COUNTIF($E$6:E126,E126))</x:f>
      </x:c>
      <x:c r="AB126" s="85" t="str">
        <x:f>IF(A126="","",A126)</x:f>
      </x:c>
      <x:c r="AC126" s="85" t="str">
        <x:f>IF(A126="","",B126)</x:f>
      </x:c>
      <x:c r="AD126" s="85" t="str">
        <x:f>IF(A126="","",C126)</x:f>
      </x:c>
      <x:c r="AE126" s="85" t="str">
        <x:f>IF(A126="","",D126)</x:f>
      </x:c>
      <x:c r="AF126" s="85" t="str">
        <x:f>IF(A126="","",L126)</x:f>
      </x:c>
      <x:c r="AG126" s="85" t="str">
        <x:f>IF(A126="","",K126)</x:f>
      </x:c>
      <x:c r="AH126" s="85" t="str">
        <x:f>IF(A126="","",Q126)</x:f>
      </x:c>
      <x:c r="AI126" s="85" t="str">
        <x:f>IF(A126="","",R126)</x:f>
      </x:c>
      <x:c r="AJ126" s="85" t="str">
        <x:f>IF(A126="","",U126)</x:f>
      </x:c>
      <x:c r="AK126" s="85" t="str">
        <x:f>IF(A126="","",W126)</x:f>
      </x:c>
      <x:c r="AL126" s="85" t="str">
        <x:f>IFERROR(IF(A126="","",Y126),"")</x:f>
      </x:c>
      <x:c r="AM126" s="85" t="str">
        <x:f>IFERROR(IF(A126="","",Z126),"")</x:f>
      </x:c>
    </x:row>
    <x:row r="127">
      <x:c r="A127" s="92"/>
      <x:c r="B127" s="92"/>
      <x:c r="C127" s="94" t="str">
        <x:f>IFERROR(VLOOKUP(B127,'06 Training Register'!$A$6:$Y$55,3,FALSE),"")</x:f>
      </x:c>
      <x:c r="D127" s="102" t="str">
        <x:f>IF(B127="","",IFERROR(IF(VLOOKUP(B127,'06 Training Register'!$A$6:$Y$55,15,FALSE)&gt;0,VLOOKUP(B127,'06 Training Register'!$A$6:$Y$55,15,FALSE),VLOOKUP(B127,'06 Training Register'!$A$6:$Y$55,12,FALSE)),""))</x:f>
      </x:c>
      <x:c r="E127" s="92"/>
      <x:c r="F127" s="94" t="str">
        <x:f>IFERROR(VLOOKUP(E127,'01 Staff Master'!$A$6:$M$105,2,FALSE),"")</x:f>
      </x:c>
      <x:c r="G127" s="94" t="str">
        <x:f>IFERROR(VLOOKUP(E127,'01 Staff Master'!$A$6:$M$105,3,FALSE),"")</x:f>
      </x:c>
      <x:c r="H127" s="94" t="str">
        <x:f>IFERROR(VLOOKUP(E127,'01 Staff Master'!$A$6:$M$105,5,FALSE),"")</x:f>
      </x:c>
      <x:c r="I127" s="94" t="str">
        <x:f>IFERROR(VLOOKUP(B127,'06 Training Register'!$A$6:$Y$55,4,FALSE),"")</x:f>
      </x:c>
      <x:c r="J127" s="92"/>
      <x:c r="K127" s="92"/>
      <x:c r="L127" s="92"/>
      <x:c r="M127" s="103"/>
      <x:c r="N127" s="103"/>
      <x:c r="O127" s="104" t="str">
        <x:f>IF(OR(M127="",N127=""),"",N127-M127)</x:f>
      </x:c>
      <x:c r="P127" s="103"/>
      <x:c r="Q127" s="94" t="str">
        <x:f>IF(OR(N127="",P127=""),"",IF(N127&gt;=P127,"Pass","Not Yet"))</x:f>
      </x:c>
      <x:c r="R127" s="92"/>
      <x:c r="S127" s="93"/>
      <x:c r="T127" s="102" t="str">
        <x:f>IF(OR(D127="",K127&lt;&gt;"Attended"),"",D127+3)</x:f>
      </x:c>
      <x:c r="U127" s="94" t="str">
        <x:f>IF(A127="","",IF(K127&lt;&gt;"Attended","N/A",IF(COUNTIFS('12 Training Evaluation'!$B$6:$B$155,B127,'12 Training Evaluation'!$C$6:$C$155,E127,'12 Training Evaluation'!$W$6:$W$155,"Complete")&gt;0,"Complete","Pending")))</x:f>
      </x:c>
      <x:c r="V127" s="102" t="str">
        <x:f>IF(OR(D127="",K127&lt;&gt;"Attended"),"",D127+30)</x:f>
      </x:c>
      <x:c r="W127" s="94" t="str">
        <x:f>IF(A127="","",IF(K127&lt;&gt;"Attended","N/A",IF(COUNTIFS('13 Effectiveness Review'!$B$6:$B$155,B127,'13 Effectiveness Review'!$C$6:$C$155,E127)&gt;0,"Reviewed",IF(V127&lt;TODAY(),"Overdue","Due"))))</x:f>
      </x:c>
      <x:c r="X127" s="92"/>
      <x:c r="Y127" s="92"/>
      <x:c r="Z127" s="92"/>
      <x:c r="AA127" s="85" t="str">
        <x:f>IF(E127="","",E127&amp;"|"&amp;COUNTIF($E$6:E127,E127))</x:f>
      </x:c>
      <x:c r="AB127" s="85" t="str">
        <x:f>IF(A127="","",A127)</x:f>
      </x:c>
      <x:c r="AC127" s="85" t="str">
        <x:f>IF(A127="","",B127)</x:f>
      </x:c>
      <x:c r="AD127" s="85" t="str">
        <x:f>IF(A127="","",C127)</x:f>
      </x:c>
      <x:c r="AE127" s="85" t="str">
        <x:f>IF(A127="","",D127)</x:f>
      </x:c>
      <x:c r="AF127" s="85" t="str">
        <x:f>IF(A127="","",L127)</x:f>
      </x:c>
      <x:c r="AG127" s="85" t="str">
        <x:f>IF(A127="","",K127)</x:f>
      </x:c>
      <x:c r="AH127" s="85" t="str">
        <x:f>IF(A127="","",Q127)</x:f>
      </x:c>
      <x:c r="AI127" s="85" t="str">
        <x:f>IF(A127="","",R127)</x:f>
      </x:c>
      <x:c r="AJ127" s="85" t="str">
        <x:f>IF(A127="","",U127)</x:f>
      </x:c>
      <x:c r="AK127" s="85" t="str">
        <x:f>IF(A127="","",W127)</x:f>
      </x:c>
      <x:c r="AL127" s="85" t="str">
        <x:f>IFERROR(IF(A127="","",Y127),"")</x:f>
      </x:c>
      <x:c r="AM127" s="85" t="str">
        <x:f>IFERROR(IF(A127="","",Z127),"")</x:f>
      </x:c>
    </x:row>
    <x:row r="128">
      <x:c r="A128" s="92"/>
      <x:c r="B128" s="92"/>
      <x:c r="C128" s="94" t="str">
        <x:f>IFERROR(VLOOKUP(B128,'06 Training Register'!$A$6:$Y$55,3,FALSE),"")</x:f>
      </x:c>
      <x:c r="D128" s="102" t="str">
        <x:f>IF(B128="","",IFERROR(IF(VLOOKUP(B128,'06 Training Register'!$A$6:$Y$55,15,FALSE)&gt;0,VLOOKUP(B128,'06 Training Register'!$A$6:$Y$55,15,FALSE),VLOOKUP(B128,'06 Training Register'!$A$6:$Y$55,12,FALSE)),""))</x:f>
      </x:c>
      <x:c r="E128" s="92"/>
      <x:c r="F128" s="94" t="str">
        <x:f>IFERROR(VLOOKUP(E128,'01 Staff Master'!$A$6:$M$105,2,FALSE),"")</x:f>
      </x:c>
      <x:c r="G128" s="94" t="str">
        <x:f>IFERROR(VLOOKUP(E128,'01 Staff Master'!$A$6:$M$105,3,FALSE),"")</x:f>
      </x:c>
      <x:c r="H128" s="94" t="str">
        <x:f>IFERROR(VLOOKUP(E128,'01 Staff Master'!$A$6:$M$105,5,FALSE),"")</x:f>
      </x:c>
      <x:c r="I128" s="94" t="str">
        <x:f>IFERROR(VLOOKUP(B128,'06 Training Register'!$A$6:$Y$55,4,FALSE),"")</x:f>
      </x:c>
      <x:c r="J128" s="92"/>
      <x:c r="K128" s="92"/>
      <x:c r="L128" s="92"/>
      <x:c r="M128" s="103"/>
      <x:c r="N128" s="103"/>
      <x:c r="O128" s="104" t="str">
        <x:f>IF(OR(M128="",N128=""),"",N128-M128)</x:f>
      </x:c>
      <x:c r="P128" s="103"/>
      <x:c r="Q128" s="94" t="str">
        <x:f>IF(OR(N128="",P128=""),"",IF(N128&gt;=P128,"Pass","Not Yet"))</x:f>
      </x:c>
      <x:c r="R128" s="92"/>
      <x:c r="S128" s="93"/>
      <x:c r="T128" s="102" t="str">
        <x:f>IF(OR(D128="",K128&lt;&gt;"Attended"),"",D128+3)</x:f>
      </x:c>
      <x:c r="U128" s="94" t="str">
        <x:f>IF(A128="","",IF(K128&lt;&gt;"Attended","N/A",IF(COUNTIFS('12 Training Evaluation'!$B$6:$B$155,B128,'12 Training Evaluation'!$C$6:$C$155,E128,'12 Training Evaluation'!$W$6:$W$155,"Complete")&gt;0,"Complete","Pending")))</x:f>
      </x:c>
      <x:c r="V128" s="102" t="str">
        <x:f>IF(OR(D128="",K128&lt;&gt;"Attended"),"",D128+30)</x:f>
      </x:c>
      <x:c r="W128" s="94" t="str">
        <x:f>IF(A128="","",IF(K128&lt;&gt;"Attended","N/A",IF(COUNTIFS('13 Effectiveness Review'!$B$6:$B$155,B128,'13 Effectiveness Review'!$C$6:$C$155,E128)&gt;0,"Reviewed",IF(V128&lt;TODAY(),"Overdue","Due"))))</x:f>
      </x:c>
      <x:c r="X128" s="92"/>
      <x:c r="Y128" s="92"/>
      <x:c r="Z128" s="92"/>
      <x:c r="AA128" s="85" t="str">
        <x:f>IF(E128="","",E128&amp;"|"&amp;COUNTIF($E$6:E128,E128))</x:f>
      </x:c>
      <x:c r="AB128" s="85" t="str">
        <x:f>IF(A128="","",A128)</x:f>
      </x:c>
      <x:c r="AC128" s="85" t="str">
        <x:f>IF(A128="","",B128)</x:f>
      </x:c>
      <x:c r="AD128" s="85" t="str">
        <x:f>IF(A128="","",C128)</x:f>
      </x:c>
      <x:c r="AE128" s="85" t="str">
        <x:f>IF(A128="","",D128)</x:f>
      </x:c>
      <x:c r="AF128" s="85" t="str">
        <x:f>IF(A128="","",L128)</x:f>
      </x:c>
      <x:c r="AG128" s="85" t="str">
        <x:f>IF(A128="","",K128)</x:f>
      </x:c>
      <x:c r="AH128" s="85" t="str">
        <x:f>IF(A128="","",Q128)</x:f>
      </x:c>
      <x:c r="AI128" s="85" t="str">
        <x:f>IF(A128="","",R128)</x:f>
      </x:c>
      <x:c r="AJ128" s="85" t="str">
        <x:f>IF(A128="","",U128)</x:f>
      </x:c>
      <x:c r="AK128" s="85" t="str">
        <x:f>IF(A128="","",W128)</x:f>
      </x:c>
      <x:c r="AL128" s="85" t="str">
        <x:f>IFERROR(IF(A128="","",Y128),"")</x:f>
      </x:c>
      <x:c r="AM128" s="85" t="str">
        <x:f>IFERROR(IF(A128="","",Z128),"")</x:f>
      </x:c>
    </x:row>
    <x:row r="129">
      <x:c r="A129" s="92"/>
      <x:c r="B129" s="92"/>
      <x:c r="C129" s="94" t="str">
        <x:f>IFERROR(VLOOKUP(B129,'06 Training Register'!$A$6:$Y$55,3,FALSE),"")</x:f>
      </x:c>
      <x:c r="D129" s="102" t="str">
        <x:f>IF(B129="","",IFERROR(IF(VLOOKUP(B129,'06 Training Register'!$A$6:$Y$55,15,FALSE)&gt;0,VLOOKUP(B129,'06 Training Register'!$A$6:$Y$55,15,FALSE),VLOOKUP(B129,'06 Training Register'!$A$6:$Y$55,12,FALSE)),""))</x:f>
      </x:c>
      <x:c r="E129" s="92"/>
      <x:c r="F129" s="94" t="str">
        <x:f>IFERROR(VLOOKUP(E129,'01 Staff Master'!$A$6:$M$105,2,FALSE),"")</x:f>
      </x:c>
      <x:c r="G129" s="94" t="str">
        <x:f>IFERROR(VLOOKUP(E129,'01 Staff Master'!$A$6:$M$105,3,FALSE),"")</x:f>
      </x:c>
      <x:c r="H129" s="94" t="str">
        <x:f>IFERROR(VLOOKUP(E129,'01 Staff Master'!$A$6:$M$105,5,FALSE),"")</x:f>
      </x:c>
      <x:c r="I129" s="94" t="str">
        <x:f>IFERROR(VLOOKUP(B129,'06 Training Register'!$A$6:$Y$55,4,FALSE),"")</x:f>
      </x:c>
      <x:c r="J129" s="92"/>
      <x:c r="K129" s="92"/>
      <x:c r="L129" s="92"/>
      <x:c r="M129" s="103"/>
      <x:c r="N129" s="103"/>
      <x:c r="O129" s="104" t="str">
        <x:f>IF(OR(M129="",N129=""),"",N129-M129)</x:f>
      </x:c>
      <x:c r="P129" s="103"/>
      <x:c r="Q129" s="94" t="str">
        <x:f>IF(OR(N129="",P129=""),"",IF(N129&gt;=P129,"Pass","Not Yet"))</x:f>
      </x:c>
      <x:c r="R129" s="92"/>
      <x:c r="S129" s="93"/>
      <x:c r="T129" s="102" t="str">
        <x:f>IF(OR(D129="",K129&lt;&gt;"Attended"),"",D129+3)</x:f>
      </x:c>
      <x:c r="U129" s="94" t="str">
        <x:f>IF(A129="","",IF(K129&lt;&gt;"Attended","N/A",IF(COUNTIFS('12 Training Evaluation'!$B$6:$B$155,B129,'12 Training Evaluation'!$C$6:$C$155,E129,'12 Training Evaluation'!$W$6:$W$155,"Complete")&gt;0,"Complete","Pending")))</x:f>
      </x:c>
      <x:c r="V129" s="102" t="str">
        <x:f>IF(OR(D129="",K129&lt;&gt;"Attended"),"",D129+30)</x:f>
      </x:c>
      <x:c r="W129" s="94" t="str">
        <x:f>IF(A129="","",IF(K129&lt;&gt;"Attended","N/A",IF(COUNTIFS('13 Effectiveness Review'!$B$6:$B$155,B129,'13 Effectiveness Review'!$C$6:$C$155,E129)&gt;0,"Reviewed",IF(V129&lt;TODAY(),"Overdue","Due"))))</x:f>
      </x:c>
      <x:c r="X129" s="92"/>
      <x:c r="Y129" s="92"/>
      <x:c r="Z129" s="92"/>
      <x:c r="AA129" s="85" t="str">
        <x:f>IF(E129="","",E129&amp;"|"&amp;COUNTIF($E$6:E129,E129))</x:f>
      </x:c>
      <x:c r="AB129" s="85" t="str">
        <x:f>IF(A129="","",A129)</x:f>
      </x:c>
      <x:c r="AC129" s="85" t="str">
        <x:f>IF(A129="","",B129)</x:f>
      </x:c>
      <x:c r="AD129" s="85" t="str">
        <x:f>IF(A129="","",C129)</x:f>
      </x:c>
      <x:c r="AE129" s="85" t="str">
        <x:f>IF(A129="","",D129)</x:f>
      </x:c>
      <x:c r="AF129" s="85" t="str">
        <x:f>IF(A129="","",L129)</x:f>
      </x:c>
      <x:c r="AG129" s="85" t="str">
        <x:f>IF(A129="","",K129)</x:f>
      </x:c>
      <x:c r="AH129" s="85" t="str">
        <x:f>IF(A129="","",Q129)</x:f>
      </x:c>
      <x:c r="AI129" s="85" t="str">
        <x:f>IF(A129="","",R129)</x:f>
      </x:c>
      <x:c r="AJ129" s="85" t="str">
        <x:f>IF(A129="","",U129)</x:f>
      </x:c>
      <x:c r="AK129" s="85" t="str">
        <x:f>IF(A129="","",W129)</x:f>
      </x:c>
      <x:c r="AL129" s="85" t="str">
        <x:f>IFERROR(IF(A129="","",Y129),"")</x:f>
      </x:c>
      <x:c r="AM129" s="85" t="str">
        <x:f>IFERROR(IF(A129="","",Z129),"")</x:f>
      </x:c>
    </x:row>
    <x:row r="130">
      <x:c r="A130" s="92"/>
      <x:c r="B130" s="92"/>
      <x:c r="C130" s="94" t="str">
        <x:f>IFERROR(VLOOKUP(B130,'06 Training Register'!$A$6:$Y$55,3,FALSE),"")</x:f>
      </x:c>
      <x:c r="D130" s="102" t="str">
        <x:f>IF(B130="","",IFERROR(IF(VLOOKUP(B130,'06 Training Register'!$A$6:$Y$55,15,FALSE)&gt;0,VLOOKUP(B130,'06 Training Register'!$A$6:$Y$55,15,FALSE),VLOOKUP(B130,'06 Training Register'!$A$6:$Y$55,12,FALSE)),""))</x:f>
      </x:c>
      <x:c r="E130" s="92"/>
      <x:c r="F130" s="94" t="str">
        <x:f>IFERROR(VLOOKUP(E130,'01 Staff Master'!$A$6:$M$105,2,FALSE),"")</x:f>
      </x:c>
      <x:c r="G130" s="94" t="str">
        <x:f>IFERROR(VLOOKUP(E130,'01 Staff Master'!$A$6:$M$105,3,FALSE),"")</x:f>
      </x:c>
      <x:c r="H130" s="94" t="str">
        <x:f>IFERROR(VLOOKUP(E130,'01 Staff Master'!$A$6:$M$105,5,FALSE),"")</x:f>
      </x:c>
      <x:c r="I130" s="94" t="str">
        <x:f>IFERROR(VLOOKUP(B130,'06 Training Register'!$A$6:$Y$55,4,FALSE),"")</x:f>
      </x:c>
      <x:c r="J130" s="92"/>
      <x:c r="K130" s="92"/>
      <x:c r="L130" s="92"/>
      <x:c r="M130" s="103"/>
      <x:c r="N130" s="103"/>
      <x:c r="O130" s="104" t="str">
        <x:f>IF(OR(M130="",N130=""),"",N130-M130)</x:f>
      </x:c>
      <x:c r="P130" s="103"/>
      <x:c r="Q130" s="94" t="str">
        <x:f>IF(OR(N130="",P130=""),"",IF(N130&gt;=P130,"Pass","Not Yet"))</x:f>
      </x:c>
      <x:c r="R130" s="92"/>
      <x:c r="S130" s="93"/>
      <x:c r="T130" s="102" t="str">
        <x:f>IF(OR(D130="",K130&lt;&gt;"Attended"),"",D130+3)</x:f>
      </x:c>
      <x:c r="U130" s="94" t="str">
        <x:f>IF(A130="","",IF(K130&lt;&gt;"Attended","N/A",IF(COUNTIFS('12 Training Evaluation'!$B$6:$B$155,B130,'12 Training Evaluation'!$C$6:$C$155,E130,'12 Training Evaluation'!$W$6:$W$155,"Complete")&gt;0,"Complete","Pending")))</x:f>
      </x:c>
      <x:c r="V130" s="102" t="str">
        <x:f>IF(OR(D130="",K130&lt;&gt;"Attended"),"",D130+30)</x:f>
      </x:c>
      <x:c r="W130" s="94" t="str">
        <x:f>IF(A130="","",IF(K130&lt;&gt;"Attended","N/A",IF(COUNTIFS('13 Effectiveness Review'!$B$6:$B$155,B130,'13 Effectiveness Review'!$C$6:$C$155,E130)&gt;0,"Reviewed",IF(V130&lt;TODAY(),"Overdue","Due"))))</x:f>
      </x:c>
      <x:c r="X130" s="92"/>
      <x:c r="Y130" s="92"/>
      <x:c r="Z130" s="92"/>
      <x:c r="AA130" s="85" t="str">
        <x:f>IF(E130="","",E130&amp;"|"&amp;COUNTIF($E$6:E130,E130))</x:f>
      </x:c>
      <x:c r="AB130" s="85" t="str">
        <x:f>IF(A130="","",A130)</x:f>
      </x:c>
      <x:c r="AC130" s="85" t="str">
        <x:f>IF(A130="","",B130)</x:f>
      </x:c>
      <x:c r="AD130" s="85" t="str">
        <x:f>IF(A130="","",C130)</x:f>
      </x:c>
      <x:c r="AE130" s="85" t="str">
        <x:f>IF(A130="","",D130)</x:f>
      </x:c>
      <x:c r="AF130" s="85" t="str">
        <x:f>IF(A130="","",L130)</x:f>
      </x:c>
      <x:c r="AG130" s="85" t="str">
        <x:f>IF(A130="","",K130)</x:f>
      </x:c>
      <x:c r="AH130" s="85" t="str">
        <x:f>IF(A130="","",Q130)</x:f>
      </x:c>
      <x:c r="AI130" s="85" t="str">
        <x:f>IF(A130="","",R130)</x:f>
      </x:c>
      <x:c r="AJ130" s="85" t="str">
        <x:f>IF(A130="","",U130)</x:f>
      </x:c>
      <x:c r="AK130" s="85" t="str">
        <x:f>IF(A130="","",W130)</x:f>
      </x:c>
      <x:c r="AL130" s="85" t="str">
        <x:f>IFERROR(IF(A130="","",Y130),"")</x:f>
      </x:c>
      <x:c r="AM130" s="85" t="str">
        <x:f>IFERROR(IF(A130="","",Z130),"")</x:f>
      </x:c>
    </x:row>
    <x:row r="131">
      <x:c r="A131" s="92"/>
      <x:c r="B131" s="92"/>
      <x:c r="C131" s="94" t="str">
        <x:f>IFERROR(VLOOKUP(B131,'06 Training Register'!$A$6:$Y$55,3,FALSE),"")</x:f>
      </x:c>
      <x:c r="D131" s="102" t="str">
        <x:f>IF(B131="","",IFERROR(IF(VLOOKUP(B131,'06 Training Register'!$A$6:$Y$55,15,FALSE)&gt;0,VLOOKUP(B131,'06 Training Register'!$A$6:$Y$55,15,FALSE),VLOOKUP(B131,'06 Training Register'!$A$6:$Y$55,12,FALSE)),""))</x:f>
      </x:c>
      <x:c r="E131" s="92"/>
      <x:c r="F131" s="94" t="str">
        <x:f>IFERROR(VLOOKUP(E131,'01 Staff Master'!$A$6:$M$105,2,FALSE),"")</x:f>
      </x:c>
      <x:c r="G131" s="94" t="str">
        <x:f>IFERROR(VLOOKUP(E131,'01 Staff Master'!$A$6:$M$105,3,FALSE),"")</x:f>
      </x:c>
      <x:c r="H131" s="94" t="str">
        <x:f>IFERROR(VLOOKUP(E131,'01 Staff Master'!$A$6:$M$105,5,FALSE),"")</x:f>
      </x:c>
      <x:c r="I131" s="94" t="str">
        <x:f>IFERROR(VLOOKUP(B131,'06 Training Register'!$A$6:$Y$55,4,FALSE),"")</x:f>
      </x:c>
      <x:c r="J131" s="92"/>
      <x:c r="K131" s="92"/>
      <x:c r="L131" s="92"/>
      <x:c r="M131" s="103"/>
      <x:c r="N131" s="103"/>
      <x:c r="O131" s="104" t="str">
        <x:f>IF(OR(M131="",N131=""),"",N131-M131)</x:f>
      </x:c>
      <x:c r="P131" s="103"/>
      <x:c r="Q131" s="94" t="str">
        <x:f>IF(OR(N131="",P131=""),"",IF(N131&gt;=P131,"Pass","Not Yet"))</x:f>
      </x:c>
      <x:c r="R131" s="92"/>
      <x:c r="S131" s="93"/>
      <x:c r="T131" s="102" t="str">
        <x:f>IF(OR(D131="",K131&lt;&gt;"Attended"),"",D131+3)</x:f>
      </x:c>
      <x:c r="U131" s="94" t="str">
        <x:f>IF(A131="","",IF(K131&lt;&gt;"Attended","N/A",IF(COUNTIFS('12 Training Evaluation'!$B$6:$B$155,B131,'12 Training Evaluation'!$C$6:$C$155,E131,'12 Training Evaluation'!$W$6:$W$155,"Complete")&gt;0,"Complete","Pending")))</x:f>
      </x:c>
      <x:c r="V131" s="102" t="str">
        <x:f>IF(OR(D131="",K131&lt;&gt;"Attended"),"",D131+30)</x:f>
      </x:c>
      <x:c r="W131" s="94" t="str">
        <x:f>IF(A131="","",IF(K131&lt;&gt;"Attended","N/A",IF(COUNTIFS('13 Effectiveness Review'!$B$6:$B$155,B131,'13 Effectiveness Review'!$C$6:$C$155,E131)&gt;0,"Reviewed",IF(V131&lt;TODAY(),"Overdue","Due"))))</x:f>
      </x:c>
      <x:c r="X131" s="92"/>
      <x:c r="Y131" s="92"/>
      <x:c r="Z131" s="92"/>
      <x:c r="AA131" s="85" t="str">
        <x:f>IF(E131="","",E131&amp;"|"&amp;COUNTIF($E$6:E131,E131))</x:f>
      </x:c>
      <x:c r="AB131" s="85" t="str">
        <x:f>IF(A131="","",A131)</x:f>
      </x:c>
      <x:c r="AC131" s="85" t="str">
        <x:f>IF(A131="","",B131)</x:f>
      </x:c>
      <x:c r="AD131" s="85" t="str">
        <x:f>IF(A131="","",C131)</x:f>
      </x:c>
      <x:c r="AE131" s="85" t="str">
        <x:f>IF(A131="","",D131)</x:f>
      </x:c>
      <x:c r="AF131" s="85" t="str">
        <x:f>IF(A131="","",L131)</x:f>
      </x:c>
      <x:c r="AG131" s="85" t="str">
        <x:f>IF(A131="","",K131)</x:f>
      </x:c>
      <x:c r="AH131" s="85" t="str">
        <x:f>IF(A131="","",Q131)</x:f>
      </x:c>
      <x:c r="AI131" s="85" t="str">
        <x:f>IF(A131="","",R131)</x:f>
      </x:c>
      <x:c r="AJ131" s="85" t="str">
        <x:f>IF(A131="","",U131)</x:f>
      </x:c>
      <x:c r="AK131" s="85" t="str">
        <x:f>IF(A131="","",W131)</x:f>
      </x:c>
      <x:c r="AL131" s="85" t="str">
        <x:f>IFERROR(IF(A131="","",Y131),"")</x:f>
      </x:c>
      <x:c r="AM131" s="85" t="str">
        <x:f>IFERROR(IF(A131="","",Z131),"")</x:f>
      </x:c>
    </x:row>
    <x:row r="132">
      <x:c r="A132" s="92"/>
      <x:c r="B132" s="92"/>
      <x:c r="C132" s="94" t="str">
        <x:f>IFERROR(VLOOKUP(B132,'06 Training Register'!$A$6:$Y$55,3,FALSE),"")</x:f>
      </x:c>
      <x:c r="D132" s="102" t="str">
        <x:f>IF(B132="","",IFERROR(IF(VLOOKUP(B132,'06 Training Register'!$A$6:$Y$55,15,FALSE)&gt;0,VLOOKUP(B132,'06 Training Register'!$A$6:$Y$55,15,FALSE),VLOOKUP(B132,'06 Training Register'!$A$6:$Y$55,12,FALSE)),""))</x:f>
      </x:c>
      <x:c r="E132" s="92"/>
      <x:c r="F132" s="94" t="str">
        <x:f>IFERROR(VLOOKUP(E132,'01 Staff Master'!$A$6:$M$105,2,FALSE),"")</x:f>
      </x:c>
      <x:c r="G132" s="94" t="str">
        <x:f>IFERROR(VLOOKUP(E132,'01 Staff Master'!$A$6:$M$105,3,FALSE),"")</x:f>
      </x:c>
      <x:c r="H132" s="94" t="str">
        <x:f>IFERROR(VLOOKUP(E132,'01 Staff Master'!$A$6:$M$105,5,FALSE),"")</x:f>
      </x:c>
      <x:c r="I132" s="94" t="str">
        <x:f>IFERROR(VLOOKUP(B132,'06 Training Register'!$A$6:$Y$55,4,FALSE),"")</x:f>
      </x:c>
      <x:c r="J132" s="92"/>
      <x:c r="K132" s="92"/>
      <x:c r="L132" s="92"/>
      <x:c r="M132" s="103"/>
      <x:c r="N132" s="103"/>
      <x:c r="O132" s="104" t="str">
        <x:f>IF(OR(M132="",N132=""),"",N132-M132)</x:f>
      </x:c>
      <x:c r="P132" s="103"/>
      <x:c r="Q132" s="94" t="str">
        <x:f>IF(OR(N132="",P132=""),"",IF(N132&gt;=P132,"Pass","Not Yet"))</x:f>
      </x:c>
      <x:c r="R132" s="92"/>
      <x:c r="S132" s="93"/>
      <x:c r="T132" s="102" t="str">
        <x:f>IF(OR(D132="",K132&lt;&gt;"Attended"),"",D132+3)</x:f>
      </x:c>
      <x:c r="U132" s="94" t="str">
        <x:f>IF(A132="","",IF(K132&lt;&gt;"Attended","N/A",IF(COUNTIFS('12 Training Evaluation'!$B$6:$B$155,B132,'12 Training Evaluation'!$C$6:$C$155,E132,'12 Training Evaluation'!$W$6:$W$155,"Complete")&gt;0,"Complete","Pending")))</x:f>
      </x:c>
      <x:c r="V132" s="102" t="str">
        <x:f>IF(OR(D132="",K132&lt;&gt;"Attended"),"",D132+30)</x:f>
      </x:c>
      <x:c r="W132" s="94" t="str">
        <x:f>IF(A132="","",IF(K132&lt;&gt;"Attended","N/A",IF(COUNTIFS('13 Effectiveness Review'!$B$6:$B$155,B132,'13 Effectiveness Review'!$C$6:$C$155,E132)&gt;0,"Reviewed",IF(V132&lt;TODAY(),"Overdue","Due"))))</x:f>
      </x:c>
      <x:c r="X132" s="92"/>
      <x:c r="Y132" s="92"/>
      <x:c r="Z132" s="92"/>
      <x:c r="AA132" s="85" t="str">
        <x:f>IF(E132="","",E132&amp;"|"&amp;COUNTIF($E$6:E132,E132))</x:f>
      </x:c>
      <x:c r="AB132" s="85" t="str">
        <x:f>IF(A132="","",A132)</x:f>
      </x:c>
      <x:c r="AC132" s="85" t="str">
        <x:f>IF(A132="","",B132)</x:f>
      </x:c>
      <x:c r="AD132" s="85" t="str">
        <x:f>IF(A132="","",C132)</x:f>
      </x:c>
      <x:c r="AE132" s="85" t="str">
        <x:f>IF(A132="","",D132)</x:f>
      </x:c>
      <x:c r="AF132" s="85" t="str">
        <x:f>IF(A132="","",L132)</x:f>
      </x:c>
      <x:c r="AG132" s="85" t="str">
        <x:f>IF(A132="","",K132)</x:f>
      </x:c>
      <x:c r="AH132" s="85" t="str">
        <x:f>IF(A132="","",Q132)</x:f>
      </x:c>
      <x:c r="AI132" s="85" t="str">
        <x:f>IF(A132="","",R132)</x:f>
      </x:c>
      <x:c r="AJ132" s="85" t="str">
        <x:f>IF(A132="","",U132)</x:f>
      </x:c>
      <x:c r="AK132" s="85" t="str">
        <x:f>IF(A132="","",W132)</x:f>
      </x:c>
      <x:c r="AL132" s="85" t="str">
        <x:f>IFERROR(IF(A132="","",Y132),"")</x:f>
      </x:c>
      <x:c r="AM132" s="85" t="str">
        <x:f>IFERROR(IF(A132="","",Z132),"")</x:f>
      </x:c>
    </x:row>
    <x:row r="133">
      <x:c r="A133" s="92"/>
      <x:c r="B133" s="92"/>
      <x:c r="C133" s="94" t="str">
        <x:f>IFERROR(VLOOKUP(B133,'06 Training Register'!$A$6:$Y$55,3,FALSE),"")</x:f>
      </x:c>
      <x:c r="D133" s="102" t="str">
        <x:f>IF(B133="","",IFERROR(IF(VLOOKUP(B133,'06 Training Register'!$A$6:$Y$55,15,FALSE)&gt;0,VLOOKUP(B133,'06 Training Register'!$A$6:$Y$55,15,FALSE),VLOOKUP(B133,'06 Training Register'!$A$6:$Y$55,12,FALSE)),""))</x:f>
      </x:c>
      <x:c r="E133" s="92"/>
      <x:c r="F133" s="94" t="str">
        <x:f>IFERROR(VLOOKUP(E133,'01 Staff Master'!$A$6:$M$105,2,FALSE),"")</x:f>
      </x:c>
      <x:c r="G133" s="94" t="str">
        <x:f>IFERROR(VLOOKUP(E133,'01 Staff Master'!$A$6:$M$105,3,FALSE),"")</x:f>
      </x:c>
      <x:c r="H133" s="94" t="str">
        <x:f>IFERROR(VLOOKUP(E133,'01 Staff Master'!$A$6:$M$105,5,FALSE),"")</x:f>
      </x:c>
      <x:c r="I133" s="94" t="str">
        <x:f>IFERROR(VLOOKUP(B133,'06 Training Register'!$A$6:$Y$55,4,FALSE),"")</x:f>
      </x:c>
      <x:c r="J133" s="92"/>
      <x:c r="K133" s="92"/>
      <x:c r="L133" s="92"/>
      <x:c r="M133" s="103"/>
      <x:c r="N133" s="103"/>
      <x:c r="O133" s="104" t="str">
        <x:f>IF(OR(M133="",N133=""),"",N133-M133)</x:f>
      </x:c>
      <x:c r="P133" s="103"/>
      <x:c r="Q133" s="94" t="str">
        <x:f>IF(OR(N133="",P133=""),"",IF(N133&gt;=P133,"Pass","Not Yet"))</x:f>
      </x:c>
      <x:c r="R133" s="92"/>
      <x:c r="S133" s="93"/>
      <x:c r="T133" s="102" t="str">
        <x:f>IF(OR(D133="",K133&lt;&gt;"Attended"),"",D133+3)</x:f>
      </x:c>
      <x:c r="U133" s="94" t="str">
        <x:f>IF(A133="","",IF(K133&lt;&gt;"Attended","N/A",IF(COUNTIFS('12 Training Evaluation'!$B$6:$B$155,B133,'12 Training Evaluation'!$C$6:$C$155,E133,'12 Training Evaluation'!$W$6:$W$155,"Complete")&gt;0,"Complete","Pending")))</x:f>
      </x:c>
      <x:c r="V133" s="102" t="str">
        <x:f>IF(OR(D133="",K133&lt;&gt;"Attended"),"",D133+30)</x:f>
      </x:c>
      <x:c r="W133" s="94" t="str">
        <x:f>IF(A133="","",IF(K133&lt;&gt;"Attended","N/A",IF(COUNTIFS('13 Effectiveness Review'!$B$6:$B$155,B133,'13 Effectiveness Review'!$C$6:$C$155,E133)&gt;0,"Reviewed",IF(V133&lt;TODAY(),"Overdue","Due"))))</x:f>
      </x:c>
      <x:c r="X133" s="92"/>
      <x:c r="Y133" s="92"/>
      <x:c r="Z133" s="92"/>
      <x:c r="AA133" s="85" t="str">
        <x:f>IF(E133="","",E133&amp;"|"&amp;COUNTIF($E$6:E133,E133))</x:f>
      </x:c>
      <x:c r="AB133" s="85" t="str">
        <x:f>IF(A133="","",A133)</x:f>
      </x:c>
      <x:c r="AC133" s="85" t="str">
        <x:f>IF(A133="","",B133)</x:f>
      </x:c>
      <x:c r="AD133" s="85" t="str">
        <x:f>IF(A133="","",C133)</x:f>
      </x:c>
      <x:c r="AE133" s="85" t="str">
        <x:f>IF(A133="","",D133)</x:f>
      </x:c>
      <x:c r="AF133" s="85" t="str">
        <x:f>IF(A133="","",L133)</x:f>
      </x:c>
      <x:c r="AG133" s="85" t="str">
        <x:f>IF(A133="","",K133)</x:f>
      </x:c>
      <x:c r="AH133" s="85" t="str">
        <x:f>IF(A133="","",Q133)</x:f>
      </x:c>
      <x:c r="AI133" s="85" t="str">
        <x:f>IF(A133="","",R133)</x:f>
      </x:c>
      <x:c r="AJ133" s="85" t="str">
        <x:f>IF(A133="","",U133)</x:f>
      </x:c>
      <x:c r="AK133" s="85" t="str">
        <x:f>IF(A133="","",W133)</x:f>
      </x:c>
      <x:c r="AL133" s="85" t="str">
        <x:f>IFERROR(IF(A133="","",Y133),"")</x:f>
      </x:c>
      <x:c r="AM133" s="85" t="str">
        <x:f>IFERROR(IF(A133="","",Z133),"")</x:f>
      </x:c>
    </x:row>
    <x:row r="134">
      <x:c r="A134" s="92"/>
      <x:c r="B134" s="92"/>
      <x:c r="C134" s="94" t="str">
        <x:f>IFERROR(VLOOKUP(B134,'06 Training Register'!$A$6:$Y$55,3,FALSE),"")</x:f>
      </x:c>
      <x:c r="D134" s="102" t="str">
        <x:f>IF(B134="","",IFERROR(IF(VLOOKUP(B134,'06 Training Register'!$A$6:$Y$55,15,FALSE)&gt;0,VLOOKUP(B134,'06 Training Register'!$A$6:$Y$55,15,FALSE),VLOOKUP(B134,'06 Training Register'!$A$6:$Y$55,12,FALSE)),""))</x:f>
      </x:c>
      <x:c r="E134" s="92"/>
      <x:c r="F134" s="94" t="str">
        <x:f>IFERROR(VLOOKUP(E134,'01 Staff Master'!$A$6:$M$105,2,FALSE),"")</x:f>
      </x:c>
      <x:c r="G134" s="94" t="str">
        <x:f>IFERROR(VLOOKUP(E134,'01 Staff Master'!$A$6:$M$105,3,FALSE),"")</x:f>
      </x:c>
      <x:c r="H134" s="94" t="str">
        <x:f>IFERROR(VLOOKUP(E134,'01 Staff Master'!$A$6:$M$105,5,FALSE),"")</x:f>
      </x:c>
      <x:c r="I134" s="94" t="str">
        <x:f>IFERROR(VLOOKUP(B134,'06 Training Register'!$A$6:$Y$55,4,FALSE),"")</x:f>
      </x:c>
      <x:c r="J134" s="92"/>
      <x:c r="K134" s="92"/>
      <x:c r="L134" s="92"/>
      <x:c r="M134" s="103"/>
      <x:c r="N134" s="103"/>
      <x:c r="O134" s="104" t="str">
        <x:f>IF(OR(M134="",N134=""),"",N134-M134)</x:f>
      </x:c>
      <x:c r="P134" s="103"/>
      <x:c r="Q134" s="94" t="str">
        <x:f>IF(OR(N134="",P134=""),"",IF(N134&gt;=P134,"Pass","Not Yet"))</x:f>
      </x:c>
      <x:c r="R134" s="92"/>
      <x:c r="S134" s="93"/>
      <x:c r="T134" s="102" t="str">
        <x:f>IF(OR(D134="",K134&lt;&gt;"Attended"),"",D134+3)</x:f>
      </x:c>
      <x:c r="U134" s="94" t="str">
        <x:f>IF(A134="","",IF(K134&lt;&gt;"Attended","N/A",IF(COUNTIFS('12 Training Evaluation'!$B$6:$B$155,B134,'12 Training Evaluation'!$C$6:$C$155,E134,'12 Training Evaluation'!$W$6:$W$155,"Complete")&gt;0,"Complete","Pending")))</x:f>
      </x:c>
      <x:c r="V134" s="102" t="str">
        <x:f>IF(OR(D134="",K134&lt;&gt;"Attended"),"",D134+30)</x:f>
      </x:c>
      <x:c r="W134" s="94" t="str">
        <x:f>IF(A134="","",IF(K134&lt;&gt;"Attended","N/A",IF(COUNTIFS('13 Effectiveness Review'!$B$6:$B$155,B134,'13 Effectiveness Review'!$C$6:$C$155,E134)&gt;0,"Reviewed",IF(V134&lt;TODAY(),"Overdue","Due"))))</x:f>
      </x:c>
      <x:c r="X134" s="92"/>
      <x:c r="Y134" s="92"/>
      <x:c r="Z134" s="92"/>
      <x:c r="AA134" s="85" t="str">
        <x:f>IF(E134="","",E134&amp;"|"&amp;COUNTIF($E$6:E134,E134))</x:f>
      </x:c>
      <x:c r="AB134" s="85" t="str">
        <x:f>IF(A134="","",A134)</x:f>
      </x:c>
      <x:c r="AC134" s="85" t="str">
        <x:f>IF(A134="","",B134)</x:f>
      </x:c>
      <x:c r="AD134" s="85" t="str">
        <x:f>IF(A134="","",C134)</x:f>
      </x:c>
      <x:c r="AE134" s="85" t="str">
        <x:f>IF(A134="","",D134)</x:f>
      </x:c>
      <x:c r="AF134" s="85" t="str">
        <x:f>IF(A134="","",L134)</x:f>
      </x:c>
      <x:c r="AG134" s="85" t="str">
        <x:f>IF(A134="","",K134)</x:f>
      </x:c>
      <x:c r="AH134" s="85" t="str">
        <x:f>IF(A134="","",Q134)</x:f>
      </x:c>
      <x:c r="AI134" s="85" t="str">
        <x:f>IF(A134="","",R134)</x:f>
      </x:c>
      <x:c r="AJ134" s="85" t="str">
        <x:f>IF(A134="","",U134)</x:f>
      </x:c>
      <x:c r="AK134" s="85" t="str">
        <x:f>IF(A134="","",W134)</x:f>
      </x:c>
      <x:c r="AL134" s="85" t="str">
        <x:f>IFERROR(IF(A134="","",Y134),"")</x:f>
      </x:c>
      <x:c r="AM134" s="85" t="str">
        <x:f>IFERROR(IF(A134="","",Z134),"")</x:f>
      </x:c>
    </x:row>
    <x:row r="135">
      <x:c r="A135" s="92"/>
      <x:c r="B135" s="92"/>
      <x:c r="C135" s="94" t="str">
        <x:f>IFERROR(VLOOKUP(B135,'06 Training Register'!$A$6:$Y$55,3,FALSE),"")</x:f>
      </x:c>
      <x:c r="D135" s="102" t="str">
        <x:f>IF(B135="","",IFERROR(IF(VLOOKUP(B135,'06 Training Register'!$A$6:$Y$55,15,FALSE)&gt;0,VLOOKUP(B135,'06 Training Register'!$A$6:$Y$55,15,FALSE),VLOOKUP(B135,'06 Training Register'!$A$6:$Y$55,12,FALSE)),""))</x:f>
      </x:c>
      <x:c r="E135" s="92"/>
      <x:c r="F135" s="94" t="str">
        <x:f>IFERROR(VLOOKUP(E135,'01 Staff Master'!$A$6:$M$105,2,FALSE),"")</x:f>
      </x:c>
      <x:c r="G135" s="94" t="str">
        <x:f>IFERROR(VLOOKUP(E135,'01 Staff Master'!$A$6:$M$105,3,FALSE),"")</x:f>
      </x:c>
      <x:c r="H135" s="94" t="str">
        <x:f>IFERROR(VLOOKUP(E135,'01 Staff Master'!$A$6:$M$105,5,FALSE),"")</x:f>
      </x:c>
      <x:c r="I135" s="94" t="str">
        <x:f>IFERROR(VLOOKUP(B135,'06 Training Register'!$A$6:$Y$55,4,FALSE),"")</x:f>
      </x:c>
      <x:c r="J135" s="92"/>
      <x:c r="K135" s="92"/>
      <x:c r="L135" s="92"/>
      <x:c r="M135" s="103"/>
      <x:c r="N135" s="103"/>
      <x:c r="O135" s="104" t="str">
        <x:f>IF(OR(M135="",N135=""),"",N135-M135)</x:f>
      </x:c>
      <x:c r="P135" s="103"/>
      <x:c r="Q135" s="94" t="str">
        <x:f>IF(OR(N135="",P135=""),"",IF(N135&gt;=P135,"Pass","Not Yet"))</x:f>
      </x:c>
      <x:c r="R135" s="92"/>
      <x:c r="S135" s="93"/>
      <x:c r="T135" s="102" t="str">
        <x:f>IF(OR(D135="",K135&lt;&gt;"Attended"),"",D135+3)</x:f>
      </x:c>
      <x:c r="U135" s="94" t="str">
        <x:f>IF(A135="","",IF(K135&lt;&gt;"Attended","N/A",IF(COUNTIFS('12 Training Evaluation'!$B$6:$B$155,B135,'12 Training Evaluation'!$C$6:$C$155,E135,'12 Training Evaluation'!$W$6:$W$155,"Complete")&gt;0,"Complete","Pending")))</x:f>
      </x:c>
      <x:c r="V135" s="102" t="str">
        <x:f>IF(OR(D135="",K135&lt;&gt;"Attended"),"",D135+30)</x:f>
      </x:c>
      <x:c r="W135" s="94" t="str">
        <x:f>IF(A135="","",IF(K135&lt;&gt;"Attended","N/A",IF(COUNTIFS('13 Effectiveness Review'!$B$6:$B$155,B135,'13 Effectiveness Review'!$C$6:$C$155,E135)&gt;0,"Reviewed",IF(V135&lt;TODAY(),"Overdue","Due"))))</x:f>
      </x:c>
      <x:c r="X135" s="92"/>
      <x:c r="Y135" s="92"/>
      <x:c r="Z135" s="92"/>
      <x:c r="AA135" s="85" t="str">
        <x:f>IF(E135="","",E135&amp;"|"&amp;COUNTIF($E$6:E135,E135))</x:f>
      </x:c>
      <x:c r="AB135" s="85" t="str">
        <x:f>IF(A135="","",A135)</x:f>
      </x:c>
      <x:c r="AC135" s="85" t="str">
        <x:f>IF(A135="","",B135)</x:f>
      </x:c>
      <x:c r="AD135" s="85" t="str">
        <x:f>IF(A135="","",C135)</x:f>
      </x:c>
      <x:c r="AE135" s="85" t="str">
        <x:f>IF(A135="","",D135)</x:f>
      </x:c>
      <x:c r="AF135" s="85" t="str">
        <x:f>IF(A135="","",L135)</x:f>
      </x:c>
      <x:c r="AG135" s="85" t="str">
        <x:f>IF(A135="","",K135)</x:f>
      </x:c>
      <x:c r="AH135" s="85" t="str">
        <x:f>IF(A135="","",Q135)</x:f>
      </x:c>
      <x:c r="AI135" s="85" t="str">
        <x:f>IF(A135="","",R135)</x:f>
      </x:c>
      <x:c r="AJ135" s="85" t="str">
        <x:f>IF(A135="","",U135)</x:f>
      </x:c>
      <x:c r="AK135" s="85" t="str">
        <x:f>IF(A135="","",W135)</x:f>
      </x:c>
      <x:c r="AL135" s="85" t="str">
        <x:f>IFERROR(IF(A135="","",Y135),"")</x:f>
      </x:c>
      <x:c r="AM135" s="85" t="str">
        <x:f>IFERROR(IF(A135="","",Z135),"")</x:f>
      </x:c>
    </x:row>
    <x:row r="136">
      <x:c r="A136" s="92"/>
      <x:c r="B136" s="92"/>
      <x:c r="C136" s="94" t="str">
        <x:f>IFERROR(VLOOKUP(B136,'06 Training Register'!$A$6:$Y$55,3,FALSE),"")</x:f>
      </x:c>
      <x:c r="D136" s="102" t="str">
        <x:f>IF(B136="","",IFERROR(IF(VLOOKUP(B136,'06 Training Register'!$A$6:$Y$55,15,FALSE)&gt;0,VLOOKUP(B136,'06 Training Register'!$A$6:$Y$55,15,FALSE),VLOOKUP(B136,'06 Training Register'!$A$6:$Y$55,12,FALSE)),""))</x:f>
      </x:c>
      <x:c r="E136" s="92"/>
      <x:c r="F136" s="94" t="str">
        <x:f>IFERROR(VLOOKUP(E136,'01 Staff Master'!$A$6:$M$105,2,FALSE),"")</x:f>
      </x:c>
      <x:c r="G136" s="94" t="str">
        <x:f>IFERROR(VLOOKUP(E136,'01 Staff Master'!$A$6:$M$105,3,FALSE),"")</x:f>
      </x:c>
      <x:c r="H136" s="94" t="str">
        <x:f>IFERROR(VLOOKUP(E136,'01 Staff Master'!$A$6:$M$105,5,FALSE),"")</x:f>
      </x:c>
      <x:c r="I136" s="94" t="str">
        <x:f>IFERROR(VLOOKUP(B136,'06 Training Register'!$A$6:$Y$55,4,FALSE),"")</x:f>
      </x:c>
      <x:c r="J136" s="92"/>
      <x:c r="K136" s="92"/>
      <x:c r="L136" s="92"/>
      <x:c r="M136" s="103"/>
      <x:c r="N136" s="103"/>
      <x:c r="O136" s="104" t="str">
        <x:f>IF(OR(M136="",N136=""),"",N136-M136)</x:f>
      </x:c>
      <x:c r="P136" s="103"/>
      <x:c r="Q136" s="94" t="str">
        <x:f>IF(OR(N136="",P136=""),"",IF(N136&gt;=P136,"Pass","Not Yet"))</x:f>
      </x:c>
      <x:c r="R136" s="92"/>
      <x:c r="S136" s="93"/>
      <x:c r="T136" s="102" t="str">
        <x:f>IF(OR(D136="",K136&lt;&gt;"Attended"),"",D136+3)</x:f>
      </x:c>
      <x:c r="U136" s="94" t="str">
        <x:f>IF(A136="","",IF(K136&lt;&gt;"Attended","N/A",IF(COUNTIFS('12 Training Evaluation'!$B$6:$B$155,B136,'12 Training Evaluation'!$C$6:$C$155,E136,'12 Training Evaluation'!$W$6:$W$155,"Complete")&gt;0,"Complete","Pending")))</x:f>
      </x:c>
      <x:c r="V136" s="102" t="str">
        <x:f>IF(OR(D136="",K136&lt;&gt;"Attended"),"",D136+30)</x:f>
      </x:c>
      <x:c r="W136" s="94" t="str">
        <x:f>IF(A136="","",IF(K136&lt;&gt;"Attended","N/A",IF(COUNTIFS('13 Effectiveness Review'!$B$6:$B$155,B136,'13 Effectiveness Review'!$C$6:$C$155,E136)&gt;0,"Reviewed",IF(V136&lt;TODAY(),"Overdue","Due"))))</x:f>
      </x:c>
      <x:c r="X136" s="92"/>
      <x:c r="Y136" s="92"/>
      <x:c r="Z136" s="92"/>
      <x:c r="AA136" s="85" t="str">
        <x:f>IF(E136="","",E136&amp;"|"&amp;COUNTIF($E$6:E136,E136))</x:f>
      </x:c>
      <x:c r="AB136" s="85" t="str">
        <x:f>IF(A136="","",A136)</x:f>
      </x:c>
      <x:c r="AC136" s="85" t="str">
        <x:f>IF(A136="","",B136)</x:f>
      </x:c>
      <x:c r="AD136" s="85" t="str">
        <x:f>IF(A136="","",C136)</x:f>
      </x:c>
      <x:c r="AE136" s="85" t="str">
        <x:f>IF(A136="","",D136)</x:f>
      </x:c>
      <x:c r="AF136" s="85" t="str">
        <x:f>IF(A136="","",L136)</x:f>
      </x:c>
      <x:c r="AG136" s="85" t="str">
        <x:f>IF(A136="","",K136)</x:f>
      </x:c>
      <x:c r="AH136" s="85" t="str">
        <x:f>IF(A136="","",Q136)</x:f>
      </x:c>
      <x:c r="AI136" s="85" t="str">
        <x:f>IF(A136="","",R136)</x:f>
      </x:c>
      <x:c r="AJ136" s="85" t="str">
        <x:f>IF(A136="","",U136)</x:f>
      </x:c>
      <x:c r="AK136" s="85" t="str">
        <x:f>IF(A136="","",W136)</x:f>
      </x:c>
      <x:c r="AL136" s="85" t="str">
        <x:f>IFERROR(IF(A136="","",Y136),"")</x:f>
      </x:c>
      <x:c r="AM136" s="85" t="str">
        <x:f>IFERROR(IF(A136="","",Z136),"")</x:f>
      </x:c>
    </x:row>
    <x:row r="137">
      <x:c r="A137" s="92"/>
      <x:c r="B137" s="92"/>
      <x:c r="C137" s="94" t="str">
        <x:f>IFERROR(VLOOKUP(B137,'06 Training Register'!$A$6:$Y$55,3,FALSE),"")</x:f>
      </x:c>
      <x:c r="D137" s="102" t="str">
        <x:f>IF(B137="","",IFERROR(IF(VLOOKUP(B137,'06 Training Register'!$A$6:$Y$55,15,FALSE)&gt;0,VLOOKUP(B137,'06 Training Register'!$A$6:$Y$55,15,FALSE),VLOOKUP(B137,'06 Training Register'!$A$6:$Y$55,12,FALSE)),""))</x:f>
      </x:c>
      <x:c r="E137" s="92"/>
      <x:c r="F137" s="94" t="str">
        <x:f>IFERROR(VLOOKUP(E137,'01 Staff Master'!$A$6:$M$105,2,FALSE),"")</x:f>
      </x:c>
      <x:c r="G137" s="94" t="str">
        <x:f>IFERROR(VLOOKUP(E137,'01 Staff Master'!$A$6:$M$105,3,FALSE),"")</x:f>
      </x:c>
      <x:c r="H137" s="94" t="str">
        <x:f>IFERROR(VLOOKUP(E137,'01 Staff Master'!$A$6:$M$105,5,FALSE),"")</x:f>
      </x:c>
      <x:c r="I137" s="94" t="str">
        <x:f>IFERROR(VLOOKUP(B137,'06 Training Register'!$A$6:$Y$55,4,FALSE),"")</x:f>
      </x:c>
      <x:c r="J137" s="92"/>
      <x:c r="K137" s="92"/>
      <x:c r="L137" s="92"/>
      <x:c r="M137" s="103"/>
      <x:c r="N137" s="103"/>
      <x:c r="O137" s="104" t="str">
        <x:f>IF(OR(M137="",N137=""),"",N137-M137)</x:f>
      </x:c>
      <x:c r="P137" s="103"/>
      <x:c r="Q137" s="94" t="str">
        <x:f>IF(OR(N137="",P137=""),"",IF(N137&gt;=P137,"Pass","Not Yet"))</x:f>
      </x:c>
      <x:c r="R137" s="92"/>
      <x:c r="S137" s="93"/>
      <x:c r="T137" s="102" t="str">
        <x:f>IF(OR(D137="",K137&lt;&gt;"Attended"),"",D137+3)</x:f>
      </x:c>
      <x:c r="U137" s="94" t="str">
        <x:f>IF(A137="","",IF(K137&lt;&gt;"Attended","N/A",IF(COUNTIFS('12 Training Evaluation'!$B$6:$B$155,B137,'12 Training Evaluation'!$C$6:$C$155,E137,'12 Training Evaluation'!$W$6:$W$155,"Complete")&gt;0,"Complete","Pending")))</x:f>
      </x:c>
      <x:c r="V137" s="102" t="str">
        <x:f>IF(OR(D137="",K137&lt;&gt;"Attended"),"",D137+30)</x:f>
      </x:c>
      <x:c r="W137" s="94" t="str">
        <x:f>IF(A137="","",IF(K137&lt;&gt;"Attended","N/A",IF(COUNTIFS('13 Effectiveness Review'!$B$6:$B$155,B137,'13 Effectiveness Review'!$C$6:$C$155,E137)&gt;0,"Reviewed",IF(V137&lt;TODAY(),"Overdue","Due"))))</x:f>
      </x:c>
      <x:c r="X137" s="92"/>
      <x:c r="Y137" s="92"/>
      <x:c r="Z137" s="92"/>
      <x:c r="AA137" s="85" t="str">
        <x:f>IF(E137="","",E137&amp;"|"&amp;COUNTIF($E$6:E137,E137))</x:f>
      </x:c>
      <x:c r="AB137" s="85" t="str">
        <x:f>IF(A137="","",A137)</x:f>
      </x:c>
      <x:c r="AC137" s="85" t="str">
        <x:f>IF(A137="","",B137)</x:f>
      </x:c>
      <x:c r="AD137" s="85" t="str">
        <x:f>IF(A137="","",C137)</x:f>
      </x:c>
      <x:c r="AE137" s="85" t="str">
        <x:f>IF(A137="","",D137)</x:f>
      </x:c>
      <x:c r="AF137" s="85" t="str">
        <x:f>IF(A137="","",L137)</x:f>
      </x:c>
      <x:c r="AG137" s="85" t="str">
        <x:f>IF(A137="","",K137)</x:f>
      </x:c>
      <x:c r="AH137" s="85" t="str">
        <x:f>IF(A137="","",Q137)</x:f>
      </x:c>
      <x:c r="AI137" s="85" t="str">
        <x:f>IF(A137="","",R137)</x:f>
      </x:c>
      <x:c r="AJ137" s="85" t="str">
        <x:f>IF(A137="","",U137)</x:f>
      </x:c>
      <x:c r="AK137" s="85" t="str">
        <x:f>IF(A137="","",W137)</x:f>
      </x:c>
      <x:c r="AL137" s="85" t="str">
        <x:f>IFERROR(IF(A137="","",Y137),"")</x:f>
      </x:c>
      <x:c r="AM137" s="85" t="str">
        <x:f>IFERROR(IF(A137="","",Z137),"")</x:f>
      </x:c>
    </x:row>
    <x:row r="138">
      <x:c r="A138" s="92"/>
      <x:c r="B138" s="92"/>
      <x:c r="C138" s="94" t="str">
        <x:f>IFERROR(VLOOKUP(B138,'06 Training Register'!$A$6:$Y$55,3,FALSE),"")</x:f>
      </x:c>
      <x:c r="D138" s="102" t="str">
        <x:f>IF(B138="","",IFERROR(IF(VLOOKUP(B138,'06 Training Register'!$A$6:$Y$55,15,FALSE)&gt;0,VLOOKUP(B138,'06 Training Register'!$A$6:$Y$55,15,FALSE),VLOOKUP(B138,'06 Training Register'!$A$6:$Y$55,12,FALSE)),""))</x:f>
      </x:c>
      <x:c r="E138" s="92"/>
      <x:c r="F138" s="94" t="str">
        <x:f>IFERROR(VLOOKUP(E138,'01 Staff Master'!$A$6:$M$105,2,FALSE),"")</x:f>
      </x:c>
      <x:c r="G138" s="94" t="str">
        <x:f>IFERROR(VLOOKUP(E138,'01 Staff Master'!$A$6:$M$105,3,FALSE),"")</x:f>
      </x:c>
      <x:c r="H138" s="94" t="str">
        <x:f>IFERROR(VLOOKUP(E138,'01 Staff Master'!$A$6:$M$105,5,FALSE),"")</x:f>
      </x:c>
      <x:c r="I138" s="94" t="str">
        <x:f>IFERROR(VLOOKUP(B138,'06 Training Register'!$A$6:$Y$55,4,FALSE),"")</x:f>
      </x:c>
      <x:c r="J138" s="92"/>
      <x:c r="K138" s="92"/>
      <x:c r="L138" s="92"/>
      <x:c r="M138" s="103"/>
      <x:c r="N138" s="103"/>
      <x:c r="O138" s="104" t="str">
        <x:f>IF(OR(M138="",N138=""),"",N138-M138)</x:f>
      </x:c>
      <x:c r="P138" s="103"/>
      <x:c r="Q138" s="94" t="str">
        <x:f>IF(OR(N138="",P138=""),"",IF(N138&gt;=P138,"Pass","Not Yet"))</x:f>
      </x:c>
      <x:c r="R138" s="92"/>
      <x:c r="S138" s="93"/>
      <x:c r="T138" s="102" t="str">
        <x:f>IF(OR(D138="",K138&lt;&gt;"Attended"),"",D138+3)</x:f>
      </x:c>
      <x:c r="U138" s="94" t="str">
        <x:f>IF(A138="","",IF(K138&lt;&gt;"Attended","N/A",IF(COUNTIFS('12 Training Evaluation'!$B$6:$B$155,B138,'12 Training Evaluation'!$C$6:$C$155,E138,'12 Training Evaluation'!$W$6:$W$155,"Complete")&gt;0,"Complete","Pending")))</x:f>
      </x:c>
      <x:c r="V138" s="102" t="str">
        <x:f>IF(OR(D138="",K138&lt;&gt;"Attended"),"",D138+30)</x:f>
      </x:c>
      <x:c r="W138" s="94" t="str">
        <x:f>IF(A138="","",IF(K138&lt;&gt;"Attended","N/A",IF(COUNTIFS('13 Effectiveness Review'!$B$6:$B$155,B138,'13 Effectiveness Review'!$C$6:$C$155,E138)&gt;0,"Reviewed",IF(V138&lt;TODAY(),"Overdue","Due"))))</x:f>
      </x:c>
      <x:c r="X138" s="92"/>
      <x:c r="Y138" s="92"/>
      <x:c r="Z138" s="92"/>
      <x:c r="AA138" s="85" t="str">
        <x:f>IF(E138="","",E138&amp;"|"&amp;COUNTIF($E$6:E138,E138))</x:f>
      </x:c>
      <x:c r="AB138" s="85" t="str">
        <x:f>IF(A138="","",A138)</x:f>
      </x:c>
      <x:c r="AC138" s="85" t="str">
        <x:f>IF(A138="","",B138)</x:f>
      </x:c>
      <x:c r="AD138" s="85" t="str">
        <x:f>IF(A138="","",C138)</x:f>
      </x:c>
      <x:c r="AE138" s="85" t="str">
        <x:f>IF(A138="","",D138)</x:f>
      </x:c>
      <x:c r="AF138" s="85" t="str">
        <x:f>IF(A138="","",L138)</x:f>
      </x:c>
      <x:c r="AG138" s="85" t="str">
        <x:f>IF(A138="","",K138)</x:f>
      </x:c>
      <x:c r="AH138" s="85" t="str">
        <x:f>IF(A138="","",Q138)</x:f>
      </x:c>
      <x:c r="AI138" s="85" t="str">
        <x:f>IF(A138="","",R138)</x:f>
      </x:c>
      <x:c r="AJ138" s="85" t="str">
        <x:f>IF(A138="","",U138)</x:f>
      </x:c>
      <x:c r="AK138" s="85" t="str">
        <x:f>IF(A138="","",W138)</x:f>
      </x:c>
      <x:c r="AL138" s="85" t="str">
        <x:f>IFERROR(IF(A138="","",Y138),"")</x:f>
      </x:c>
      <x:c r="AM138" s="85" t="str">
        <x:f>IFERROR(IF(A138="","",Z138),"")</x:f>
      </x:c>
    </x:row>
    <x:row r="139">
      <x:c r="A139" s="92"/>
      <x:c r="B139" s="92"/>
      <x:c r="C139" s="94" t="str">
        <x:f>IFERROR(VLOOKUP(B139,'06 Training Register'!$A$6:$Y$55,3,FALSE),"")</x:f>
      </x:c>
      <x:c r="D139" s="102" t="str">
        <x:f>IF(B139="","",IFERROR(IF(VLOOKUP(B139,'06 Training Register'!$A$6:$Y$55,15,FALSE)&gt;0,VLOOKUP(B139,'06 Training Register'!$A$6:$Y$55,15,FALSE),VLOOKUP(B139,'06 Training Register'!$A$6:$Y$55,12,FALSE)),""))</x:f>
      </x:c>
      <x:c r="E139" s="92"/>
      <x:c r="F139" s="94" t="str">
        <x:f>IFERROR(VLOOKUP(E139,'01 Staff Master'!$A$6:$M$105,2,FALSE),"")</x:f>
      </x:c>
      <x:c r="G139" s="94" t="str">
        <x:f>IFERROR(VLOOKUP(E139,'01 Staff Master'!$A$6:$M$105,3,FALSE),"")</x:f>
      </x:c>
      <x:c r="H139" s="94" t="str">
        <x:f>IFERROR(VLOOKUP(E139,'01 Staff Master'!$A$6:$M$105,5,FALSE),"")</x:f>
      </x:c>
      <x:c r="I139" s="94" t="str">
        <x:f>IFERROR(VLOOKUP(B139,'06 Training Register'!$A$6:$Y$55,4,FALSE),"")</x:f>
      </x:c>
      <x:c r="J139" s="92"/>
      <x:c r="K139" s="92"/>
      <x:c r="L139" s="92"/>
      <x:c r="M139" s="103"/>
      <x:c r="N139" s="103"/>
      <x:c r="O139" s="104" t="str">
        <x:f>IF(OR(M139="",N139=""),"",N139-M139)</x:f>
      </x:c>
      <x:c r="P139" s="103"/>
      <x:c r="Q139" s="94" t="str">
        <x:f>IF(OR(N139="",P139=""),"",IF(N139&gt;=P139,"Pass","Not Yet"))</x:f>
      </x:c>
      <x:c r="R139" s="92"/>
      <x:c r="S139" s="93"/>
      <x:c r="T139" s="102" t="str">
        <x:f>IF(OR(D139="",K139&lt;&gt;"Attended"),"",D139+3)</x:f>
      </x:c>
      <x:c r="U139" s="94" t="str">
        <x:f>IF(A139="","",IF(K139&lt;&gt;"Attended","N/A",IF(COUNTIFS('12 Training Evaluation'!$B$6:$B$155,B139,'12 Training Evaluation'!$C$6:$C$155,E139,'12 Training Evaluation'!$W$6:$W$155,"Complete")&gt;0,"Complete","Pending")))</x:f>
      </x:c>
      <x:c r="V139" s="102" t="str">
        <x:f>IF(OR(D139="",K139&lt;&gt;"Attended"),"",D139+30)</x:f>
      </x:c>
      <x:c r="W139" s="94" t="str">
        <x:f>IF(A139="","",IF(K139&lt;&gt;"Attended","N/A",IF(COUNTIFS('13 Effectiveness Review'!$B$6:$B$155,B139,'13 Effectiveness Review'!$C$6:$C$155,E139)&gt;0,"Reviewed",IF(V139&lt;TODAY(),"Overdue","Due"))))</x:f>
      </x:c>
      <x:c r="X139" s="92"/>
      <x:c r="Y139" s="92"/>
      <x:c r="Z139" s="92"/>
      <x:c r="AA139" s="85" t="str">
        <x:f>IF(E139="","",E139&amp;"|"&amp;COUNTIF($E$6:E139,E139))</x:f>
      </x:c>
      <x:c r="AB139" s="85" t="str">
        <x:f>IF(A139="","",A139)</x:f>
      </x:c>
      <x:c r="AC139" s="85" t="str">
        <x:f>IF(A139="","",B139)</x:f>
      </x:c>
      <x:c r="AD139" s="85" t="str">
        <x:f>IF(A139="","",C139)</x:f>
      </x:c>
      <x:c r="AE139" s="85" t="str">
        <x:f>IF(A139="","",D139)</x:f>
      </x:c>
      <x:c r="AF139" s="85" t="str">
        <x:f>IF(A139="","",L139)</x:f>
      </x:c>
      <x:c r="AG139" s="85" t="str">
        <x:f>IF(A139="","",K139)</x:f>
      </x:c>
      <x:c r="AH139" s="85" t="str">
        <x:f>IF(A139="","",Q139)</x:f>
      </x:c>
      <x:c r="AI139" s="85" t="str">
        <x:f>IF(A139="","",R139)</x:f>
      </x:c>
      <x:c r="AJ139" s="85" t="str">
        <x:f>IF(A139="","",U139)</x:f>
      </x:c>
      <x:c r="AK139" s="85" t="str">
        <x:f>IF(A139="","",W139)</x:f>
      </x:c>
      <x:c r="AL139" s="85" t="str">
        <x:f>IFERROR(IF(A139="","",Y139),"")</x:f>
      </x:c>
      <x:c r="AM139" s="85" t="str">
        <x:f>IFERROR(IF(A139="","",Z139),"")</x:f>
      </x:c>
    </x:row>
    <x:row r="140">
      <x:c r="A140" s="92"/>
      <x:c r="B140" s="92"/>
      <x:c r="C140" s="94" t="str">
        <x:f>IFERROR(VLOOKUP(B140,'06 Training Register'!$A$6:$Y$55,3,FALSE),"")</x:f>
      </x:c>
      <x:c r="D140" s="102" t="str">
        <x:f>IF(B140="","",IFERROR(IF(VLOOKUP(B140,'06 Training Register'!$A$6:$Y$55,15,FALSE)&gt;0,VLOOKUP(B140,'06 Training Register'!$A$6:$Y$55,15,FALSE),VLOOKUP(B140,'06 Training Register'!$A$6:$Y$55,12,FALSE)),""))</x:f>
      </x:c>
      <x:c r="E140" s="92"/>
      <x:c r="F140" s="94" t="str">
        <x:f>IFERROR(VLOOKUP(E140,'01 Staff Master'!$A$6:$M$105,2,FALSE),"")</x:f>
      </x:c>
      <x:c r="G140" s="94" t="str">
        <x:f>IFERROR(VLOOKUP(E140,'01 Staff Master'!$A$6:$M$105,3,FALSE),"")</x:f>
      </x:c>
      <x:c r="H140" s="94" t="str">
        <x:f>IFERROR(VLOOKUP(E140,'01 Staff Master'!$A$6:$M$105,5,FALSE),"")</x:f>
      </x:c>
      <x:c r="I140" s="94" t="str">
        <x:f>IFERROR(VLOOKUP(B140,'06 Training Register'!$A$6:$Y$55,4,FALSE),"")</x:f>
      </x:c>
      <x:c r="J140" s="92"/>
      <x:c r="K140" s="92"/>
      <x:c r="L140" s="92"/>
      <x:c r="M140" s="103"/>
      <x:c r="N140" s="103"/>
      <x:c r="O140" s="104" t="str">
        <x:f>IF(OR(M140="",N140=""),"",N140-M140)</x:f>
      </x:c>
      <x:c r="P140" s="103"/>
      <x:c r="Q140" s="94" t="str">
        <x:f>IF(OR(N140="",P140=""),"",IF(N140&gt;=P140,"Pass","Not Yet"))</x:f>
      </x:c>
      <x:c r="R140" s="92"/>
      <x:c r="S140" s="93"/>
      <x:c r="T140" s="102" t="str">
        <x:f>IF(OR(D140="",K140&lt;&gt;"Attended"),"",D140+3)</x:f>
      </x:c>
      <x:c r="U140" s="94" t="str">
        <x:f>IF(A140="","",IF(K140&lt;&gt;"Attended","N/A",IF(COUNTIFS('12 Training Evaluation'!$B$6:$B$155,B140,'12 Training Evaluation'!$C$6:$C$155,E140,'12 Training Evaluation'!$W$6:$W$155,"Complete")&gt;0,"Complete","Pending")))</x:f>
      </x:c>
      <x:c r="V140" s="102" t="str">
        <x:f>IF(OR(D140="",K140&lt;&gt;"Attended"),"",D140+30)</x:f>
      </x:c>
      <x:c r="W140" s="94" t="str">
        <x:f>IF(A140="","",IF(K140&lt;&gt;"Attended","N/A",IF(COUNTIFS('13 Effectiveness Review'!$B$6:$B$155,B140,'13 Effectiveness Review'!$C$6:$C$155,E140)&gt;0,"Reviewed",IF(V140&lt;TODAY(),"Overdue","Due"))))</x:f>
      </x:c>
      <x:c r="X140" s="92"/>
      <x:c r="Y140" s="92"/>
      <x:c r="Z140" s="92"/>
      <x:c r="AA140" s="85" t="str">
        <x:f>IF(E140="","",E140&amp;"|"&amp;COUNTIF($E$6:E140,E140))</x:f>
      </x:c>
      <x:c r="AB140" s="85" t="str">
        <x:f>IF(A140="","",A140)</x:f>
      </x:c>
      <x:c r="AC140" s="85" t="str">
        <x:f>IF(A140="","",B140)</x:f>
      </x:c>
      <x:c r="AD140" s="85" t="str">
        <x:f>IF(A140="","",C140)</x:f>
      </x:c>
      <x:c r="AE140" s="85" t="str">
        <x:f>IF(A140="","",D140)</x:f>
      </x:c>
      <x:c r="AF140" s="85" t="str">
        <x:f>IF(A140="","",L140)</x:f>
      </x:c>
      <x:c r="AG140" s="85" t="str">
        <x:f>IF(A140="","",K140)</x:f>
      </x:c>
      <x:c r="AH140" s="85" t="str">
        <x:f>IF(A140="","",Q140)</x:f>
      </x:c>
      <x:c r="AI140" s="85" t="str">
        <x:f>IF(A140="","",R140)</x:f>
      </x:c>
      <x:c r="AJ140" s="85" t="str">
        <x:f>IF(A140="","",U140)</x:f>
      </x:c>
      <x:c r="AK140" s="85" t="str">
        <x:f>IF(A140="","",W140)</x:f>
      </x:c>
      <x:c r="AL140" s="85" t="str">
        <x:f>IFERROR(IF(A140="","",Y140),"")</x:f>
      </x:c>
      <x:c r="AM140" s="85" t="str">
        <x:f>IFERROR(IF(A140="","",Z140),"")</x:f>
      </x:c>
    </x:row>
    <x:row r="141">
      <x:c r="A141" s="92"/>
      <x:c r="B141" s="92"/>
      <x:c r="C141" s="94" t="str">
        <x:f>IFERROR(VLOOKUP(B141,'06 Training Register'!$A$6:$Y$55,3,FALSE),"")</x:f>
      </x:c>
      <x:c r="D141" s="102" t="str">
        <x:f>IF(B141="","",IFERROR(IF(VLOOKUP(B141,'06 Training Register'!$A$6:$Y$55,15,FALSE)&gt;0,VLOOKUP(B141,'06 Training Register'!$A$6:$Y$55,15,FALSE),VLOOKUP(B141,'06 Training Register'!$A$6:$Y$55,12,FALSE)),""))</x:f>
      </x:c>
      <x:c r="E141" s="92"/>
      <x:c r="F141" s="94" t="str">
        <x:f>IFERROR(VLOOKUP(E141,'01 Staff Master'!$A$6:$M$105,2,FALSE),"")</x:f>
      </x:c>
      <x:c r="G141" s="94" t="str">
        <x:f>IFERROR(VLOOKUP(E141,'01 Staff Master'!$A$6:$M$105,3,FALSE),"")</x:f>
      </x:c>
      <x:c r="H141" s="94" t="str">
        <x:f>IFERROR(VLOOKUP(E141,'01 Staff Master'!$A$6:$M$105,5,FALSE),"")</x:f>
      </x:c>
      <x:c r="I141" s="94" t="str">
        <x:f>IFERROR(VLOOKUP(B141,'06 Training Register'!$A$6:$Y$55,4,FALSE),"")</x:f>
      </x:c>
      <x:c r="J141" s="92"/>
      <x:c r="K141" s="92"/>
      <x:c r="L141" s="92"/>
      <x:c r="M141" s="103"/>
      <x:c r="N141" s="103"/>
      <x:c r="O141" s="104" t="str">
        <x:f>IF(OR(M141="",N141=""),"",N141-M141)</x:f>
      </x:c>
      <x:c r="P141" s="103"/>
      <x:c r="Q141" s="94" t="str">
        <x:f>IF(OR(N141="",P141=""),"",IF(N141&gt;=P141,"Pass","Not Yet"))</x:f>
      </x:c>
      <x:c r="R141" s="92"/>
      <x:c r="S141" s="93"/>
      <x:c r="T141" s="102" t="str">
        <x:f>IF(OR(D141="",K141&lt;&gt;"Attended"),"",D141+3)</x:f>
      </x:c>
      <x:c r="U141" s="94" t="str">
        <x:f>IF(A141="","",IF(K141&lt;&gt;"Attended","N/A",IF(COUNTIFS('12 Training Evaluation'!$B$6:$B$155,B141,'12 Training Evaluation'!$C$6:$C$155,E141,'12 Training Evaluation'!$W$6:$W$155,"Complete")&gt;0,"Complete","Pending")))</x:f>
      </x:c>
      <x:c r="V141" s="102" t="str">
        <x:f>IF(OR(D141="",K141&lt;&gt;"Attended"),"",D141+30)</x:f>
      </x:c>
      <x:c r="W141" s="94" t="str">
        <x:f>IF(A141="","",IF(K141&lt;&gt;"Attended","N/A",IF(COUNTIFS('13 Effectiveness Review'!$B$6:$B$155,B141,'13 Effectiveness Review'!$C$6:$C$155,E141)&gt;0,"Reviewed",IF(V141&lt;TODAY(),"Overdue","Due"))))</x:f>
      </x:c>
      <x:c r="X141" s="92"/>
      <x:c r="Y141" s="92"/>
      <x:c r="Z141" s="92"/>
      <x:c r="AA141" s="85" t="str">
        <x:f>IF(E141="","",E141&amp;"|"&amp;COUNTIF($E$6:E141,E141))</x:f>
      </x:c>
      <x:c r="AB141" s="85" t="str">
        <x:f>IF(A141="","",A141)</x:f>
      </x:c>
      <x:c r="AC141" s="85" t="str">
        <x:f>IF(A141="","",B141)</x:f>
      </x:c>
      <x:c r="AD141" s="85" t="str">
        <x:f>IF(A141="","",C141)</x:f>
      </x:c>
      <x:c r="AE141" s="85" t="str">
        <x:f>IF(A141="","",D141)</x:f>
      </x:c>
      <x:c r="AF141" s="85" t="str">
        <x:f>IF(A141="","",L141)</x:f>
      </x:c>
      <x:c r="AG141" s="85" t="str">
        <x:f>IF(A141="","",K141)</x:f>
      </x:c>
      <x:c r="AH141" s="85" t="str">
        <x:f>IF(A141="","",Q141)</x:f>
      </x:c>
      <x:c r="AI141" s="85" t="str">
        <x:f>IF(A141="","",R141)</x:f>
      </x:c>
      <x:c r="AJ141" s="85" t="str">
        <x:f>IF(A141="","",U141)</x:f>
      </x:c>
      <x:c r="AK141" s="85" t="str">
        <x:f>IF(A141="","",W141)</x:f>
      </x:c>
      <x:c r="AL141" s="85" t="str">
        <x:f>IFERROR(IF(A141="","",Y141),"")</x:f>
      </x:c>
      <x:c r="AM141" s="85" t="str">
        <x:f>IFERROR(IF(A141="","",Z141),"")</x:f>
      </x:c>
    </x:row>
    <x:row r="142">
      <x:c r="A142" s="92"/>
      <x:c r="B142" s="92"/>
      <x:c r="C142" s="94" t="str">
        <x:f>IFERROR(VLOOKUP(B142,'06 Training Register'!$A$6:$Y$55,3,FALSE),"")</x:f>
      </x:c>
      <x:c r="D142" s="102" t="str">
        <x:f>IF(B142="","",IFERROR(IF(VLOOKUP(B142,'06 Training Register'!$A$6:$Y$55,15,FALSE)&gt;0,VLOOKUP(B142,'06 Training Register'!$A$6:$Y$55,15,FALSE),VLOOKUP(B142,'06 Training Register'!$A$6:$Y$55,12,FALSE)),""))</x:f>
      </x:c>
      <x:c r="E142" s="92"/>
      <x:c r="F142" s="94" t="str">
        <x:f>IFERROR(VLOOKUP(E142,'01 Staff Master'!$A$6:$M$105,2,FALSE),"")</x:f>
      </x:c>
      <x:c r="G142" s="94" t="str">
        <x:f>IFERROR(VLOOKUP(E142,'01 Staff Master'!$A$6:$M$105,3,FALSE),"")</x:f>
      </x:c>
      <x:c r="H142" s="94" t="str">
        <x:f>IFERROR(VLOOKUP(E142,'01 Staff Master'!$A$6:$M$105,5,FALSE),"")</x:f>
      </x:c>
      <x:c r="I142" s="94" t="str">
        <x:f>IFERROR(VLOOKUP(B142,'06 Training Register'!$A$6:$Y$55,4,FALSE),"")</x:f>
      </x:c>
      <x:c r="J142" s="92"/>
      <x:c r="K142" s="92"/>
      <x:c r="L142" s="92"/>
      <x:c r="M142" s="103"/>
      <x:c r="N142" s="103"/>
      <x:c r="O142" s="104" t="str">
        <x:f>IF(OR(M142="",N142=""),"",N142-M142)</x:f>
      </x:c>
      <x:c r="P142" s="103"/>
      <x:c r="Q142" s="94" t="str">
        <x:f>IF(OR(N142="",P142=""),"",IF(N142&gt;=P142,"Pass","Not Yet"))</x:f>
      </x:c>
      <x:c r="R142" s="92"/>
      <x:c r="S142" s="93"/>
      <x:c r="T142" s="102" t="str">
        <x:f>IF(OR(D142="",K142&lt;&gt;"Attended"),"",D142+3)</x:f>
      </x:c>
      <x:c r="U142" s="94" t="str">
        <x:f>IF(A142="","",IF(K142&lt;&gt;"Attended","N/A",IF(COUNTIFS('12 Training Evaluation'!$B$6:$B$155,B142,'12 Training Evaluation'!$C$6:$C$155,E142,'12 Training Evaluation'!$W$6:$W$155,"Complete")&gt;0,"Complete","Pending")))</x:f>
      </x:c>
      <x:c r="V142" s="102" t="str">
        <x:f>IF(OR(D142="",K142&lt;&gt;"Attended"),"",D142+30)</x:f>
      </x:c>
      <x:c r="W142" s="94" t="str">
        <x:f>IF(A142="","",IF(K142&lt;&gt;"Attended","N/A",IF(COUNTIFS('13 Effectiveness Review'!$B$6:$B$155,B142,'13 Effectiveness Review'!$C$6:$C$155,E142)&gt;0,"Reviewed",IF(V142&lt;TODAY(),"Overdue","Due"))))</x:f>
      </x:c>
      <x:c r="X142" s="92"/>
      <x:c r="Y142" s="92"/>
      <x:c r="Z142" s="92"/>
      <x:c r="AA142" s="85" t="str">
        <x:f>IF(E142="","",E142&amp;"|"&amp;COUNTIF($E$6:E142,E142))</x:f>
      </x:c>
      <x:c r="AB142" s="85" t="str">
        <x:f>IF(A142="","",A142)</x:f>
      </x:c>
      <x:c r="AC142" s="85" t="str">
        <x:f>IF(A142="","",B142)</x:f>
      </x:c>
      <x:c r="AD142" s="85" t="str">
        <x:f>IF(A142="","",C142)</x:f>
      </x:c>
      <x:c r="AE142" s="85" t="str">
        <x:f>IF(A142="","",D142)</x:f>
      </x:c>
      <x:c r="AF142" s="85" t="str">
        <x:f>IF(A142="","",L142)</x:f>
      </x:c>
      <x:c r="AG142" s="85" t="str">
        <x:f>IF(A142="","",K142)</x:f>
      </x:c>
      <x:c r="AH142" s="85" t="str">
        <x:f>IF(A142="","",Q142)</x:f>
      </x:c>
      <x:c r="AI142" s="85" t="str">
        <x:f>IF(A142="","",R142)</x:f>
      </x:c>
      <x:c r="AJ142" s="85" t="str">
        <x:f>IF(A142="","",U142)</x:f>
      </x:c>
      <x:c r="AK142" s="85" t="str">
        <x:f>IF(A142="","",W142)</x:f>
      </x:c>
      <x:c r="AL142" s="85" t="str">
        <x:f>IFERROR(IF(A142="","",Y142),"")</x:f>
      </x:c>
      <x:c r="AM142" s="85" t="str">
        <x:f>IFERROR(IF(A142="","",Z142),"")</x:f>
      </x:c>
    </x:row>
    <x:row r="143">
      <x:c r="A143" s="92"/>
      <x:c r="B143" s="92"/>
      <x:c r="C143" s="94" t="str">
        <x:f>IFERROR(VLOOKUP(B143,'06 Training Register'!$A$6:$Y$55,3,FALSE),"")</x:f>
      </x:c>
      <x:c r="D143" s="102" t="str">
        <x:f>IF(B143="","",IFERROR(IF(VLOOKUP(B143,'06 Training Register'!$A$6:$Y$55,15,FALSE)&gt;0,VLOOKUP(B143,'06 Training Register'!$A$6:$Y$55,15,FALSE),VLOOKUP(B143,'06 Training Register'!$A$6:$Y$55,12,FALSE)),""))</x:f>
      </x:c>
      <x:c r="E143" s="92"/>
      <x:c r="F143" s="94" t="str">
        <x:f>IFERROR(VLOOKUP(E143,'01 Staff Master'!$A$6:$M$105,2,FALSE),"")</x:f>
      </x:c>
      <x:c r="G143" s="94" t="str">
        <x:f>IFERROR(VLOOKUP(E143,'01 Staff Master'!$A$6:$M$105,3,FALSE),"")</x:f>
      </x:c>
      <x:c r="H143" s="94" t="str">
        <x:f>IFERROR(VLOOKUP(E143,'01 Staff Master'!$A$6:$M$105,5,FALSE),"")</x:f>
      </x:c>
      <x:c r="I143" s="94" t="str">
        <x:f>IFERROR(VLOOKUP(B143,'06 Training Register'!$A$6:$Y$55,4,FALSE),"")</x:f>
      </x:c>
      <x:c r="J143" s="92"/>
      <x:c r="K143" s="92"/>
      <x:c r="L143" s="92"/>
      <x:c r="M143" s="103"/>
      <x:c r="N143" s="103"/>
      <x:c r="O143" s="104" t="str">
        <x:f>IF(OR(M143="",N143=""),"",N143-M143)</x:f>
      </x:c>
      <x:c r="P143" s="103"/>
      <x:c r="Q143" s="94" t="str">
        <x:f>IF(OR(N143="",P143=""),"",IF(N143&gt;=P143,"Pass","Not Yet"))</x:f>
      </x:c>
      <x:c r="R143" s="92"/>
      <x:c r="S143" s="93"/>
      <x:c r="T143" s="102" t="str">
        <x:f>IF(OR(D143="",K143&lt;&gt;"Attended"),"",D143+3)</x:f>
      </x:c>
      <x:c r="U143" s="94" t="str">
        <x:f>IF(A143="","",IF(K143&lt;&gt;"Attended","N/A",IF(COUNTIFS('12 Training Evaluation'!$B$6:$B$155,B143,'12 Training Evaluation'!$C$6:$C$155,E143,'12 Training Evaluation'!$W$6:$W$155,"Complete")&gt;0,"Complete","Pending")))</x:f>
      </x:c>
      <x:c r="V143" s="102" t="str">
        <x:f>IF(OR(D143="",K143&lt;&gt;"Attended"),"",D143+30)</x:f>
      </x:c>
      <x:c r="W143" s="94" t="str">
        <x:f>IF(A143="","",IF(K143&lt;&gt;"Attended","N/A",IF(COUNTIFS('13 Effectiveness Review'!$B$6:$B$155,B143,'13 Effectiveness Review'!$C$6:$C$155,E143)&gt;0,"Reviewed",IF(V143&lt;TODAY(),"Overdue","Due"))))</x:f>
      </x:c>
      <x:c r="X143" s="92"/>
      <x:c r="Y143" s="92"/>
      <x:c r="Z143" s="92"/>
      <x:c r="AA143" s="85" t="str">
        <x:f>IF(E143="","",E143&amp;"|"&amp;COUNTIF($E$6:E143,E143))</x:f>
      </x:c>
      <x:c r="AB143" s="85" t="str">
        <x:f>IF(A143="","",A143)</x:f>
      </x:c>
      <x:c r="AC143" s="85" t="str">
        <x:f>IF(A143="","",B143)</x:f>
      </x:c>
      <x:c r="AD143" s="85" t="str">
        <x:f>IF(A143="","",C143)</x:f>
      </x:c>
      <x:c r="AE143" s="85" t="str">
        <x:f>IF(A143="","",D143)</x:f>
      </x:c>
      <x:c r="AF143" s="85" t="str">
        <x:f>IF(A143="","",L143)</x:f>
      </x:c>
      <x:c r="AG143" s="85" t="str">
        <x:f>IF(A143="","",K143)</x:f>
      </x:c>
      <x:c r="AH143" s="85" t="str">
        <x:f>IF(A143="","",Q143)</x:f>
      </x:c>
      <x:c r="AI143" s="85" t="str">
        <x:f>IF(A143="","",R143)</x:f>
      </x:c>
      <x:c r="AJ143" s="85" t="str">
        <x:f>IF(A143="","",U143)</x:f>
      </x:c>
      <x:c r="AK143" s="85" t="str">
        <x:f>IF(A143="","",W143)</x:f>
      </x:c>
      <x:c r="AL143" s="85" t="str">
        <x:f>IFERROR(IF(A143="","",Y143),"")</x:f>
      </x:c>
      <x:c r="AM143" s="85" t="str">
        <x:f>IFERROR(IF(A143="","",Z143),"")</x:f>
      </x:c>
    </x:row>
    <x:row r="144">
      <x:c r="A144" s="92"/>
      <x:c r="B144" s="92"/>
      <x:c r="C144" s="94" t="str">
        <x:f>IFERROR(VLOOKUP(B144,'06 Training Register'!$A$6:$Y$55,3,FALSE),"")</x:f>
      </x:c>
      <x:c r="D144" s="102" t="str">
        <x:f>IF(B144="","",IFERROR(IF(VLOOKUP(B144,'06 Training Register'!$A$6:$Y$55,15,FALSE)&gt;0,VLOOKUP(B144,'06 Training Register'!$A$6:$Y$55,15,FALSE),VLOOKUP(B144,'06 Training Register'!$A$6:$Y$55,12,FALSE)),""))</x:f>
      </x:c>
      <x:c r="E144" s="92"/>
      <x:c r="F144" s="94" t="str">
        <x:f>IFERROR(VLOOKUP(E144,'01 Staff Master'!$A$6:$M$105,2,FALSE),"")</x:f>
      </x:c>
      <x:c r="G144" s="94" t="str">
        <x:f>IFERROR(VLOOKUP(E144,'01 Staff Master'!$A$6:$M$105,3,FALSE),"")</x:f>
      </x:c>
      <x:c r="H144" s="94" t="str">
        <x:f>IFERROR(VLOOKUP(E144,'01 Staff Master'!$A$6:$M$105,5,FALSE),"")</x:f>
      </x:c>
      <x:c r="I144" s="94" t="str">
        <x:f>IFERROR(VLOOKUP(B144,'06 Training Register'!$A$6:$Y$55,4,FALSE),"")</x:f>
      </x:c>
      <x:c r="J144" s="92"/>
      <x:c r="K144" s="92"/>
      <x:c r="L144" s="92"/>
      <x:c r="M144" s="103"/>
      <x:c r="N144" s="103"/>
      <x:c r="O144" s="104" t="str">
        <x:f>IF(OR(M144="",N144=""),"",N144-M144)</x:f>
      </x:c>
      <x:c r="P144" s="103"/>
      <x:c r="Q144" s="94" t="str">
        <x:f>IF(OR(N144="",P144=""),"",IF(N144&gt;=P144,"Pass","Not Yet"))</x:f>
      </x:c>
      <x:c r="R144" s="92"/>
      <x:c r="S144" s="93"/>
      <x:c r="T144" s="102" t="str">
        <x:f>IF(OR(D144="",K144&lt;&gt;"Attended"),"",D144+3)</x:f>
      </x:c>
      <x:c r="U144" s="94" t="str">
        <x:f>IF(A144="","",IF(K144&lt;&gt;"Attended","N/A",IF(COUNTIFS('12 Training Evaluation'!$B$6:$B$155,B144,'12 Training Evaluation'!$C$6:$C$155,E144,'12 Training Evaluation'!$W$6:$W$155,"Complete")&gt;0,"Complete","Pending")))</x:f>
      </x:c>
      <x:c r="V144" s="102" t="str">
        <x:f>IF(OR(D144="",K144&lt;&gt;"Attended"),"",D144+30)</x:f>
      </x:c>
      <x:c r="W144" s="94" t="str">
        <x:f>IF(A144="","",IF(K144&lt;&gt;"Attended","N/A",IF(COUNTIFS('13 Effectiveness Review'!$B$6:$B$155,B144,'13 Effectiveness Review'!$C$6:$C$155,E144)&gt;0,"Reviewed",IF(V144&lt;TODAY(),"Overdue","Due"))))</x:f>
      </x:c>
      <x:c r="X144" s="92"/>
      <x:c r="Y144" s="92"/>
      <x:c r="Z144" s="92"/>
      <x:c r="AA144" s="85" t="str">
        <x:f>IF(E144="","",E144&amp;"|"&amp;COUNTIF($E$6:E144,E144))</x:f>
      </x:c>
      <x:c r="AB144" s="85" t="str">
        <x:f>IF(A144="","",A144)</x:f>
      </x:c>
      <x:c r="AC144" s="85" t="str">
        <x:f>IF(A144="","",B144)</x:f>
      </x:c>
      <x:c r="AD144" s="85" t="str">
        <x:f>IF(A144="","",C144)</x:f>
      </x:c>
      <x:c r="AE144" s="85" t="str">
        <x:f>IF(A144="","",D144)</x:f>
      </x:c>
      <x:c r="AF144" s="85" t="str">
        <x:f>IF(A144="","",L144)</x:f>
      </x:c>
      <x:c r="AG144" s="85" t="str">
        <x:f>IF(A144="","",K144)</x:f>
      </x:c>
      <x:c r="AH144" s="85" t="str">
        <x:f>IF(A144="","",Q144)</x:f>
      </x:c>
      <x:c r="AI144" s="85" t="str">
        <x:f>IF(A144="","",R144)</x:f>
      </x:c>
      <x:c r="AJ144" s="85" t="str">
        <x:f>IF(A144="","",U144)</x:f>
      </x:c>
      <x:c r="AK144" s="85" t="str">
        <x:f>IF(A144="","",W144)</x:f>
      </x:c>
      <x:c r="AL144" s="85" t="str">
        <x:f>IFERROR(IF(A144="","",Y144),"")</x:f>
      </x:c>
      <x:c r="AM144" s="85" t="str">
        <x:f>IFERROR(IF(A144="","",Z144),"")</x:f>
      </x:c>
    </x:row>
    <x:row r="145">
      <x:c r="A145" s="92"/>
      <x:c r="B145" s="92"/>
      <x:c r="C145" s="94" t="str">
        <x:f>IFERROR(VLOOKUP(B145,'06 Training Register'!$A$6:$Y$55,3,FALSE),"")</x:f>
      </x:c>
      <x:c r="D145" s="102" t="str">
        <x:f>IF(B145="","",IFERROR(IF(VLOOKUP(B145,'06 Training Register'!$A$6:$Y$55,15,FALSE)&gt;0,VLOOKUP(B145,'06 Training Register'!$A$6:$Y$55,15,FALSE),VLOOKUP(B145,'06 Training Register'!$A$6:$Y$55,12,FALSE)),""))</x:f>
      </x:c>
      <x:c r="E145" s="92"/>
      <x:c r="F145" s="94" t="str">
        <x:f>IFERROR(VLOOKUP(E145,'01 Staff Master'!$A$6:$M$105,2,FALSE),"")</x:f>
      </x:c>
      <x:c r="G145" s="94" t="str">
        <x:f>IFERROR(VLOOKUP(E145,'01 Staff Master'!$A$6:$M$105,3,FALSE),"")</x:f>
      </x:c>
      <x:c r="H145" s="94" t="str">
        <x:f>IFERROR(VLOOKUP(E145,'01 Staff Master'!$A$6:$M$105,5,FALSE),"")</x:f>
      </x:c>
      <x:c r="I145" s="94" t="str">
        <x:f>IFERROR(VLOOKUP(B145,'06 Training Register'!$A$6:$Y$55,4,FALSE),"")</x:f>
      </x:c>
      <x:c r="J145" s="92"/>
      <x:c r="K145" s="92"/>
      <x:c r="L145" s="92"/>
      <x:c r="M145" s="103"/>
      <x:c r="N145" s="103"/>
      <x:c r="O145" s="104" t="str">
        <x:f>IF(OR(M145="",N145=""),"",N145-M145)</x:f>
      </x:c>
      <x:c r="P145" s="103"/>
      <x:c r="Q145" s="94" t="str">
        <x:f>IF(OR(N145="",P145=""),"",IF(N145&gt;=P145,"Pass","Not Yet"))</x:f>
      </x:c>
      <x:c r="R145" s="92"/>
      <x:c r="S145" s="93"/>
      <x:c r="T145" s="102" t="str">
        <x:f>IF(OR(D145="",K145&lt;&gt;"Attended"),"",D145+3)</x:f>
      </x:c>
      <x:c r="U145" s="94" t="str">
        <x:f>IF(A145="","",IF(K145&lt;&gt;"Attended","N/A",IF(COUNTIFS('12 Training Evaluation'!$B$6:$B$155,B145,'12 Training Evaluation'!$C$6:$C$155,E145,'12 Training Evaluation'!$W$6:$W$155,"Complete")&gt;0,"Complete","Pending")))</x:f>
      </x:c>
      <x:c r="V145" s="102" t="str">
        <x:f>IF(OR(D145="",K145&lt;&gt;"Attended"),"",D145+30)</x:f>
      </x:c>
      <x:c r="W145" s="94" t="str">
        <x:f>IF(A145="","",IF(K145&lt;&gt;"Attended","N/A",IF(COUNTIFS('13 Effectiveness Review'!$B$6:$B$155,B145,'13 Effectiveness Review'!$C$6:$C$155,E145)&gt;0,"Reviewed",IF(V145&lt;TODAY(),"Overdue","Due"))))</x:f>
      </x:c>
      <x:c r="X145" s="92"/>
      <x:c r="Y145" s="92"/>
      <x:c r="Z145" s="92"/>
      <x:c r="AA145" s="85" t="str">
        <x:f>IF(E145="","",E145&amp;"|"&amp;COUNTIF($E$6:E145,E145))</x:f>
      </x:c>
      <x:c r="AB145" s="85" t="str">
        <x:f>IF(A145="","",A145)</x:f>
      </x:c>
      <x:c r="AC145" s="85" t="str">
        <x:f>IF(A145="","",B145)</x:f>
      </x:c>
      <x:c r="AD145" s="85" t="str">
        <x:f>IF(A145="","",C145)</x:f>
      </x:c>
      <x:c r="AE145" s="85" t="str">
        <x:f>IF(A145="","",D145)</x:f>
      </x:c>
      <x:c r="AF145" s="85" t="str">
        <x:f>IF(A145="","",L145)</x:f>
      </x:c>
      <x:c r="AG145" s="85" t="str">
        <x:f>IF(A145="","",K145)</x:f>
      </x:c>
      <x:c r="AH145" s="85" t="str">
        <x:f>IF(A145="","",Q145)</x:f>
      </x:c>
      <x:c r="AI145" s="85" t="str">
        <x:f>IF(A145="","",R145)</x:f>
      </x:c>
      <x:c r="AJ145" s="85" t="str">
        <x:f>IF(A145="","",U145)</x:f>
      </x:c>
      <x:c r="AK145" s="85" t="str">
        <x:f>IF(A145="","",W145)</x:f>
      </x:c>
      <x:c r="AL145" s="85" t="str">
        <x:f>IFERROR(IF(A145="","",Y145),"")</x:f>
      </x:c>
      <x:c r="AM145" s="85" t="str">
        <x:f>IFERROR(IF(A145="","",Z145),"")</x:f>
      </x:c>
    </x:row>
    <x:row r="146">
      <x:c r="A146" s="92"/>
      <x:c r="B146" s="92"/>
      <x:c r="C146" s="94" t="str">
        <x:f>IFERROR(VLOOKUP(B146,'06 Training Register'!$A$6:$Y$55,3,FALSE),"")</x:f>
      </x:c>
      <x:c r="D146" s="102" t="str">
        <x:f>IF(B146="","",IFERROR(IF(VLOOKUP(B146,'06 Training Register'!$A$6:$Y$55,15,FALSE)&gt;0,VLOOKUP(B146,'06 Training Register'!$A$6:$Y$55,15,FALSE),VLOOKUP(B146,'06 Training Register'!$A$6:$Y$55,12,FALSE)),""))</x:f>
      </x:c>
      <x:c r="E146" s="92"/>
      <x:c r="F146" s="94" t="str">
        <x:f>IFERROR(VLOOKUP(E146,'01 Staff Master'!$A$6:$M$105,2,FALSE),"")</x:f>
      </x:c>
      <x:c r="G146" s="94" t="str">
        <x:f>IFERROR(VLOOKUP(E146,'01 Staff Master'!$A$6:$M$105,3,FALSE),"")</x:f>
      </x:c>
      <x:c r="H146" s="94" t="str">
        <x:f>IFERROR(VLOOKUP(E146,'01 Staff Master'!$A$6:$M$105,5,FALSE),"")</x:f>
      </x:c>
      <x:c r="I146" s="94" t="str">
        <x:f>IFERROR(VLOOKUP(B146,'06 Training Register'!$A$6:$Y$55,4,FALSE),"")</x:f>
      </x:c>
      <x:c r="J146" s="92"/>
      <x:c r="K146" s="92"/>
      <x:c r="L146" s="92"/>
      <x:c r="M146" s="103"/>
      <x:c r="N146" s="103"/>
      <x:c r="O146" s="104" t="str">
        <x:f>IF(OR(M146="",N146=""),"",N146-M146)</x:f>
      </x:c>
      <x:c r="P146" s="103"/>
      <x:c r="Q146" s="94" t="str">
        <x:f>IF(OR(N146="",P146=""),"",IF(N146&gt;=P146,"Pass","Not Yet"))</x:f>
      </x:c>
      <x:c r="R146" s="92"/>
      <x:c r="S146" s="93"/>
      <x:c r="T146" s="102" t="str">
        <x:f>IF(OR(D146="",K146&lt;&gt;"Attended"),"",D146+3)</x:f>
      </x:c>
      <x:c r="U146" s="94" t="str">
        <x:f>IF(A146="","",IF(K146&lt;&gt;"Attended","N/A",IF(COUNTIFS('12 Training Evaluation'!$B$6:$B$155,B146,'12 Training Evaluation'!$C$6:$C$155,E146,'12 Training Evaluation'!$W$6:$W$155,"Complete")&gt;0,"Complete","Pending")))</x:f>
      </x:c>
      <x:c r="V146" s="102" t="str">
        <x:f>IF(OR(D146="",K146&lt;&gt;"Attended"),"",D146+30)</x:f>
      </x:c>
      <x:c r="W146" s="94" t="str">
        <x:f>IF(A146="","",IF(K146&lt;&gt;"Attended","N/A",IF(COUNTIFS('13 Effectiveness Review'!$B$6:$B$155,B146,'13 Effectiveness Review'!$C$6:$C$155,E146)&gt;0,"Reviewed",IF(V146&lt;TODAY(),"Overdue","Due"))))</x:f>
      </x:c>
      <x:c r="X146" s="92"/>
      <x:c r="Y146" s="92"/>
      <x:c r="Z146" s="92"/>
      <x:c r="AA146" s="85" t="str">
        <x:f>IF(E146="","",E146&amp;"|"&amp;COUNTIF($E$6:E146,E146))</x:f>
      </x:c>
      <x:c r="AB146" s="85" t="str">
        <x:f>IF(A146="","",A146)</x:f>
      </x:c>
      <x:c r="AC146" s="85" t="str">
        <x:f>IF(A146="","",B146)</x:f>
      </x:c>
      <x:c r="AD146" s="85" t="str">
        <x:f>IF(A146="","",C146)</x:f>
      </x:c>
      <x:c r="AE146" s="85" t="str">
        <x:f>IF(A146="","",D146)</x:f>
      </x:c>
      <x:c r="AF146" s="85" t="str">
        <x:f>IF(A146="","",L146)</x:f>
      </x:c>
      <x:c r="AG146" s="85" t="str">
        <x:f>IF(A146="","",K146)</x:f>
      </x:c>
      <x:c r="AH146" s="85" t="str">
        <x:f>IF(A146="","",Q146)</x:f>
      </x:c>
      <x:c r="AI146" s="85" t="str">
        <x:f>IF(A146="","",R146)</x:f>
      </x:c>
      <x:c r="AJ146" s="85" t="str">
        <x:f>IF(A146="","",U146)</x:f>
      </x:c>
      <x:c r="AK146" s="85" t="str">
        <x:f>IF(A146="","",W146)</x:f>
      </x:c>
      <x:c r="AL146" s="85" t="str">
        <x:f>IFERROR(IF(A146="","",Y146),"")</x:f>
      </x:c>
      <x:c r="AM146" s="85" t="str">
        <x:f>IFERROR(IF(A146="","",Z146),"")</x:f>
      </x:c>
    </x:row>
    <x:row r="147">
      <x:c r="A147" s="92"/>
      <x:c r="B147" s="92"/>
      <x:c r="C147" s="94" t="str">
        <x:f>IFERROR(VLOOKUP(B147,'06 Training Register'!$A$6:$Y$55,3,FALSE),"")</x:f>
      </x:c>
      <x:c r="D147" s="102" t="str">
        <x:f>IF(B147="","",IFERROR(IF(VLOOKUP(B147,'06 Training Register'!$A$6:$Y$55,15,FALSE)&gt;0,VLOOKUP(B147,'06 Training Register'!$A$6:$Y$55,15,FALSE),VLOOKUP(B147,'06 Training Register'!$A$6:$Y$55,12,FALSE)),""))</x:f>
      </x:c>
      <x:c r="E147" s="92"/>
      <x:c r="F147" s="94" t="str">
        <x:f>IFERROR(VLOOKUP(E147,'01 Staff Master'!$A$6:$M$105,2,FALSE),"")</x:f>
      </x:c>
      <x:c r="G147" s="94" t="str">
        <x:f>IFERROR(VLOOKUP(E147,'01 Staff Master'!$A$6:$M$105,3,FALSE),"")</x:f>
      </x:c>
      <x:c r="H147" s="94" t="str">
        <x:f>IFERROR(VLOOKUP(E147,'01 Staff Master'!$A$6:$M$105,5,FALSE),"")</x:f>
      </x:c>
      <x:c r="I147" s="94" t="str">
        <x:f>IFERROR(VLOOKUP(B147,'06 Training Register'!$A$6:$Y$55,4,FALSE),"")</x:f>
      </x:c>
      <x:c r="J147" s="92"/>
      <x:c r="K147" s="92"/>
      <x:c r="L147" s="92"/>
      <x:c r="M147" s="103"/>
      <x:c r="N147" s="103"/>
      <x:c r="O147" s="104" t="str">
        <x:f>IF(OR(M147="",N147=""),"",N147-M147)</x:f>
      </x:c>
      <x:c r="P147" s="103"/>
      <x:c r="Q147" s="94" t="str">
        <x:f>IF(OR(N147="",P147=""),"",IF(N147&gt;=P147,"Pass","Not Yet"))</x:f>
      </x:c>
      <x:c r="R147" s="92"/>
      <x:c r="S147" s="93"/>
      <x:c r="T147" s="102" t="str">
        <x:f>IF(OR(D147="",K147&lt;&gt;"Attended"),"",D147+3)</x:f>
      </x:c>
      <x:c r="U147" s="94" t="str">
        <x:f>IF(A147="","",IF(K147&lt;&gt;"Attended","N/A",IF(COUNTIFS('12 Training Evaluation'!$B$6:$B$155,B147,'12 Training Evaluation'!$C$6:$C$155,E147,'12 Training Evaluation'!$W$6:$W$155,"Complete")&gt;0,"Complete","Pending")))</x:f>
      </x:c>
      <x:c r="V147" s="102" t="str">
        <x:f>IF(OR(D147="",K147&lt;&gt;"Attended"),"",D147+30)</x:f>
      </x:c>
      <x:c r="W147" s="94" t="str">
        <x:f>IF(A147="","",IF(K147&lt;&gt;"Attended","N/A",IF(COUNTIFS('13 Effectiveness Review'!$B$6:$B$155,B147,'13 Effectiveness Review'!$C$6:$C$155,E147)&gt;0,"Reviewed",IF(V147&lt;TODAY(),"Overdue","Due"))))</x:f>
      </x:c>
      <x:c r="X147" s="92"/>
      <x:c r="Y147" s="92"/>
      <x:c r="Z147" s="92"/>
      <x:c r="AA147" s="85" t="str">
        <x:f>IF(E147="","",E147&amp;"|"&amp;COUNTIF($E$6:E147,E147))</x:f>
      </x:c>
      <x:c r="AB147" s="85" t="str">
        <x:f>IF(A147="","",A147)</x:f>
      </x:c>
      <x:c r="AC147" s="85" t="str">
        <x:f>IF(A147="","",B147)</x:f>
      </x:c>
      <x:c r="AD147" s="85" t="str">
        <x:f>IF(A147="","",C147)</x:f>
      </x:c>
      <x:c r="AE147" s="85" t="str">
        <x:f>IF(A147="","",D147)</x:f>
      </x:c>
      <x:c r="AF147" s="85" t="str">
        <x:f>IF(A147="","",L147)</x:f>
      </x:c>
      <x:c r="AG147" s="85" t="str">
        <x:f>IF(A147="","",K147)</x:f>
      </x:c>
      <x:c r="AH147" s="85" t="str">
        <x:f>IF(A147="","",Q147)</x:f>
      </x:c>
      <x:c r="AI147" s="85" t="str">
        <x:f>IF(A147="","",R147)</x:f>
      </x:c>
      <x:c r="AJ147" s="85" t="str">
        <x:f>IF(A147="","",U147)</x:f>
      </x:c>
      <x:c r="AK147" s="85" t="str">
        <x:f>IF(A147="","",W147)</x:f>
      </x:c>
      <x:c r="AL147" s="85" t="str">
        <x:f>IFERROR(IF(A147="","",Y147),"")</x:f>
      </x:c>
      <x:c r="AM147" s="85" t="str">
        <x:f>IFERROR(IF(A147="","",Z147),"")</x:f>
      </x:c>
    </x:row>
    <x:row r="148">
      <x:c r="A148" s="92"/>
      <x:c r="B148" s="92"/>
      <x:c r="C148" s="94" t="str">
        <x:f>IFERROR(VLOOKUP(B148,'06 Training Register'!$A$6:$Y$55,3,FALSE),"")</x:f>
      </x:c>
      <x:c r="D148" s="102" t="str">
        <x:f>IF(B148="","",IFERROR(IF(VLOOKUP(B148,'06 Training Register'!$A$6:$Y$55,15,FALSE)&gt;0,VLOOKUP(B148,'06 Training Register'!$A$6:$Y$55,15,FALSE),VLOOKUP(B148,'06 Training Register'!$A$6:$Y$55,12,FALSE)),""))</x:f>
      </x:c>
      <x:c r="E148" s="92"/>
      <x:c r="F148" s="94" t="str">
        <x:f>IFERROR(VLOOKUP(E148,'01 Staff Master'!$A$6:$M$105,2,FALSE),"")</x:f>
      </x:c>
      <x:c r="G148" s="94" t="str">
        <x:f>IFERROR(VLOOKUP(E148,'01 Staff Master'!$A$6:$M$105,3,FALSE),"")</x:f>
      </x:c>
      <x:c r="H148" s="94" t="str">
        <x:f>IFERROR(VLOOKUP(E148,'01 Staff Master'!$A$6:$M$105,5,FALSE),"")</x:f>
      </x:c>
      <x:c r="I148" s="94" t="str">
        <x:f>IFERROR(VLOOKUP(B148,'06 Training Register'!$A$6:$Y$55,4,FALSE),"")</x:f>
      </x:c>
      <x:c r="J148" s="92"/>
      <x:c r="K148" s="92"/>
      <x:c r="L148" s="92"/>
      <x:c r="M148" s="103"/>
      <x:c r="N148" s="103"/>
      <x:c r="O148" s="104" t="str">
        <x:f>IF(OR(M148="",N148=""),"",N148-M148)</x:f>
      </x:c>
      <x:c r="P148" s="103"/>
      <x:c r="Q148" s="94" t="str">
        <x:f>IF(OR(N148="",P148=""),"",IF(N148&gt;=P148,"Pass","Not Yet"))</x:f>
      </x:c>
      <x:c r="R148" s="92"/>
      <x:c r="S148" s="93"/>
      <x:c r="T148" s="102" t="str">
        <x:f>IF(OR(D148="",K148&lt;&gt;"Attended"),"",D148+3)</x:f>
      </x:c>
      <x:c r="U148" s="94" t="str">
        <x:f>IF(A148="","",IF(K148&lt;&gt;"Attended","N/A",IF(COUNTIFS('12 Training Evaluation'!$B$6:$B$155,B148,'12 Training Evaluation'!$C$6:$C$155,E148,'12 Training Evaluation'!$W$6:$W$155,"Complete")&gt;0,"Complete","Pending")))</x:f>
      </x:c>
      <x:c r="V148" s="102" t="str">
        <x:f>IF(OR(D148="",K148&lt;&gt;"Attended"),"",D148+30)</x:f>
      </x:c>
      <x:c r="W148" s="94" t="str">
        <x:f>IF(A148="","",IF(K148&lt;&gt;"Attended","N/A",IF(COUNTIFS('13 Effectiveness Review'!$B$6:$B$155,B148,'13 Effectiveness Review'!$C$6:$C$155,E148)&gt;0,"Reviewed",IF(V148&lt;TODAY(),"Overdue","Due"))))</x:f>
      </x:c>
      <x:c r="X148" s="92"/>
      <x:c r="Y148" s="92"/>
      <x:c r="Z148" s="92"/>
      <x:c r="AA148" s="85" t="str">
        <x:f>IF(E148="","",E148&amp;"|"&amp;COUNTIF($E$6:E148,E148))</x:f>
      </x:c>
      <x:c r="AB148" s="85" t="str">
        <x:f>IF(A148="","",A148)</x:f>
      </x:c>
      <x:c r="AC148" s="85" t="str">
        <x:f>IF(A148="","",B148)</x:f>
      </x:c>
      <x:c r="AD148" s="85" t="str">
        <x:f>IF(A148="","",C148)</x:f>
      </x:c>
      <x:c r="AE148" s="85" t="str">
        <x:f>IF(A148="","",D148)</x:f>
      </x:c>
      <x:c r="AF148" s="85" t="str">
        <x:f>IF(A148="","",L148)</x:f>
      </x:c>
      <x:c r="AG148" s="85" t="str">
        <x:f>IF(A148="","",K148)</x:f>
      </x:c>
      <x:c r="AH148" s="85" t="str">
        <x:f>IF(A148="","",Q148)</x:f>
      </x:c>
      <x:c r="AI148" s="85" t="str">
        <x:f>IF(A148="","",R148)</x:f>
      </x:c>
      <x:c r="AJ148" s="85" t="str">
        <x:f>IF(A148="","",U148)</x:f>
      </x:c>
      <x:c r="AK148" s="85" t="str">
        <x:f>IF(A148="","",W148)</x:f>
      </x:c>
      <x:c r="AL148" s="85" t="str">
        <x:f>IFERROR(IF(A148="","",Y148),"")</x:f>
      </x:c>
      <x:c r="AM148" s="85" t="str">
        <x:f>IFERROR(IF(A148="","",Z148),"")</x:f>
      </x:c>
    </x:row>
    <x:row r="149">
      <x:c r="A149" s="92"/>
      <x:c r="B149" s="92"/>
      <x:c r="C149" s="94" t="str">
        <x:f>IFERROR(VLOOKUP(B149,'06 Training Register'!$A$6:$Y$55,3,FALSE),"")</x:f>
      </x:c>
      <x:c r="D149" s="102" t="str">
        <x:f>IF(B149="","",IFERROR(IF(VLOOKUP(B149,'06 Training Register'!$A$6:$Y$55,15,FALSE)&gt;0,VLOOKUP(B149,'06 Training Register'!$A$6:$Y$55,15,FALSE),VLOOKUP(B149,'06 Training Register'!$A$6:$Y$55,12,FALSE)),""))</x:f>
      </x:c>
      <x:c r="E149" s="92"/>
      <x:c r="F149" s="94" t="str">
        <x:f>IFERROR(VLOOKUP(E149,'01 Staff Master'!$A$6:$M$105,2,FALSE),"")</x:f>
      </x:c>
      <x:c r="G149" s="94" t="str">
        <x:f>IFERROR(VLOOKUP(E149,'01 Staff Master'!$A$6:$M$105,3,FALSE),"")</x:f>
      </x:c>
      <x:c r="H149" s="94" t="str">
        <x:f>IFERROR(VLOOKUP(E149,'01 Staff Master'!$A$6:$M$105,5,FALSE),"")</x:f>
      </x:c>
      <x:c r="I149" s="94" t="str">
        <x:f>IFERROR(VLOOKUP(B149,'06 Training Register'!$A$6:$Y$55,4,FALSE),"")</x:f>
      </x:c>
      <x:c r="J149" s="92"/>
      <x:c r="K149" s="92"/>
      <x:c r="L149" s="92"/>
      <x:c r="M149" s="103"/>
      <x:c r="N149" s="103"/>
      <x:c r="O149" s="104" t="str">
        <x:f>IF(OR(M149="",N149=""),"",N149-M149)</x:f>
      </x:c>
      <x:c r="P149" s="103"/>
      <x:c r="Q149" s="94" t="str">
        <x:f>IF(OR(N149="",P149=""),"",IF(N149&gt;=P149,"Pass","Not Yet"))</x:f>
      </x:c>
      <x:c r="R149" s="92"/>
      <x:c r="S149" s="93"/>
      <x:c r="T149" s="102" t="str">
        <x:f>IF(OR(D149="",K149&lt;&gt;"Attended"),"",D149+3)</x:f>
      </x:c>
      <x:c r="U149" s="94" t="str">
        <x:f>IF(A149="","",IF(K149&lt;&gt;"Attended","N/A",IF(COUNTIFS('12 Training Evaluation'!$B$6:$B$155,B149,'12 Training Evaluation'!$C$6:$C$155,E149,'12 Training Evaluation'!$W$6:$W$155,"Complete")&gt;0,"Complete","Pending")))</x:f>
      </x:c>
      <x:c r="V149" s="102" t="str">
        <x:f>IF(OR(D149="",K149&lt;&gt;"Attended"),"",D149+30)</x:f>
      </x:c>
      <x:c r="W149" s="94" t="str">
        <x:f>IF(A149="","",IF(K149&lt;&gt;"Attended","N/A",IF(COUNTIFS('13 Effectiveness Review'!$B$6:$B$155,B149,'13 Effectiveness Review'!$C$6:$C$155,E149)&gt;0,"Reviewed",IF(V149&lt;TODAY(),"Overdue","Due"))))</x:f>
      </x:c>
      <x:c r="X149" s="92"/>
      <x:c r="Y149" s="92"/>
      <x:c r="Z149" s="92"/>
      <x:c r="AA149" s="85" t="str">
        <x:f>IF(E149="","",E149&amp;"|"&amp;COUNTIF($E$6:E149,E149))</x:f>
      </x:c>
      <x:c r="AB149" s="85" t="str">
        <x:f>IF(A149="","",A149)</x:f>
      </x:c>
      <x:c r="AC149" s="85" t="str">
        <x:f>IF(A149="","",B149)</x:f>
      </x:c>
      <x:c r="AD149" s="85" t="str">
        <x:f>IF(A149="","",C149)</x:f>
      </x:c>
      <x:c r="AE149" s="85" t="str">
        <x:f>IF(A149="","",D149)</x:f>
      </x:c>
      <x:c r="AF149" s="85" t="str">
        <x:f>IF(A149="","",L149)</x:f>
      </x:c>
      <x:c r="AG149" s="85" t="str">
        <x:f>IF(A149="","",K149)</x:f>
      </x:c>
      <x:c r="AH149" s="85" t="str">
        <x:f>IF(A149="","",Q149)</x:f>
      </x:c>
      <x:c r="AI149" s="85" t="str">
        <x:f>IF(A149="","",R149)</x:f>
      </x:c>
      <x:c r="AJ149" s="85" t="str">
        <x:f>IF(A149="","",U149)</x:f>
      </x:c>
      <x:c r="AK149" s="85" t="str">
        <x:f>IF(A149="","",W149)</x:f>
      </x:c>
      <x:c r="AL149" s="85" t="str">
        <x:f>IFERROR(IF(A149="","",Y149),"")</x:f>
      </x:c>
      <x:c r="AM149" s="85" t="str">
        <x:f>IFERROR(IF(A149="","",Z149),"")</x:f>
      </x:c>
    </x:row>
    <x:row r="150">
      <x:c r="A150" s="92"/>
      <x:c r="B150" s="92"/>
      <x:c r="C150" s="94" t="str">
        <x:f>IFERROR(VLOOKUP(B150,'06 Training Register'!$A$6:$Y$55,3,FALSE),"")</x:f>
      </x:c>
      <x:c r="D150" s="102" t="str">
        <x:f>IF(B150="","",IFERROR(IF(VLOOKUP(B150,'06 Training Register'!$A$6:$Y$55,15,FALSE)&gt;0,VLOOKUP(B150,'06 Training Register'!$A$6:$Y$55,15,FALSE),VLOOKUP(B150,'06 Training Register'!$A$6:$Y$55,12,FALSE)),""))</x:f>
      </x:c>
      <x:c r="E150" s="92"/>
      <x:c r="F150" s="94" t="str">
        <x:f>IFERROR(VLOOKUP(E150,'01 Staff Master'!$A$6:$M$105,2,FALSE),"")</x:f>
      </x:c>
      <x:c r="G150" s="94" t="str">
        <x:f>IFERROR(VLOOKUP(E150,'01 Staff Master'!$A$6:$M$105,3,FALSE),"")</x:f>
      </x:c>
      <x:c r="H150" s="94" t="str">
        <x:f>IFERROR(VLOOKUP(E150,'01 Staff Master'!$A$6:$M$105,5,FALSE),"")</x:f>
      </x:c>
      <x:c r="I150" s="94" t="str">
        <x:f>IFERROR(VLOOKUP(B150,'06 Training Register'!$A$6:$Y$55,4,FALSE),"")</x:f>
      </x:c>
      <x:c r="J150" s="92"/>
      <x:c r="K150" s="92"/>
      <x:c r="L150" s="92"/>
      <x:c r="M150" s="103"/>
      <x:c r="N150" s="103"/>
      <x:c r="O150" s="104" t="str">
        <x:f>IF(OR(M150="",N150=""),"",N150-M150)</x:f>
      </x:c>
      <x:c r="P150" s="103"/>
      <x:c r="Q150" s="94" t="str">
        <x:f>IF(OR(N150="",P150=""),"",IF(N150&gt;=P150,"Pass","Not Yet"))</x:f>
      </x:c>
      <x:c r="R150" s="92"/>
      <x:c r="S150" s="93"/>
      <x:c r="T150" s="102" t="str">
        <x:f>IF(OR(D150="",K150&lt;&gt;"Attended"),"",D150+3)</x:f>
      </x:c>
      <x:c r="U150" s="94" t="str">
        <x:f>IF(A150="","",IF(K150&lt;&gt;"Attended","N/A",IF(COUNTIFS('12 Training Evaluation'!$B$6:$B$155,B150,'12 Training Evaluation'!$C$6:$C$155,E150,'12 Training Evaluation'!$W$6:$W$155,"Complete")&gt;0,"Complete","Pending")))</x:f>
      </x:c>
      <x:c r="V150" s="102" t="str">
        <x:f>IF(OR(D150="",K150&lt;&gt;"Attended"),"",D150+30)</x:f>
      </x:c>
      <x:c r="W150" s="94" t="str">
        <x:f>IF(A150="","",IF(K150&lt;&gt;"Attended","N/A",IF(COUNTIFS('13 Effectiveness Review'!$B$6:$B$155,B150,'13 Effectiveness Review'!$C$6:$C$155,E150)&gt;0,"Reviewed",IF(V150&lt;TODAY(),"Overdue","Due"))))</x:f>
      </x:c>
      <x:c r="X150" s="92"/>
      <x:c r="Y150" s="92"/>
      <x:c r="Z150" s="92"/>
      <x:c r="AA150" s="85" t="str">
        <x:f>IF(E150="","",E150&amp;"|"&amp;COUNTIF($E$6:E150,E150))</x:f>
      </x:c>
      <x:c r="AB150" s="85" t="str">
        <x:f>IF(A150="","",A150)</x:f>
      </x:c>
      <x:c r="AC150" s="85" t="str">
        <x:f>IF(A150="","",B150)</x:f>
      </x:c>
      <x:c r="AD150" s="85" t="str">
        <x:f>IF(A150="","",C150)</x:f>
      </x:c>
      <x:c r="AE150" s="85" t="str">
        <x:f>IF(A150="","",D150)</x:f>
      </x:c>
      <x:c r="AF150" s="85" t="str">
        <x:f>IF(A150="","",L150)</x:f>
      </x:c>
      <x:c r="AG150" s="85" t="str">
        <x:f>IF(A150="","",K150)</x:f>
      </x:c>
      <x:c r="AH150" s="85" t="str">
        <x:f>IF(A150="","",Q150)</x:f>
      </x:c>
      <x:c r="AI150" s="85" t="str">
        <x:f>IF(A150="","",R150)</x:f>
      </x:c>
      <x:c r="AJ150" s="85" t="str">
        <x:f>IF(A150="","",U150)</x:f>
      </x:c>
      <x:c r="AK150" s="85" t="str">
        <x:f>IF(A150="","",W150)</x:f>
      </x:c>
      <x:c r="AL150" s="85" t="str">
        <x:f>IFERROR(IF(A150="","",Y150),"")</x:f>
      </x:c>
      <x:c r="AM150" s="85" t="str">
        <x:f>IFERROR(IF(A150="","",Z150),"")</x:f>
      </x:c>
    </x:row>
    <x:row r="151">
      <x:c r="A151" s="92"/>
      <x:c r="B151" s="92"/>
      <x:c r="C151" s="94" t="str">
        <x:f>IFERROR(VLOOKUP(B151,'06 Training Register'!$A$6:$Y$55,3,FALSE),"")</x:f>
      </x:c>
      <x:c r="D151" s="102" t="str">
        <x:f>IF(B151="","",IFERROR(IF(VLOOKUP(B151,'06 Training Register'!$A$6:$Y$55,15,FALSE)&gt;0,VLOOKUP(B151,'06 Training Register'!$A$6:$Y$55,15,FALSE),VLOOKUP(B151,'06 Training Register'!$A$6:$Y$55,12,FALSE)),""))</x:f>
      </x:c>
      <x:c r="E151" s="92"/>
      <x:c r="F151" s="94" t="str">
        <x:f>IFERROR(VLOOKUP(E151,'01 Staff Master'!$A$6:$M$105,2,FALSE),"")</x:f>
      </x:c>
      <x:c r="G151" s="94" t="str">
        <x:f>IFERROR(VLOOKUP(E151,'01 Staff Master'!$A$6:$M$105,3,FALSE),"")</x:f>
      </x:c>
      <x:c r="H151" s="94" t="str">
        <x:f>IFERROR(VLOOKUP(E151,'01 Staff Master'!$A$6:$M$105,5,FALSE),"")</x:f>
      </x:c>
      <x:c r="I151" s="94" t="str">
        <x:f>IFERROR(VLOOKUP(B151,'06 Training Register'!$A$6:$Y$55,4,FALSE),"")</x:f>
      </x:c>
      <x:c r="J151" s="92"/>
      <x:c r="K151" s="92"/>
      <x:c r="L151" s="92"/>
      <x:c r="M151" s="103"/>
      <x:c r="N151" s="103"/>
      <x:c r="O151" s="104" t="str">
        <x:f>IF(OR(M151="",N151=""),"",N151-M151)</x:f>
      </x:c>
      <x:c r="P151" s="103"/>
      <x:c r="Q151" s="94" t="str">
        <x:f>IF(OR(N151="",P151=""),"",IF(N151&gt;=P151,"Pass","Not Yet"))</x:f>
      </x:c>
      <x:c r="R151" s="92"/>
      <x:c r="S151" s="93"/>
      <x:c r="T151" s="102" t="str">
        <x:f>IF(OR(D151="",K151&lt;&gt;"Attended"),"",D151+3)</x:f>
      </x:c>
      <x:c r="U151" s="94" t="str">
        <x:f>IF(A151="","",IF(K151&lt;&gt;"Attended","N/A",IF(COUNTIFS('12 Training Evaluation'!$B$6:$B$155,B151,'12 Training Evaluation'!$C$6:$C$155,E151,'12 Training Evaluation'!$W$6:$W$155,"Complete")&gt;0,"Complete","Pending")))</x:f>
      </x:c>
      <x:c r="V151" s="102" t="str">
        <x:f>IF(OR(D151="",K151&lt;&gt;"Attended"),"",D151+30)</x:f>
      </x:c>
      <x:c r="W151" s="94" t="str">
        <x:f>IF(A151="","",IF(K151&lt;&gt;"Attended","N/A",IF(COUNTIFS('13 Effectiveness Review'!$B$6:$B$155,B151,'13 Effectiveness Review'!$C$6:$C$155,E151)&gt;0,"Reviewed",IF(V151&lt;TODAY(),"Overdue","Due"))))</x:f>
      </x:c>
      <x:c r="X151" s="92"/>
      <x:c r="Y151" s="92"/>
      <x:c r="Z151" s="92"/>
      <x:c r="AA151" s="85" t="str">
        <x:f>IF(E151="","",E151&amp;"|"&amp;COUNTIF($E$6:E151,E151))</x:f>
      </x:c>
      <x:c r="AB151" s="85" t="str">
        <x:f>IF(A151="","",A151)</x:f>
      </x:c>
      <x:c r="AC151" s="85" t="str">
        <x:f>IF(A151="","",B151)</x:f>
      </x:c>
      <x:c r="AD151" s="85" t="str">
        <x:f>IF(A151="","",C151)</x:f>
      </x:c>
      <x:c r="AE151" s="85" t="str">
        <x:f>IF(A151="","",D151)</x:f>
      </x:c>
      <x:c r="AF151" s="85" t="str">
        <x:f>IF(A151="","",L151)</x:f>
      </x:c>
      <x:c r="AG151" s="85" t="str">
        <x:f>IF(A151="","",K151)</x:f>
      </x:c>
      <x:c r="AH151" s="85" t="str">
        <x:f>IF(A151="","",Q151)</x:f>
      </x:c>
      <x:c r="AI151" s="85" t="str">
        <x:f>IF(A151="","",R151)</x:f>
      </x:c>
      <x:c r="AJ151" s="85" t="str">
        <x:f>IF(A151="","",U151)</x:f>
      </x:c>
      <x:c r="AK151" s="85" t="str">
        <x:f>IF(A151="","",W151)</x:f>
      </x:c>
      <x:c r="AL151" s="85" t="str">
        <x:f>IFERROR(IF(A151="","",Y151),"")</x:f>
      </x:c>
      <x:c r="AM151" s="85" t="str">
        <x:f>IFERROR(IF(A151="","",Z151),"")</x:f>
      </x:c>
    </x:row>
    <x:row r="152">
      <x:c r="A152" s="92"/>
      <x:c r="B152" s="92"/>
      <x:c r="C152" s="94" t="str">
        <x:f>IFERROR(VLOOKUP(B152,'06 Training Register'!$A$6:$Y$55,3,FALSE),"")</x:f>
      </x:c>
      <x:c r="D152" s="102" t="str">
        <x:f>IF(B152="","",IFERROR(IF(VLOOKUP(B152,'06 Training Register'!$A$6:$Y$55,15,FALSE)&gt;0,VLOOKUP(B152,'06 Training Register'!$A$6:$Y$55,15,FALSE),VLOOKUP(B152,'06 Training Register'!$A$6:$Y$55,12,FALSE)),""))</x:f>
      </x:c>
      <x:c r="E152" s="92"/>
      <x:c r="F152" s="94" t="str">
        <x:f>IFERROR(VLOOKUP(E152,'01 Staff Master'!$A$6:$M$105,2,FALSE),"")</x:f>
      </x:c>
      <x:c r="G152" s="94" t="str">
        <x:f>IFERROR(VLOOKUP(E152,'01 Staff Master'!$A$6:$M$105,3,FALSE),"")</x:f>
      </x:c>
      <x:c r="H152" s="94" t="str">
        <x:f>IFERROR(VLOOKUP(E152,'01 Staff Master'!$A$6:$M$105,5,FALSE),"")</x:f>
      </x:c>
      <x:c r="I152" s="94" t="str">
        <x:f>IFERROR(VLOOKUP(B152,'06 Training Register'!$A$6:$Y$55,4,FALSE),"")</x:f>
      </x:c>
      <x:c r="J152" s="92"/>
      <x:c r="K152" s="92"/>
      <x:c r="L152" s="92"/>
      <x:c r="M152" s="103"/>
      <x:c r="N152" s="103"/>
      <x:c r="O152" s="104" t="str">
        <x:f>IF(OR(M152="",N152=""),"",N152-M152)</x:f>
      </x:c>
      <x:c r="P152" s="103"/>
      <x:c r="Q152" s="94" t="str">
        <x:f>IF(OR(N152="",P152=""),"",IF(N152&gt;=P152,"Pass","Not Yet"))</x:f>
      </x:c>
      <x:c r="R152" s="92"/>
      <x:c r="S152" s="93"/>
      <x:c r="T152" s="102" t="str">
        <x:f>IF(OR(D152="",K152&lt;&gt;"Attended"),"",D152+3)</x:f>
      </x:c>
      <x:c r="U152" s="94" t="str">
        <x:f>IF(A152="","",IF(K152&lt;&gt;"Attended","N/A",IF(COUNTIFS('12 Training Evaluation'!$B$6:$B$155,B152,'12 Training Evaluation'!$C$6:$C$155,E152,'12 Training Evaluation'!$W$6:$W$155,"Complete")&gt;0,"Complete","Pending")))</x:f>
      </x:c>
      <x:c r="V152" s="102" t="str">
        <x:f>IF(OR(D152="",K152&lt;&gt;"Attended"),"",D152+30)</x:f>
      </x:c>
      <x:c r="W152" s="94" t="str">
        <x:f>IF(A152="","",IF(K152&lt;&gt;"Attended","N/A",IF(COUNTIFS('13 Effectiveness Review'!$B$6:$B$155,B152,'13 Effectiveness Review'!$C$6:$C$155,E152)&gt;0,"Reviewed",IF(V152&lt;TODAY(),"Overdue","Due"))))</x:f>
      </x:c>
      <x:c r="X152" s="92"/>
      <x:c r="Y152" s="92"/>
      <x:c r="Z152" s="92"/>
      <x:c r="AA152" s="85" t="str">
        <x:f>IF(E152="","",E152&amp;"|"&amp;COUNTIF($E$6:E152,E152))</x:f>
      </x:c>
      <x:c r="AB152" s="85" t="str">
        <x:f>IF(A152="","",A152)</x:f>
      </x:c>
      <x:c r="AC152" s="85" t="str">
        <x:f>IF(A152="","",B152)</x:f>
      </x:c>
      <x:c r="AD152" s="85" t="str">
        <x:f>IF(A152="","",C152)</x:f>
      </x:c>
      <x:c r="AE152" s="85" t="str">
        <x:f>IF(A152="","",D152)</x:f>
      </x:c>
      <x:c r="AF152" s="85" t="str">
        <x:f>IF(A152="","",L152)</x:f>
      </x:c>
      <x:c r="AG152" s="85" t="str">
        <x:f>IF(A152="","",K152)</x:f>
      </x:c>
      <x:c r="AH152" s="85" t="str">
        <x:f>IF(A152="","",Q152)</x:f>
      </x:c>
      <x:c r="AI152" s="85" t="str">
        <x:f>IF(A152="","",R152)</x:f>
      </x:c>
      <x:c r="AJ152" s="85" t="str">
        <x:f>IF(A152="","",U152)</x:f>
      </x:c>
      <x:c r="AK152" s="85" t="str">
        <x:f>IF(A152="","",W152)</x:f>
      </x:c>
      <x:c r="AL152" s="85" t="str">
        <x:f>IFERROR(IF(A152="","",Y152),"")</x:f>
      </x:c>
      <x:c r="AM152" s="85" t="str">
        <x:f>IFERROR(IF(A152="","",Z152),"")</x:f>
      </x:c>
    </x:row>
    <x:row r="153">
      <x:c r="A153" s="92"/>
      <x:c r="B153" s="92"/>
      <x:c r="C153" s="94" t="str">
        <x:f>IFERROR(VLOOKUP(B153,'06 Training Register'!$A$6:$Y$55,3,FALSE),"")</x:f>
      </x:c>
      <x:c r="D153" s="102" t="str">
        <x:f>IF(B153="","",IFERROR(IF(VLOOKUP(B153,'06 Training Register'!$A$6:$Y$55,15,FALSE)&gt;0,VLOOKUP(B153,'06 Training Register'!$A$6:$Y$55,15,FALSE),VLOOKUP(B153,'06 Training Register'!$A$6:$Y$55,12,FALSE)),""))</x:f>
      </x:c>
      <x:c r="E153" s="92"/>
      <x:c r="F153" s="94" t="str">
        <x:f>IFERROR(VLOOKUP(E153,'01 Staff Master'!$A$6:$M$105,2,FALSE),"")</x:f>
      </x:c>
      <x:c r="G153" s="94" t="str">
        <x:f>IFERROR(VLOOKUP(E153,'01 Staff Master'!$A$6:$M$105,3,FALSE),"")</x:f>
      </x:c>
      <x:c r="H153" s="94" t="str">
        <x:f>IFERROR(VLOOKUP(E153,'01 Staff Master'!$A$6:$M$105,5,FALSE),"")</x:f>
      </x:c>
      <x:c r="I153" s="94" t="str">
        <x:f>IFERROR(VLOOKUP(B153,'06 Training Register'!$A$6:$Y$55,4,FALSE),"")</x:f>
      </x:c>
      <x:c r="J153" s="92"/>
      <x:c r="K153" s="92"/>
      <x:c r="L153" s="92"/>
      <x:c r="M153" s="103"/>
      <x:c r="N153" s="103"/>
      <x:c r="O153" s="104" t="str">
        <x:f>IF(OR(M153="",N153=""),"",N153-M153)</x:f>
      </x:c>
      <x:c r="P153" s="103"/>
      <x:c r="Q153" s="94" t="str">
        <x:f>IF(OR(N153="",P153=""),"",IF(N153&gt;=P153,"Pass","Not Yet"))</x:f>
      </x:c>
      <x:c r="R153" s="92"/>
      <x:c r="S153" s="93"/>
      <x:c r="T153" s="102" t="str">
        <x:f>IF(OR(D153="",K153&lt;&gt;"Attended"),"",D153+3)</x:f>
      </x:c>
      <x:c r="U153" s="94" t="str">
        <x:f>IF(A153="","",IF(K153&lt;&gt;"Attended","N/A",IF(COUNTIFS('12 Training Evaluation'!$B$6:$B$155,B153,'12 Training Evaluation'!$C$6:$C$155,E153,'12 Training Evaluation'!$W$6:$W$155,"Complete")&gt;0,"Complete","Pending")))</x:f>
      </x:c>
      <x:c r="V153" s="102" t="str">
        <x:f>IF(OR(D153="",K153&lt;&gt;"Attended"),"",D153+30)</x:f>
      </x:c>
      <x:c r="W153" s="94" t="str">
        <x:f>IF(A153="","",IF(K153&lt;&gt;"Attended","N/A",IF(COUNTIFS('13 Effectiveness Review'!$B$6:$B$155,B153,'13 Effectiveness Review'!$C$6:$C$155,E153)&gt;0,"Reviewed",IF(V153&lt;TODAY(),"Overdue","Due"))))</x:f>
      </x:c>
      <x:c r="X153" s="92"/>
      <x:c r="Y153" s="92"/>
      <x:c r="Z153" s="92"/>
      <x:c r="AA153" s="85" t="str">
        <x:f>IF(E153="","",E153&amp;"|"&amp;COUNTIF($E$6:E153,E153))</x:f>
      </x:c>
      <x:c r="AB153" s="85" t="str">
        <x:f>IF(A153="","",A153)</x:f>
      </x:c>
      <x:c r="AC153" s="85" t="str">
        <x:f>IF(A153="","",B153)</x:f>
      </x:c>
      <x:c r="AD153" s="85" t="str">
        <x:f>IF(A153="","",C153)</x:f>
      </x:c>
      <x:c r="AE153" s="85" t="str">
        <x:f>IF(A153="","",D153)</x:f>
      </x:c>
      <x:c r="AF153" s="85" t="str">
        <x:f>IF(A153="","",L153)</x:f>
      </x:c>
      <x:c r="AG153" s="85" t="str">
        <x:f>IF(A153="","",K153)</x:f>
      </x:c>
      <x:c r="AH153" s="85" t="str">
        <x:f>IF(A153="","",Q153)</x:f>
      </x:c>
      <x:c r="AI153" s="85" t="str">
        <x:f>IF(A153="","",R153)</x:f>
      </x:c>
      <x:c r="AJ153" s="85" t="str">
        <x:f>IF(A153="","",U153)</x:f>
      </x:c>
      <x:c r="AK153" s="85" t="str">
        <x:f>IF(A153="","",W153)</x:f>
      </x:c>
      <x:c r="AL153" s="85" t="str">
        <x:f>IFERROR(IF(A153="","",Y153),"")</x:f>
      </x:c>
      <x:c r="AM153" s="85" t="str">
        <x:f>IFERROR(IF(A153="","",Z153),"")</x:f>
      </x:c>
    </x:row>
    <x:row r="154">
      <x:c r="A154" s="92"/>
      <x:c r="B154" s="92"/>
      <x:c r="C154" s="94" t="str">
        <x:f>IFERROR(VLOOKUP(B154,'06 Training Register'!$A$6:$Y$55,3,FALSE),"")</x:f>
      </x:c>
      <x:c r="D154" s="102" t="str">
        <x:f>IF(B154="","",IFERROR(IF(VLOOKUP(B154,'06 Training Register'!$A$6:$Y$55,15,FALSE)&gt;0,VLOOKUP(B154,'06 Training Register'!$A$6:$Y$55,15,FALSE),VLOOKUP(B154,'06 Training Register'!$A$6:$Y$55,12,FALSE)),""))</x:f>
      </x:c>
      <x:c r="E154" s="92"/>
      <x:c r="F154" s="94" t="str">
        <x:f>IFERROR(VLOOKUP(E154,'01 Staff Master'!$A$6:$M$105,2,FALSE),"")</x:f>
      </x:c>
      <x:c r="G154" s="94" t="str">
        <x:f>IFERROR(VLOOKUP(E154,'01 Staff Master'!$A$6:$M$105,3,FALSE),"")</x:f>
      </x:c>
      <x:c r="H154" s="94" t="str">
        <x:f>IFERROR(VLOOKUP(E154,'01 Staff Master'!$A$6:$M$105,5,FALSE),"")</x:f>
      </x:c>
      <x:c r="I154" s="94" t="str">
        <x:f>IFERROR(VLOOKUP(B154,'06 Training Register'!$A$6:$Y$55,4,FALSE),"")</x:f>
      </x:c>
      <x:c r="J154" s="92"/>
      <x:c r="K154" s="92"/>
      <x:c r="L154" s="92"/>
      <x:c r="M154" s="103"/>
      <x:c r="N154" s="103"/>
      <x:c r="O154" s="104" t="str">
        <x:f>IF(OR(M154="",N154=""),"",N154-M154)</x:f>
      </x:c>
      <x:c r="P154" s="103"/>
      <x:c r="Q154" s="94" t="str">
        <x:f>IF(OR(N154="",P154=""),"",IF(N154&gt;=P154,"Pass","Not Yet"))</x:f>
      </x:c>
      <x:c r="R154" s="92"/>
      <x:c r="S154" s="93"/>
      <x:c r="T154" s="102" t="str">
        <x:f>IF(OR(D154="",K154&lt;&gt;"Attended"),"",D154+3)</x:f>
      </x:c>
      <x:c r="U154" s="94" t="str">
        <x:f>IF(A154="","",IF(K154&lt;&gt;"Attended","N/A",IF(COUNTIFS('12 Training Evaluation'!$B$6:$B$155,B154,'12 Training Evaluation'!$C$6:$C$155,E154,'12 Training Evaluation'!$W$6:$W$155,"Complete")&gt;0,"Complete","Pending")))</x:f>
      </x:c>
      <x:c r="V154" s="102" t="str">
        <x:f>IF(OR(D154="",K154&lt;&gt;"Attended"),"",D154+30)</x:f>
      </x:c>
      <x:c r="W154" s="94" t="str">
        <x:f>IF(A154="","",IF(K154&lt;&gt;"Attended","N/A",IF(COUNTIFS('13 Effectiveness Review'!$B$6:$B$155,B154,'13 Effectiveness Review'!$C$6:$C$155,E154)&gt;0,"Reviewed",IF(V154&lt;TODAY(),"Overdue","Due"))))</x:f>
      </x:c>
      <x:c r="X154" s="92"/>
      <x:c r="Y154" s="92"/>
      <x:c r="Z154" s="92"/>
      <x:c r="AA154" s="85" t="str">
        <x:f>IF(E154="","",E154&amp;"|"&amp;COUNTIF($E$6:E154,E154))</x:f>
      </x:c>
      <x:c r="AB154" s="85" t="str">
        <x:f>IF(A154="","",A154)</x:f>
      </x:c>
      <x:c r="AC154" s="85" t="str">
        <x:f>IF(A154="","",B154)</x:f>
      </x:c>
      <x:c r="AD154" s="85" t="str">
        <x:f>IF(A154="","",C154)</x:f>
      </x:c>
      <x:c r="AE154" s="85" t="str">
        <x:f>IF(A154="","",D154)</x:f>
      </x:c>
      <x:c r="AF154" s="85" t="str">
        <x:f>IF(A154="","",L154)</x:f>
      </x:c>
      <x:c r="AG154" s="85" t="str">
        <x:f>IF(A154="","",K154)</x:f>
      </x:c>
      <x:c r="AH154" s="85" t="str">
        <x:f>IF(A154="","",Q154)</x:f>
      </x:c>
      <x:c r="AI154" s="85" t="str">
        <x:f>IF(A154="","",R154)</x:f>
      </x:c>
      <x:c r="AJ154" s="85" t="str">
        <x:f>IF(A154="","",U154)</x:f>
      </x:c>
      <x:c r="AK154" s="85" t="str">
        <x:f>IF(A154="","",W154)</x:f>
      </x:c>
      <x:c r="AL154" s="85" t="str">
        <x:f>IFERROR(IF(A154="","",Y154),"")</x:f>
      </x:c>
      <x:c r="AM154" s="85" t="str">
        <x:f>IFERROR(IF(A154="","",Z154),"")</x:f>
      </x:c>
    </x:row>
    <x:row r="155">
      <x:c r="A155" s="92"/>
      <x:c r="B155" s="92"/>
      <x:c r="C155" s="94" t="str">
        <x:f>IFERROR(VLOOKUP(B155,'06 Training Register'!$A$6:$Y$55,3,FALSE),"")</x:f>
      </x:c>
      <x:c r="D155" s="102" t="str">
        <x:f>IF(B155="","",IFERROR(IF(VLOOKUP(B155,'06 Training Register'!$A$6:$Y$55,15,FALSE)&gt;0,VLOOKUP(B155,'06 Training Register'!$A$6:$Y$55,15,FALSE),VLOOKUP(B155,'06 Training Register'!$A$6:$Y$55,12,FALSE)),""))</x:f>
      </x:c>
      <x:c r="E155" s="92"/>
      <x:c r="F155" s="94" t="str">
        <x:f>IFERROR(VLOOKUP(E155,'01 Staff Master'!$A$6:$M$105,2,FALSE),"")</x:f>
      </x:c>
      <x:c r="G155" s="94" t="str">
        <x:f>IFERROR(VLOOKUP(E155,'01 Staff Master'!$A$6:$M$105,3,FALSE),"")</x:f>
      </x:c>
      <x:c r="H155" s="94" t="str">
        <x:f>IFERROR(VLOOKUP(E155,'01 Staff Master'!$A$6:$M$105,5,FALSE),"")</x:f>
      </x:c>
      <x:c r="I155" s="94" t="str">
        <x:f>IFERROR(VLOOKUP(B155,'06 Training Register'!$A$6:$Y$55,4,FALSE),"")</x:f>
      </x:c>
      <x:c r="J155" s="92"/>
      <x:c r="K155" s="92"/>
      <x:c r="L155" s="92"/>
      <x:c r="M155" s="103"/>
      <x:c r="N155" s="103"/>
      <x:c r="O155" s="104" t="str">
        <x:f>IF(OR(M155="",N155=""),"",N155-M155)</x:f>
      </x:c>
      <x:c r="P155" s="103"/>
      <x:c r="Q155" s="94" t="str">
        <x:f>IF(OR(N155="",P155=""),"",IF(N155&gt;=P155,"Pass","Not Yet"))</x:f>
      </x:c>
      <x:c r="R155" s="92"/>
      <x:c r="S155" s="93"/>
      <x:c r="T155" s="102" t="str">
        <x:f>IF(OR(D155="",K155&lt;&gt;"Attended"),"",D155+3)</x:f>
      </x:c>
      <x:c r="U155" s="94" t="str">
        <x:f>IF(A155="","",IF(K155&lt;&gt;"Attended","N/A",IF(COUNTIFS('12 Training Evaluation'!$B$6:$B$155,B155,'12 Training Evaluation'!$C$6:$C$155,E155,'12 Training Evaluation'!$W$6:$W$155,"Complete")&gt;0,"Complete","Pending")))</x:f>
      </x:c>
      <x:c r="V155" s="102" t="str">
        <x:f>IF(OR(D155="",K155&lt;&gt;"Attended"),"",D155+30)</x:f>
      </x:c>
      <x:c r="W155" s="94" t="str">
        <x:f>IF(A155="","",IF(K155&lt;&gt;"Attended","N/A",IF(COUNTIFS('13 Effectiveness Review'!$B$6:$B$155,B155,'13 Effectiveness Review'!$C$6:$C$155,E155)&gt;0,"Reviewed",IF(V155&lt;TODAY(),"Overdue","Due"))))</x:f>
      </x:c>
      <x:c r="X155" s="92"/>
      <x:c r="Y155" s="92"/>
      <x:c r="Z155" s="92"/>
      <x:c r="AA155" s="85" t="str">
        <x:f>IF(E155="","",E155&amp;"|"&amp;COUNTIF($E$6:E155,E155))</x:f>
      </x:c>
      <x:c r="AB155" s="85" t="str">
        <x:f>IF(A155="","",A155)</x:f>
      </x:c>
      <x:c r="AC155" s="85" t="str">
        <x:f>IF(A155="","",B155)</x:f>
      </x:c>
      <x:c r="AD155" s="85" t="str">
        <x:f>IF(A155="","",C155)</x:f>
      </x:c>
      <x:c r="AE155" s="85" t="str">
        <x:f>IF(A155="","",D155)</x:f>
      </x:c>
      <x:c r="AF155" s="85" t="str">
        <x:f>IF(A155="","",L155)</x:f>
      </x:c>
      <x:c r="AG155" s="85" t="str">
        <x:f>IF(A155="","",K155)</x:f>
      </x:c>
      <x:c r="AH155" s="85" t="str">
        <x:f>IF(A155="","",Q155)</x:f>
      </x:c>
      <x:c r="AI155" s="85" t="str">
        <x:f>IF(A155="","",R155)</x:f>
      </x:c>
      <x:c r="AJ155" s="85" t="str">
        <x:f>IF(A155="","",U155)</x:f>
      </x:c>
      <x:c r="AK155" s="85" t="str">
        <x:f>IF(A155="","",W155)</x:f>
      </x:c>
      <x:c r="AL155" s="85" t="str">
        <x:f>IFERROR(IF(A155="","",Y155),"")</x:f>
      </x:c>
      <x:c r="AM155" s="85" t="str">
        <x:f>IFERROR(IF(A155="","",Z155),"")</x:f>
      </x:c>
    </x:row>
  </x:sheetData>
  <x:mergeCells>
    <x:mergeCell ref="A1:Z1"/>
    <x:mergeCell ref="A2:Z2"/>
    <x:mergeCell ref="A4:Z4"/>
  </x:mergeCells>
  <x:conditionalFormatting sqref="U6:U155">
    <x:cfRule type="cellIs" dxfId="19" priority="1">
      <x:formula>"Pending"</x:formula>
    </x:cfRule>
  </x:conditionalFormatting>
  <x:conditionalFormatting sqref="W6:W155">
    <x:cfRule type="cellIs" dxfId="20" priority="2">
      <x:formula>"Overdue"</x:formula>
    </x:cfRule>
  </x:conditionalFormatting>
  <x:dataValidations count="4">
    <x:dataValidation type="list" sqref="K6:K155">
      <x:formula1>"Nominated,Attended,Partially Attended,Absent,Cancelled"</x:formula1>
    </x:dataValidation>
    <x:dataValidation type="decimal" operator="between" sqref="L6:L155">
      <x:formula1>0</x:formula1>
      <x:formula2>200</x:formula2>
    </x:dataValidation>
    <x:dataValidation type="decimal" operator="between" sqref="M6:N155">
      <x:formula1>0</x:formula1>
      <x:formula2>1</x:formula2>
    </x:dataValidation>
    <x:dataValidation type="decimal" operator="between" sqref="P6:P155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871d8026dd284d8c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5" hidden="0" customWidth="1"/>
    <x:col min="3" max="3" width="14" hidden="0" customWidth="1"/>
    <x:col min="4" max="4" width="20" hidden="0" customWidth="1"/>
    <x:col min="5" max="5" width="16" hidden="0" customWidth="1"/>
    <x:col min="6" max="6" width="14" hidden="0" customWidth="1"/>
    <x:col min="7" max="7" width="12" hidden="0" customWidth="1"/>
    <x:col min="8" max="8" width="13" hidden="0" customWidth="1"/>
    <x:col min="9" max="9" width="14" hidden="0" customWidth="1"/>
    <x:col min="10" max="10" width="16" hidden="0" customWidth="1"/>
    <x:col min="11" max="11" width="16" hidden="0" customWidth="1"/>
    <x:col min="12" max="12" width="14" hidden="0" customWidth="1"/>
    <x:col min="13" max="13" width="16" hidden="0" customWidth="1"/>
    <x:col min="14" max="14" width="16" hidden="0" customWidth="1"/>
    <x:col min="15" max="15" width="14" hidden="0" customWidth="1"/>
    <x:col min="16" max="16" width="34" hidden="0" customWidth="1"/>
    <x:col min="17" max="17" width="34" hidden="0" customWidth="1"/>
    <x:col min="18" max="18" width="30" hidden="0" customWidth="1"/>
    <x:col min="19" max="19" width="13" hidden="0" customWidth="1"/>
    <x:col min="20" max="20" width="34" hidden="0" customWidth="1"/>
    <x:col min="21" max="21" width="28" hidden="0" customWidth="1"/>
    <x:col min="22" max="22" width="16" hidden="0" customWidth="1"/>
    <x:col min="23" max="23" width="18" hidden="0" customWidth="1"/>
    <x:col min="24" max="24" width="28" hidden="0" customWidth="1"/>
  </x:cols>
  <x:sheetData>
    <x:row r="1" ht="30" customHeight="1">
      <x:c r="A1" s="70" t="str">
        <x:v>SBTG Participant Training Evaluation Register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0"/>
      <x:c r="L1" s="70"/>
      <x:c r="M1" s="70"/>
      <x:c r="N1" s="70"/>
      <x:c r="O1" s="70"/>
      <x:c r="P1" s="70"/>
      <x:c r="Q1" s="70"/>
      <x:c r="R1" s="70"/>
      <x:c r="S1" s="70"/>
      <x:c r="T1" s="70"/>
      <x:c r="U1" s="70"/>
      <x:c r="V1" s="70"/>
      <x:c r="W1" s="70"/>
      <x:c r="X1" s="70"/>
    </x:row>
    <x:row r="2" ht="36" customHeight="1">
      <x:c r="A2" s="74" t="str">
        <x:v>Complete after each training. Ratings are 1–5. Capture usefulness, application commitment and support needed—not attendance satisfaction alone.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  <x:c r="O2" s="74"/>
      <x:c r="P2" s="74"/>
      <x:c r="Q2" s="74"/>
      <x:c r="R2" s="74"/>
      <x:c r="S2" s="74"/>
      <x:c r="T2" s="74"/>
      <x:c r="U2" s="74"/>
      <x:c r="V2" s="74"/>
      <x:c r="W2" s="74"/>
      <x:c r="X2" s="74"/>
    </x:row>
    <x:row r="4" ht="24" customHeight="1">
      <x:c r="A4" s="77" t="str">
        <x:v>PARTICIPANT REACTION + LEARNING APPLICATION COMMITMENT</x:v>
      </x:c>
      <x:c r="B4" s="77"/>
      <x:c r="C4" s="77"/>
      <x:c r="D4" s="77"/>
      <x:c r="E4" s="77"/>
      <x:c r="F4" s="77"/>
      <x:c r="G4" s="77"/>
      <x:c r="H4" s="77"/>
      <x:c r="I4" s="77"/>
      <x:c r="J4" s="77"/>
      <x:c r="K4" s="77"/>
      <x:c r="L4" s="77"/>
      <x:c r="M4" s="77"/>
      <x:c r="N4" s="77"/>
      <x:c r="O4" s="77"/>
      <x:c r="P4" s="77"/>
      <x:c r="Q4" s="77"/>
      <x:c r="R4" s="77"/>
      <x:c r="S4" s="77"/>
      <x:c r="T4" s="77"/>
      <x:c r="U4" s="77"/>
      <x:c r="V4" s="77"/>
      <x:c r="W4" s="77"/>
      <x:c r="X4" s="77"/>
    </x:row>
    <x:row r="5" ht="38" customHeight="1">
      <x:c r="A5" s="83" t="str">
        <x:v>Evaluation ID</x:v>
      </x:c>
      <x:c r="B5" s="83" t="str">
        <x:v>Training ID</x:v>
      </x:c>
      <x:c r="C5" s="83" t="str">
        <x:v>Staff ID</x:v>
      </x:c>
      <x:c r="D5" s="83" t="str">
        <x:v>Staff Name</x:v>
      </x:c>
      <x:c r="E5" s="83" t="str">
        <x:v>Department</x:v>
      </x:c>
      <x:c r="F5" s="83" t="str">
        <x:v>Evaluation Date</x:v>
      </x:c>
      <x:c r="G5" s="83" t="str">
        <x:v>Relevance</x:v>
      </x:c>
      <x:c r="H5" s="83" t="str">
        <x:v>Objectives Met</x:v>
      </x:c>
      <x:c r="I5" s="83" t="str">
        <x:v>Content Quality</x:v>
      </x:c>
      <x:c r="J5" s="83" t="str">
        <x:v>Trainer Effectiveness</x:v>
      </x:c>
      <x:c r="K5" s="83" t="str">
        <x:v>Materials / Exercises</x:v>
      </x:c>
      <x:c r="L5" s="83" t="str">
        <x:v>Pace / Duration</x:v>
      </x:c>
      <x:c r="M5" s="83" t="str">
        <x:v>Practical Usefulness</x:v>
      </x:c>
      <x:c r="N5" s="83" t="str">
        <x:v>Overall Satisfaction</x:v>
      </x:c>
      <x:c r="O5" s="83" t="str">
        <x:v>Average Rating</x:v>
      </x:c>
      <x:c r="P5" s="83" t="str">
        <x:v>Most Useful Learning</x:v>
      </x:c>
      <x:c r="Q5" s="83" t="str">
        <x:v>Job Application Commitment</x:v>
      </x:c>
      <x:c r="R5" s="83" t="str">
        <x:v>Support Needed</x:v>
      </x:c>
      <x:c r="S5" s="83" t="str">
        <x:v>Recommend?</x:v>
      </x:c>
      <x:c r="T5" s="83" t="str">
        <x:v>Issues / Improvement Suggestions</x:v>
      </x:c>
      <x:c r="U5" s="83" t="str">
        <x:v>HR Follow-up</x:v>
      </x:c>
      <x:c r="V5" s="83" t="str">
        <x:v>HOD Visibility</x:v>
      </x:c>
      <x:c r="W5" s="83" t="str">
        <x:v>Completion Status</x:v>
      </x:c>
      <x:c r="X5" s="83" t="str">
        <x:v>Notes</x:v>
      </x:c>
    </x:row>
    <x:row r="6">
      <x:c r="A6" s="92"/>
      <x:c r="B6" s="92"/>
      <x:c r="C6" s="92"/>
      <x:c r="D6" s="94" t="str">
        <x:f>IFERROR(VLOOKUP(C6,'01 Staff Master'!$A$6:$M$105,2,FALSE),"")</x:f>
      </x:c>
      <x:c r="E6" s="94" t="str">
        <x:f>IFERROR(VLOOKUP(C6,'01 Staff Master'!$A$6:$M$105,3,FALSE),"")</x:f>
      </x:c>
      <x:c r="F6" s="93"/>
      <x:c r="G6" s="92"/>
      <x:c r="H6" s="92"/>
      <x:c r="I6" s="92"/>
      <x:c r="J6" s="92"/>
      <x:c r="K6" s="92"/>
      <x:c r="L6" s="92"/>
      <x:c r="M6" s="92"/>
      <x:c r="N6" s="92"/>
      <x:c r="O6" s="107" t="str">
        <x:f>IF(COUNT(G6:N6)=0,"",AVERAGE(G6:N6))</x:f>
      </x:c>
      <x:c r="P6" s="92"/>
      <x:c r="Q6" s="92"/>
      <x:c r="R6" s="92"/>
      <x:c r="S6" s="92"/>
      <x:c r="T6" s="92"/>
      <x:c r="U6" s="92"/>
      <x:c r="V6" s="92"/>
      <x:c r="W6" s="94" t="str">
        <x:f>IF(A6="","",IF(AND(F6&lt;&gt;"",COUNT(G6:N6)=8,P6&lt;&gt;"",Q6&lt;&gt;""),"Complete","Incomplete"))</x:f>
      </x:c>
      <x:c r="X6" s="92"/>
    </x:row>
    <x:row r="7">
      <x:c r="A7" s="92"/>
      <x:c r="B7" s="92"/>
      <x:c r="C7" s="92"/>
      <x:c r="D7" s="94" t="str">
        <x:f>IFERROR(VLOOKUP(C7,'01 Staff Master'!$A$6:$M$105,2,FALSE),"")</x:f>
      </x:c>
      <x:c r="E7" s="94" t="str">
        <x:f>IFERROR(VLOOKUP(C7,'01 Staff Master'!$A$6:$M$105,3,FALSE),"")</x:f>
      </x:c>
      <x:c r="F7" s="93"/>
      <x:c r="G7" s="92"/>
      <x:c r="H7" s="92"/>
      <x:c r="I7" s="92"/>
      <x:c r="J7" s="92"/>
      <x:c r="K7" s="92"/>
      <x:c r="L7" s="92"/>
      <x:c r="M7" s="92"/>
      <x:c r="N7" s="92"/>
      <x:c r="O7" s="107" t="str">
        <x:f>IF(COUNT(G7:N7)=0,"",AVERAGE(G7:N7))</x:f>
      </x:c>
      <x:c r="P7" s="92"/>
      <x:c r="Q7" s="92"/>
      <x:c r="R7" s="92"/>
      <x:c r="S7" s="92"/>
      <x:c r="T7" s="92"/>
      <x:c r="U7" s="92"/>
      <x:c r="V7" s="92"/>
      <x:c r="W7" s="94" t="str">
        <x:f>IF(A7="","",IF(AND(F7&lt;&gt;"",COUNT(G7:N7)=8,P7&lt;&gt;"",Q7&lt;&gt;""),"Complete","Incomplete"))</x:f>
      </x:c>
      <x:c r="X7" s="92"/>
    </x:row>
    <x:row r="8">
      <x:c r="A8" s="92"/>
      <x:c r="B8" s="92"/>
      <x:c r="C8" s="92"/>
      <x:c r="D8" s="94" t="str">
        <x:f>IFERROR(VLOOKUP(C8,'01 Staff Master'!$A$6:$M$105,2,FALSE),"")</x:f>
      </x:c>
      <x:c r="E8" s="94" t="str">
        <x:f>IFERROR(VLOOKUP(C8,'01 Staff Master'!$A$6:$M$105,3,FALSE),"")</x:f>
      </x:c>
      <x:c r="F8" s="93"/>
      <x:c r="G8" s="92"/>
      <x:c r="H8" s="92"/>
      <x:c r="I8" s="92"/>
      <x:c r="J8" s="92"/>
      <x:c r="K8" s="92"/>
      <x:c r="L8" s="92"/>
      <x:c r="M8" s="92"/>
      <x:c r="N8" s="92"/>
      <x:c r="O8" s="107" t="str">
        <x:f>IF(COUNT(G8:N8)=0,"",AVERAGE(G8:N8))</x:f>
      </x:c>
      <x:c r="P8" s="92"/>
      <x:c r="Q8" s="92"/>
      <x:c r="R8" s="92"/>
      <x:c r="S8" s="92"/>
      <x:c r="T8" s="92"/>
      <x:c r="U8" s="92"/>
      <x:c r="V8" s="92"/>
      <x:c r="W8" s="94" t="str">
        <x:f>IF(A8="","",IF(AND(F8&lt;&gt;"",COUNT(G8:N8)=8,P8&lt;&gt;"",Q8&lt;&gt;""),"Complete","Incomplete"))</x:f>
      </x:c>
      <x:c r="X8" s="92"/>
    </x:row>
    <x:row r="9">
      <x:c r="A9" s="92"/>
      <x:c r="B9" s="92"/>
      <x:c r="C9" s="92"/>
      <x:c r="D9" s="94" t="str">
        <x:f>IFERROR(VLOOKUP(C9,'01 Staff Master'!$A$6:$M$105,2,FALSE),"")</x:f>
      </x:c>
      <x:c r="E9" s="94" t="str">
        <x:f>IFERROR(VLOOKUP(C9,'01 Staff Master'!$A$6:$M$105,3,FALSE),"")</x:f>
      </x:c>
      <x:c r="F9" s="93"/>
      <x:c r="G9" s="92"/>
      <x:c r="H9" s="92"/>
      <x:c r="I9" s="92"/>
      <x:c r="J9" s="92"/>
      <x:c r="K9" s="92"/>
      <x:c r="L9" s="92"/>
      <x:c r="M9" s="92"/>
      <x:c r="N9" s="92"/>
      <x:c r="O9" s="107" t="str">
        <x:f>IF(COUNT(G9:N9)=0,"",AVERAGE(G9:N9))</x:f>
      </x:c>
      <x:c r="P9" s="92"/>
      <x:c r="Q9" s="92"/>
      <x:c r="R9" s="92"/>
      <x:c r="S9" s="92"/>
      <x:c r="T9" s="92"/>
      <x:c r="U9" s="92"/>
      <x:c r="V9" s="92"/>
      <x:c r="W9" s="94" t="str">
        <x:f>IF(A9="","",IF(AND(F9&lt;&gt;"",COUNT(G9:N9)=8,P9&lt;&gt;"",Q9&lt;&gt;""),"Complete","Incomplete"))</x:f>
      </x:c>
      <x:c r="X9" s="92"/>
    </x:row>
    <x:row r="10">
      <x:c r="A10" s="92"/>
      <x:c r="B10" s="92"/>
      <x:c r="C10" s="92"/>
      <x:c r="D10" s="94" t="str">
        <x:f>IFERROR(VLOOKUP(C10,'01 Staff Master'!$A$6:$M$105,2,FALSE),"")</x:f>
      </x:c>
      <x:c r="E10" s="94" t="str">
        <x:f>IFERROR(VLOOKUP(C10,'01 Staff Master'!$A$6:$M$105,3,FALSE),"")</x:f>
      </x:c>
      <x:c r="F10" s="93"/>
      <x:c r="G10" s="92"/>
      <x:c r="H10" s="92"/>
      <x:c r="I10" s="92"/>
      <x:c r="J10" s="92"/>
      <x:c r="K10" s="92"/>
      <x:c r="L10" s="92"/>
      <x:c r="M10" s="92"/>
      <x:c r="N10" s="92"/>
      <x:c r="O10" s="107" t="str">
        <x:f>IF(COUNT(G10:N10)=0,"",AVERAGE(G10:N10))</x:f>
      </x:c>
      <x:c r="P10" s="92"/>
      <x:c r="Q10" s="92"/>
      <x:c r="R10" s="92"/>
      <x:c r="S10" s="92"/>
      <x:c r="T10" s="92"/>
      <x:c r="U10" s="92"/>
      <x:c r="V10" s="92"/>
      <x:c r="W10" s="94" t="str">
        <x:f>IF(A10="","",IF(AND(F10&lt;&gt;"",COUNT(G10:N10)=8,P10&lt;&gt;"",Q10&lt;&gt;""),"Complete","Incomplete"))</x:f>
      </x:c>
      <x:c r="X10" s="92"/>
    </x:row>
    <x:row r="11">
      <x:c r="A11" s="92"/>
      <x:c r="B11" s="92"/>
      <x:c r="C11" s="92"/>
      <x:c r="D11" s="94" t="str">
        <x:f>IFERROR(VLOOKUP(C11,'01 Staff Master'!$A$6:$M$105,2,FALSE),"")</x:f>
      </x:c>
      <x:c r="E11" s="94" t="str">
        <x:f>IFERROR(VLOOKUP(C11,'01 Staff Master'!$A$6:$M$105,3,FALSE),"")</x:f>
      </x:c>
      <x:c r="F11" s="93"/>
      <x:c r="G11" s="92"/>
      <x:c r="H11" s="92"/>
      <x:c r="I11" s="92"/>
      <x:c r="J11" s="92"/>
      <x:c r="K11" s="92"/>
      <x:c r="L11" s="92"/>
      <x:c r="M11" s="92"/>
      <x:c r="N11" s="92"/>
      <x:c r="O11" s="107" t="str">
        <x:f>IF(COUNT(G11:N11)=0,"",AVERAGE(G11:N11))</x:f>
      </x:c>
      <x:c r="P11" s="92"/>
      <x:c r="Q11" s="92"/>
      <x:c r="R11" s="92"/>
      <x:c r="S11" s="92"/>
      <x:c r="T11" s="92"/>
      <x:c r="U11" s="92"/>
      <x:c r="V11" s="92"/>
      <x:c r="W11" s="94" t="str">
        <x:f>IF(A11="","",IF(AND(F11&lt;&gt;"",COUNT(G11:N11)=8,P11&lt;&gt;"",Q11&lt;&gt;""),"Complete","Incomplete"))</x:f>
      </x:c>
      <x:c r="X11" s="92"/>
    </x:row>
    <x:row r="12">
      <x:c r="A12" s="92"/>
      <x:c r="B12" s="92"/>
      <x:c r="C12" s="92"/>
      <x:c r="D12" s="94" t="str">
        <x:f>IFERROR(VLOOKUP(C12,'01 Staff Master'!$A$6:$M$105,2,FALSE),"")</x:f>
      </x:c>
      <x:c r="E12" s="94" t="str">
        <x:f>IFERROR(VLOOKUP(C12,'01 Staff Master'!$A$6:$M$105,3,FALSE),"")</x:f>
      </x:c>
      <x:c r="F12" s="93"/>
      <x:c r="G12" s="92"/>
      <x:c r="H12" s="92"/>
      <x:c r="I12" s="92"/>
      <x:c r="J12" s="92"/>
      <x:c r="K12" s="92"/>
      <x:c r="L12" s="92"/>
      <x:c r="M12" s="92"/>
      <x:c r="N12" s="92"/>
      <x:c r="O12" s="107" t="str">
        <x:f>IF(COUNT(G12:N12)=0,"",AVERAGE(G12:N12))</x:f>
      </x:c>
      <x:c r="P12" s="92"/>
      <x:c r="Q12" s="92"/>
      <x:c r="R12" s="92"/>
      <x:c r="S12" s="92"/>
      <x:c r="T12" s="92"/>
      <x:c r="U12" s="92"/>
      <x:c r="V12" s="92"/>
      <x:c r="W12" s="94" t="str">
        <x:f>IF(A12="","",IF(AND(F12&lt;&gt;"",COUNT(G12:N12)=8,P12&lt;&gt;"",Q12&lt;&gt;""),"Complete","Incomplete"))</x:f>
      </x:c>
      <x:c r="X12" s="92"/>
    </x:row>
    <x:row r="13">
      <x:c r="A13" s="92"/>
      <x:c r="B13" s="92"/>
      <x:c r="C13" s="92"/>
      <x:c r="D13" s="94" t="str">
        <x:f>IFERROR(VLOOKUP(C13,'01 Staff Master'!$A$6:$M$105,2,FALSE),"")</x:f>
      </x:c>
      <x:c r="E13" s="94" t="str">
        <x:f>IFERROR(VLOOKUP(C13,'01 Staff Master'!$A$6:$M$105,3,FALSE),"")</x:f>
      </x:c>
      <x:c r="F13" s="93"/>
      <x:c r="G13" s="92"/>
      <x:c r="H13" s="92"/>
      <x:c r="I13" s="92"/>
      <x:c r="J13" s="92"/>
      <x:c r="K13" s="92"/>
      <x:c r="L13" s="92"/>
      <x:c r="M13" s="92"/>
      <x:c r="N13" s="92"/>
      <x:c r="O13" s="107" t="str">
        <x:f>IF(COUNT(G13:N13)=0,"",AVERAGE(G13:N13))</x:f>
      </x:c>
      <x:c r="P13" s="92"/>
      <x:c r="Q13" s="92"/>
      <x:c r="R13" s="92"/>
      <x:c r="S13" s="92"/>
      <x:c r="T13" s="92"/>
      <x:c r="U13" s="92"/>
      <x:c r="V13" s="92"/>
      <x:c r="W13" s="94" t="str">
        <x:f>IF(A13="","",IF(AND(F13&lt;&gt;"",COUNT(G13:N13)=8,P13&lt;&gt;"",Q13&lt;&gt;""),"Complete","Incomplete"))</x:f>
      </x:c>
      <x:c r="X13" s="92"/>
    </x:row>
    <x:row r="14">
      <x:c r="A14" s="92"/>
      <x:c r="B14" s="92"/>
      <x:c r="C14" s="92"/>
      <x:c r="D14" s="94" t="str">
        <x:f>IFERROR(VLOOKUP(C14,'01 Staff Master'!$A$6:$M$105,2,FALSE),"")</x:f>
      </x:c>
      <x:c r="E14" s="94" t="str">
        <x:f>IFERROR(VLOOKUP(C14,'01 Staff Master'!$A$6:$M$105,3,FALSE),"")</x:f>
      </x:c>
      <x:c r="F14" s="93"/>
      <x:c r="G14" s="92"/>
      <x:c r="H14" s="92"/>
      <x:c r="I14" s="92"/>
      <x:c r="J14" s="92"/>
      <x:c r="K14" s="92"/>
      <x:c r="L14" s="92"/>
      <x:c r="M14" s="92"/>
      <x:c r="N14" s="92"/>
      <x:c r="O14" s="107" t="str">
        <x:f>IF(COUNT(G14:N14)=0,"",AVERAGE(G14:N14))</x:f>
      </x:c>
      <x:c r="P14" s="92"/>
      <x:c r="Q14" s="92"/>
      <x:c r="R14" s="92"/>
      <x:c r="S14" s="92"/>
      <x:c r="T14" s="92"/>
      <x:c r="U14" s="92"/>
      <x:c r="V14" s="92"/>
      <x:c r="W14" s="94" t="str">
        <x:f>IF(A14="","",IF(AND(F14&lt;&gt;"",COUNT(G14:N14)=8,P14&lt;&gt;"",Q14&lt;&gt;""),"Complete","Incomplete"))</x:f>
      </x:c>
      <x:c r="X14" s="92"/>
    </x:row>
    <x:row r="15">
      <x:c r="A15" s="92"/>
      <x:c r="B15" s="92"/>
      <x:c r="C15" s="92"/>
      <x:c r="D15" s="94" t="str">
        <x:f>IFERROR(VLOOKUP(C15,'01 Staff Master'!$A$6:$M$105,2,FALSE),"")</x:f>
      </x:c>
      <x:c r="E15" s="94" t="str">
        <x:f>IFERROR(VLOOKUP(C15,'01 Staff Master'!$A$6:$M$105,3,FALSE),"")</x:f>
      </x:c>
      <x:c r="F15" s="93"/>
      <x:c r="G15" s="92"/>
      <x:c r="H15" s="92"/>
      <x:c r="I15" s="92"/>
      <x:c r="J15" s="92"/>
      <x:c r="K15" s="92"/>
      <x:c r="L15" s="92"/>
      <x:c r="M15" s="92"/>
      <x:c r="N15" s="92"/>
      <x:c r="O15" s="107" t="str">
        <x:f>IF(COUNT(G15:N15)=0,"",AVERAGE(G15:N15))</x:f>
      </x:c>
      <x:c r="P15" s="92"/>
      <x:c r="Q15" s="92"/>
      <x:c r="R15" s="92"/>
      <x:c r="S15" s="92"/>
      <x:c r="T15" s="92"/>
      <x:c r="U15" s="92"/>
      <x:c r="V15" s="92"/>
      <x:c r="W15" s="94" t="str">
        <x:f>IF(A15="","",IF(AND(F15&lt;&gt;"",COUNT(G15:N15)=8,P15&lt;&gt;"",Q15&lt;&gt;""),"Complete","Incomplete"))</x:f>
      </x:c>
      <x:c r="X15" s="92"/>
    </x:row>
    <x:row r="16">
      <x:c r="A16" s="92"/>
      <x:c r="B16" s="92"/>
      <x:c r="C16" s="92"/>
      <x:c r="D16" s="94" t="str">
        <x:f>IFERROR(VLOOKUP(C16,'01 Staff Master'!$A$6:$M$105,2,FALSE),"")</x:f>
      </x:c>
      <x:c r="E16" s="94" t="str">
        <x:f>IFERROR(VLOOKUP(C16,'01 Staff Master'!$A$6:$M$105,3,FALSE),"")</x:f>
      </x:c>
      <x:c r="F16" s="93"/>
      <x:c r="G16" s="92"/>
      <x:c r="H16" s="92"/>
      <x:c r="I16" s="92"/>
      <x:c r="J16" s="92"/>
      <x:c r="K16" s="92"/>
      <x:c r="L16" s="92"/>
      <x:c r="M16" s="92"/>
      <x:c r="N16" s="92"/>
      <x:c r="O16" s="107" t="str">
        <x:f>IF(COUNT(G16:N16)=0,"",AVERAGE(G16:N16))</x:f>
      </x:c>
      <x:c r="P16" s="92"/>
      <x:c r="Q16" s="92"/>
      <x:c r="R16" s="92"/>
      <x:c r="S16" s="92"/>
      <x:c r="T16" s="92"/>
      <x:c r="U16" s="92"/>
      <x:c r="V16" s="92"/>
      <x:c r="W16" s="94" t="str">
        <x:f>IF(A16="","",IF(AND(F16&lt;&gt;"",COUNT(G16:N16)=8,P16&lt;&gt;"",Q16&lt;&gt;""),"Complete","Incomplete"))</x:f>
      </x:c>
      <x:c r="X16" s="92"/>
    </x:row>
    <x:row r="17">
      <x:c r="A17" s="92"/>
      <x:c r="B17" s="92"/>
      <x:c r="C17" s="92"/>
      <x:c r="D17" s="94" t="str">
        <x:f>IFERROR(VLOOKUP(C17,'01 Staff Master'!$A$6:$M$105,2,FALSE),"")</x:f>
      </x:c>
      <x:c r="E17" s="94" t="str">
        <x:f>IFERROR(VLOOKUP(C17,'01 Staff Master'!$A$6:$M$105,3,FALSE),"")</x:f>
      </x:c>
      <x:c r="F17" s="93"/>
      <x:c r="G17" s="92"/>
      <x:c r="H17" s="92"/>
      <x:c r="I17" s="92"/>
      <x:c r="J17" s="92"/>
      <x:c r="K17" s="92"/>
      <x:c r="L17" s="92"/>
      <x:c r="M17" s="92"/>
      <x:c r="N17" s="92"/>
      <x:c r="O17" s="107" t="str">
        <x:f>IF(COUNT(G17:N17)=0,"",AVERAGE(G17:N17))</x:f>
      </x:c>
      <x:c r="P17" s="92"/>
      <x:c r="Q17" s="92"/>
      <x:c r="R17" s="92"/>
      <x:c r="S17" s="92"/>
      <x:c r="T17" s="92"/>
      <x:c r="U17" s="92"/>
      <x:c r="V17" s="92"/>
      <x:c r="W17" s="94" t="str">
        <x:f>IF(A17="","",IF(AND(F17&lt;&gt;"",COUNT(G17:N17)=8,P17&lt;&gt;"",Q17&lt;&gt;""),"Complete","Incomplete"))</x:f>
      </x:c>
      <x:c r="X17" s="92"/>
    </x:row>
    <x:row r="18">
      <x:c r="A18" s="92"/>
      <x:c r="B18" s="92"/>
      <x:c r="C18" s="92"/>
      <x:c r="D18" s="94" t="str">
        <x:f>IFERROR(VLOOKUP(C18,'01 Staff Master'!$A$6:$M$105,2,FALSE),"")</x:f>
      </x:c>
      <x:c r="E18" s="94" t="str">
        <x:f>IFERROR(VLOOKUP(C18,'01 Staff Master'!$A$6:$M$105,3,FALSE),"")</x:f>
      </x:c>
      <x:c r="F18" s="93"/>
      <x:c r="G18" s="92"/>
      <x:c r="H18" s="92"/>
      <x:c r="I18" s="92"/>
      <x:c r="J18" s="92"/>
      <x:c r="K18" s="92"/>
      <x:c r="L18" s="92"/>
      <x:c r="M18" s="92"/>
      <x:c r="N18" s="92"/>
      <x:c r="O18" s="107" t="str">
        <x:f>IF(COUNT(G18:N18)=0,"",AVERAGE(G18:N18))</x:f>
      </x:c>
      <x:c r="P18" s="92"/>
      <x:c r="Q18" s="92"/>
      <x:c r="R18" s="92"/>
      <x:c r="S18" s="92"/>
      <x:c r="T18" s="92"/>
      <x:c r="U18" s="92"/>
      <x:c r="V18" s="92"/>
      <x:c r="W18" s="94" t="str">
        <x:f>IF(A18="","",IF(AND(F18&lt;&gt;"",COUNT(G18:N18)=8,P18&lt;&gt;"",Q18&lt;&gt;""),"Complete","Incomplete"))</x:f>
      </x:c>
      <x:c r="X18" s="92"/>
    </x:row>
    <x:row r="19">
      <x:c r="A19" s="92"/>
      <x:c r="B19" s="92"/>
      <x:c r="C19" s="92"/>
      <x:c r="D19" s="94" t="str">
        <x:f>IFERROR(VLOOKUP(C19,'01 Staff Master'!$A$6:$M$105,2,FALSE),"")</x:f>
      </x:c>
      <x:c r="E19" s="94" t="str">
        <x:f>IFERROR(VLOOKUP(C19,'01 Staff Master'!$A$6:$M$105,3,FALSE),"")</x:f>
      </x:c>
      <x:c r="F19" s="93"/>
      <x:c r="G19" s="92"/>
      <x:c r="H19" s="92"/>
      <x:c r="I19" s="92"/>
      <x:c r="J19" s="92"/>
      <x:c r="K19" s="92"/>
      <x:c r="L19" s="92"/>
      <x:c r="M19" s="92"/>
      <x:c r="N19" s="92"/>
      <x:c r="O19" s="107" t="str">
        <x:f>IF(COUNT(G19:N19)=0,"",AVERAGE(G19:N19))</x:f>
      </x:c>
      <x:c r="P19" s="92"/>
      <x:c r="Q19" s="92"/>
      <x:c r="R19" s="92"/>
      <x:c r="S19" s="92"/>
      <x:c r="T19" s="92"/>
      <x:c r="U19" s="92"/>
      <x:c r="V19" s="92"/>
      <x:c r="W19" s="94" t="str">
        <x:f>IF(A19="","",IF(AND(F19&lt;&gt;"",COUNT(G19:N19)=8,P19&lt;&gt;"",Q19&lt;&gt;""),"Complete","Incomplete"))</x:f>
      </x:c>
      <x:c r="X19" s="92"/>
    </x:row>
    <x:row r="20">
      <x:c r="A20" s="92"/>
      <x:c r="B20" s="92"/>
      <x:c r="C20" s="92"/>
      <x:c r="D20" s="94" t="str">
        <x:f>IFERROR(VLOOKUP(C20,'01 Staff Master'!$A$6:$M$105,2,FALSE),"")</x:f>
      </x:c>
      <x:c r="E20" s="94" t="str">
        <x:f>IFERROR(VLOOKUP(C20,'01 Staff Master'!$A$6:$M$105,3,FALSE),"")</x:f>
      </x:c>
      <x:c r="F20" s="93"/>
      <x:c r="G20" s="92"/>
      <x:c r="H20" s="92"/>
      <x:c r="I20" s="92"/>
      <x:c r="J20" s="92"/>
      <x:c r="K20" s="92"/>
      <x:c r="L20" s="92"/>
      <x:c r="M20" s="92"/>
      <x:c r="N20" s="92"/>
      <x:c r="O20" s="107" t="str">
        <x:f>IF(COUNT(G20:N20)=0,"",AVERAGE(G20:N20))</x:f>
      </x:c>
      <x:c r="P20" s="92"/>
      <x:c r="Q20" s="92"/>
      <x:c r="R20" s="92"/>
      <x:c r="S20" s="92"/>
      <x:c r="T20" s="92"/>
      <x:c r="U20" s="92"/>
      <x:c r="V20" s="92"/>
      <x:c r="W20" s="94" t="str">
        <x:f>IF(A20="","",IF(AND(F20&lt;&gt;"",COUNT(G20:N20)=8,P20&lt;&gt;"",Q20&lt;&gt;""),"Complete","Incomplete"))</x:f>
      </x:c>
      <x:c r="X20" s="92"/>
    </x:row>
    <x:row r="21">
      <x:c r="A21" s="92"/>
      <x:c r="B21" s="92"/>
      <x:c r="C21" s="92"/>
      <x:c r="D21" s="94" t="str">
        <x:f>IFERROR(VLOOKUP(C21,'01 Staff Master'!$A$6:$M$105,2,FALSE),"")</x:f>
      </x:c>
      <x:c r="E21" s="94" t="str">
        <x:f>IFERROR(VLOOKUP(C21,'01 Staff Master'!$A$6:$M$105,3,FALSE),"")</x:f>
      </x:c>
      <x:c r="F21" s="93"/>
      <x:c r="G21" s="92"/>
      <x:c r="H21" s="92"/>
      <x:c r="I21" s="92"/>
      <x:c r="J21" s="92"/>
      <x:c r="K21" s="92"/>
      <x:c r="L21" s="92"/>
      <x:c r="M21" s="92"/>
      <x:c r="N21" s="92"/>
      <x:c r="O21" s="107" t="str">
        <x:f>IF(COUNT(G21:N21)=0,"",AVERAGE(G21:N21))</x:f>
      </x:c>
      <x:c r="P21" s="92"/>
      <x:c r="Q21" s="92"/>
      <x:c r="R21" s="92"/>
      <x:c r="S21" s="92"/>
      <x:c r="T21" s="92"/>
      <x:c r="U21" s="92"/>
      <x:c r="V21" s="92"/>
      <x:c r="W21" s="94" t="str">
        <x:f>IF(A21="","",IF(AND(F21&lt;&gt;"",COUNT(G21:N21)=8,P21&lt;&gt;"",Q21&lt;&gt;""),"Complete","Incomplete"))</x:f>
      </x:c>
      <x:c r="X21" s="92"/>
    </x:row>
    <x:row r="22">
      <x:c r="A22" s="92"/>
      <x:c r="B22" s="92"/>
      <x:c r="C22" s="92"/>
      <x:c r="D22" s="94" t="str">
        <x:f>IFERROR(VLOOKUP(C22,'01 Staff Master'!$A$6:$M$105,2,FALSE),"")</x:f>
      </x:c>
      <x:c r="E22" s="94" t="str">
        <x:f>IFERROR(VLOOKUP(C22,'01 Staff Master'!$A$6:$M$105,3,FALSE),"")</x:f>
      </x:c>
      <x:c r="F22" s="93"/>
      <x:c r="G22" s="92"/>
      <x:c r="H22" s="92"/>
      <x:c r="I22" s="92"/>
      <x:c r="J22" s="92"/>
      <x:c r="K22" s="92"/>
      <x:c r="L22" s="92"/>
      <x:c r="M22" s="92"/>
      <x:c r="N22" s="92"/>
      <x:c r="O22" s="107" t="str">
        <x:f>IF(COUNT(G22:N22)=0,"",AVERAGE(G22:N22))</x:f>
      </x:c>
      <x:c r="P22" s="92"/>
      <x:c r="Q22" s="92"/>
      <x:c r="R22" s="92"/>
      <x:c r="S22" s="92"/>
      <x:c r="T22" s="92"/>
      <x:c r="U22" s="92"/>
      <x:c r="V22" s="92"/>
      <x:c r="W22" s="94" t="str">
        <x:f>IF(A22="","",IF(AND(F22&lt;&gt;"",COUNT(G22:N22)=8,P22&lt;&gt;"",Q22&lt;&gt;""),"Complete","Incomplete"))</x:f>
      </x:c>
      <x:c r="X22" s="92"/>
    </x:row>
    <x:row r="23">
      <x:c r="A23" s="92"/>
      <x:c r="B23" s="92"/>
      <x:c r="C23" s="92"/>
      <x:c r="D23" s="94" t="str">
        <x:f>IFERROR(VLOOKUP(C23,'01 Staff Master'!$A$6:$M$105,2,FALSE),"")</x:f>
      </x:c>
      <x:c r="E23" s="94" t="str">
        <x:f>IFERROR(VLOOKUP(C23,'01 Staff Master'!$A$6:$M$105,3,FALSE),"")</x:f>
      </x:c>
      <x:c r="F23" s="93"/>
      <x:c r="G23" s="92"/>
      <x:c r="H23" s="92"/>
      <x:c r="I23" s="92"/>
      <x:c r="J23" s="92"/>
      <x:c r="K23" s="92"/>
      <x:c r="L23" s="92"/>
      <x:c r="M23" s="92"/>
      <x:c r="N23" s="92"/>
      <x:c r="O23" s="107" t="str">
        <x:f>IF(COUNT(G23:N23)=0,"",AVERAGE(G23:N23))</x:f>
      </x:c>
      <x:c r="P23" s="92"/>
      <x:c r="Q23" s="92"/>
      <x:c r="R23" s="92"/>
      <x:c r="S23" s="92"/>
      <x:c r="T23" s="92"/>
      <x:c r="U23" s="92"/>
      <x:c r="V23" s="92"/>
      <x:c r="W23" s="94" t="str">
        <x:f>IF(A23="","",IF(AND(F23&lt;&gt;"",COUNT(G23:N23)=8,P23&lt;&gt;"",Q23&lt;&gt;""),"Complete","Incomplete"))</x:f>
      </x:c>
      <x:c r="X23" s="92"/>
    </x:row>
    <x:row r="24">
      <x:c r="A24" s="92"/>
      <x:c r="B24" s="92"/>
      <x:c r="C24" s="92"/>
      <x:c r="D24" s="94" t="str">
        <x:f>IFERROR(VLOOKUP(C24,'01 Staff Master'!$A$6:$M$105,2,FALSE),"")</x:f>
      </x:c>
      <x:c r="E24" s="94" t="str">
        <x:f>IFERROR(VLOOKUP(C24,'01 Staff Master'!$A$6:$M$105,3,FALSE),"")</x:f>
      </x:c>
      <x:c r="F24" s="93"/>
      <x:c r="G24" s="92"/>
      <x:c r="H24" s="92"/>
      <x:c r="I24" s="92"/>
      <x:c r="J24" s="92"/>
      <x:c r="K24" s="92"/>
      <x:c r="L24" s="92"/>
      <x:c r="M24" s="92"/>
      <x:c r="N24" s="92"/>
      <x:c r="O24" s="107" t="str">
        <x:f>IF(COUNT(G24:N24)=0,"",AVERAGE(G24:N24))</x:f>
      </x:c>
      <x:c r="P24" s="92"/>
      <x:c r="Q24" s="92"/>
      <x:c r="R24" s="92"/>
      <x:c r="S24" s="92"/>
      <x:c r="T24" s="92"/>
      <x:c r="U24" s="92"/>
      <x:c r="V24" s="92"/>
      <x:c r="W24" s="94" t="str">
        <x:f>IF(A24="","",IF(AND(F24&lt;&gt;"",COUNT(G24:N24)=8,P24&lt;&gt;"",Q24&lt;&gt;""),"Complete","Incomplete"))</x:f>
      </x:c>
      <x:c r="X24" s="92"/>
    </x:row>
    <x:row r="25">
      <x:c r="A25" s="92"/>
      <x:c r="B25" s="92"/>
      <x:c r="C25" s="92"/>
      <x:c r="D25" s="94" t="str">
        <x:f>IFERROR(VLOOKUP(C25,'01 Staff Master'!$A$6:$M$105,2,FALSE),"")</x:f>
      </x:c>
      <x:c r="E25" s="94" t="str">
        <x:f>IFERROR(VLOOKUP(C25,'01 Staff Master'!$A$6:$M$105,3,FALSE),"")</x:f>
      </x:c>
      <x:c r="F25" s="93"/>
      <x:c r="G25" s="92"/>
      <x:c r="H25" s="92"/>
      <x:c r="I25" s="92"/>
      <x:c r="J25" s="92"/>
      <x:c r="K25" s="92"/>
      <x:c r="L25" s="92"/>
      <x:c r="M25" s="92"/>
      <x:c r="N25" s="92"/>
      <x:c r="O25" s="107" t="str">
        <x:f>IF(COUNT(G25:N25)=0,"",AVERAGE(G25:N25))</x:f>
      </x:c>
      <x:c r="P25" s="92"/>
      <x:c r="Q25" s="92"/>
      <x:c r="R25" s="92"/>
      <x:c r="S25" s="92"/>
      <x:c r="T25" s="92"/>
      <x:c r="U25" s="92"/>
      <x:c r="V25" s="92"/>
      <x:c r="W25" s="94" t="str">
        <x:f>IF(A25="","",IF(AND(F25&lt;&gt;"",COUNT(G25:N25)=8,P25&lt;&gt;"",Q25&lt;&gt;""),"Complete","Incomplete"))</x:f>
      </x:c>
      <x:c r="X25" s="92"/>
    </x:row>
    <x:row r="26">
      <x:c r="A26" s="92"/>
      <x:c r="B26" s="92"/>
      <x:c r="C26" s="92"/>
      <x:c r="D26" s="94" t="str">
        <x:f>IFERROR(VLOOKUP(C26,'01 Staff Master'!$A$6:$M$105,2,FALSE),"")</x:f>
      </x:c>
      <x:c r="E26" s="94" t="str">
        <x:f>IFERROR(VLOOKUP(C26,'01 Staff Master'!$A$6:$M$105,3,FALSE),"")</x:f>
      </x:c>
      <x:c r="F26" s="93"/>
      <x:c r="G26" s="92"/>
      <x:c r="H26" s="92"/>
      <x:c r="I26" s="92"/>
      <x:c r="J26" s="92"/>
      <x:c r="K26" s="92"/>
      <x:c r="L26" s="92"/>
      <x:c r="M26" s="92"/>
      <x:c r="N26" s="92"/>
      <x:c r="O26" s="107" t="str">
        <x:f>IF(COUNT(G26:N26)=0,"",AVERAGE(G26:N26))</x:f>
      </x:c>
      <x:c r="P26" s="92"/>
      <x:c r="Q26" s="92"/>
      <x:c r="R26" s="92"/>
      <x:c r="S26" s="92"/>
      <x:c r="T26" s="92"/>
      <x:c r="U26" s="92"/>
      <x:c r="V26" s="92"/>
      <x:c r="W26" s="94" t="str">
        <x:f>IF(A26="","",IF(AND(F26&lt;&gt;"",COUNT(G26:N26)=8,P26&lt;&gt;"",Q26&lt;&gt;""),"Complete","Incomplete"))</x:f>
      </x:c>
      <x:c r="X26" s="92"/>
    </x:row>
    <x:row r="27">
      <x:c r="A27" s="92"/>
      <x:c r="B27" s="92"/>
      <x:c r="C27" s="92"/>
      <x:c r="D27" s="94" t="str">
        <x:f>IFERROR(VLOOKUP(C27,'01 Staff Master'!$A$6:$M$105,2,FALSE),"")</x:f>
      </x:c>
      <x:c r="E27" s="94" t="str">
        <x:f>IFERROR(VLOOKUP(C27,'01 Staff Master'!$A$6:$M$105,3,FALSE),"")</x:f>
      </x:c>
      <x:c r="F27" s="93"/>
      <x:c r="G27" s="92"/>
      <x:c r="H27" s="92"/>
      <x:c r="I27" s="92"/>
      <x:c r="J27" s="92"/>
      <x:c r="K27" s="92"/>
      <x:c r="L27" s="92"/>
      <x:c r="M27" s="92"/>
      <x:c r="N27" s="92"/>
      <x:c r="O27" s="107" t="str">
        <x:f>IF(COUNT(G27:N27)=0,"",AVERAGE(G27:N27))</x:f>
      </x:c>
      <x:c r="P27" s="92"/>
      <x:c r="Q27" s="92"/>
      <x:c r="R27" s="92"/>
      <x:c r="S27" s="92"/>
      <x:c r="T27" s="92"/>
      <x:c r="U27" s="92"/>
      <x:c r="V27" s="92"/>
      <x:c r="W27" s="94" t="str">
        <x:f>IF(A27="","",IF(AND(F27&lt;&gt;"",COUNT(G27:N27)=8,P27&lt;&gt;"",Q27&lt;&gt;""),"Complete","Incomplete"))</x:f>
      </x:c>
      <x:c r="X27" s="92"/>
    </x:row>
    <x:row r="28">
      <x:c r="A28" s="92"/>
      <x:c r="B28" s="92"/>
      <x:c r="C28" s="92"/>
      <x:c r="D28" s="94" t="str">
        <x:f>IFERROR(VLOOKUP(C28,'01 Staff Master'!$A$6:$M$105,2,FALSE),"")</x:f>
      </x:c>
      <x:c r="E28" s="94" t="str">
        <x:f>IFERROR(VLOOKUP(C28,'01 Staff Master'!$A$6:$M$105,3,FALSE),"")</x:f>
      </x:c>
      <x:c r="F28" s="93"/>
      <x:c r="G28" s="92"/>
      <x:c r="H28" s="92"/>
      <x:c r="I28" s="92"/>
      <x:c r="J28" s="92"/>
      <x:c r="K28" s="92"/>
      <x:c r="L28" s="92"/>
      <x:c r="M28" s="92"/>
      <x:c r="N28" s="92"/>
      <x:c r="O28" s="107" t="str">
        <x:f>IF(COUNT(G28:N28)=0,"",AVERAGE(G28:N28))</x:f>
      </x:c>
      <x:c r="P28" s="92"/>
      <x:c r="Q28" s="92"/>
      <x:c r="R28" s="92"/>
      <x:c r="S28" s="92"/>
      <x:c r="T28" s="92"/>
      <x:c r="U28" s="92"/>
      <x:c r="V28" s="92"/>
      <x:c r="W28" s="94" t="str">
        <x:f>IF(A28="","",IF(AND(F28&lt;&gt;"",COUNT(G28:N28)=8,P28&lt;&gt;"",Q28&lt;&gt;""),"Complete","Incomplete"))</x:f>
      </x:c>
      <x:c r="X28" s="92"/>
    </x:row>
    <x:row r="29">
      <x:c r="A29" s="92"/>
      <x:c r="B29" s="92"/>
      <x:c r="C29" s="92"/>
      <x:c r="D29" s="94" t="str">
        <x:f>IFERROR(VLOOKUP(C29,'01 Staff Master'!$A$6:$M$105,2,FALSE),"")</x:f>
      </x:c>
      <x:c r="E29" s="94" t="str">
        <x:f>IFERROR(VLOOKUP(C29,'01 Staff Master'!$A$6:$M$105,3,FALSE),"")</x:f>
      </x:c>
      <x:c r="F29" s="93"/>
      <x:c r="G29" s="92"/>
      <x:c r="H29" s="92"/>
      <x:c r="I29" s="92"/>
      <x:c r="J29" s="92"/>
      <x:c r="K29" s="92"/>
      <x:c r="L29" s="92"/>
      <x:c r="M29" s="92"/>
      <x:c r="N29" s="92"/>
      <x:c r="O29" s="107" t="str">
        <x:f>IF(COUNT(G29:N29)=0,"",AVERAGE(G29:N29))</x:f>
      </x:c>
      <x:c r="P29" s="92"/>
      <x:c r="Q29" s="92"/>
      <x:c r="R29" s="92"/>
      <x:c r="S29" s="92"/>
      <x:c r="T29" s="92"/>
      <x:c r="U29" s="92"/>
      <x:c r="V29" s="92"/>
      <x:c r="W29" s="94" t="str">
        <x:f>IF(A29="","",IF(AND(F29&lt;&gt;"",COUNT(G29:N29)=8,P29&lt;&gt;"",Q29&lt;&gt;""),"Complete","Incomplete"))</x:f>
      </x:c>
      <x:c r="X29" s="92"/>
    </x:row>
    <x:row r="30">
      <x:c r="A30" s="92"/>
      <x:c r="B30" s="92"/>
      <x:c r="C30" s="92"/>
      <x:c r="D30" s="94" t="str">
        <x:f>IFERROR(VLOOKUP(C30,'01 Staff Master'!$A$6:$M$105,2,FALSE),"")</x:f>
      </x:c>
      <x:c r="E30" s="94" t="str">
        <x:f>IFERROR(VLOOKUP(C30,'01 Staff Master'!$A$6:$M$105,3,FALSE),"")</x:f>
      </x:c>
      <x:c r="F30" s="93"/>
      <x:c r="G30" s="92"/>
      <x:c r="H30" s="92"/>
      <x:c r="I30" s="92"/>
      <x:c r="J30" s="92"/>
      <x:c r="K30" s="92"/>
      <x:c r="L30" s="92"/>
      <x:c r="M30" s="92"/>
      <x:c r="N30" s="92"/>
      <x:c r="O30" s="107" t="str">
        <x:f>IF(COUNT(G30:N30)=0,"",AVERAGE(G30:N30))</x:f>
      </x:c>
      <x:c r="P30" s="92"/>
      <x:c r="Q30" s="92"/>
      <x:c r="R30" s="92"/>
      <x:c r="S30" s="92"/>
      <x:c r="T30" s="92"/>
      <x:c r="U30" s="92"/>
      <x:c r="V30" s="92"/>
      <x:c r="W30" s="94" t="str">
        <x:f>IF(A30="","",IF(AND(F30&lt;&gt;"",COUNT(G30:N30)=8,P30&lt;&gt;"",Q30&lt;&gt;""),"Complete","Incomplete"))</x:f>
      </x:c>
      <x:c r="X30" s="92"/>
    </x:row>
    <x:row r="31">
      <x:c r="A31" s="92"/>
      <x:c r="B31" s="92"/>
      <x:c r="C31" s="92"/>
      <x:c r="D31" s="94" t="str">
        <x:f>IFERROR(VLOOKUP(C31,'01 Staff Master'!$A$6:$M$105,2,FALSE),"")</x:f>
      </x:c>
      <x:c r="E31" s="94" t="str">
        <x:f>IFERROR(VLOOKUP(C31,'01 Staff Master'!$A$6:$M$105,3,FALSE),"")</x:f>
      </x:c>
      <x:c r="F31" s="93"/>
      <x:c r="G31" s="92"/>
      <x:c r="H31" s="92"/>
      <x:c r="I31" s="92"/>
      <x:c r="J31" s="92"/>
      <x:c r="K31" s="92"/>
      <x:c r="L31" s="92"/>
      <x:c r="M31" s="92"/>
      <x:c r="N31" s="92"/>
      <x:c r="O31" s="107" t="str">
        <x:f>IF(COUNT(G31:N31)=0,"",AVERAGE(G31:N31))</x:f>
      </x:c>
      <x:c r="P31" s="92"/>
      <x:c r="Q31" s="92"/>
      <x:c r="R31" s="92"/>
      <x:c r="S31" s="92"/>
      <x:c r="T31" s="92"/>
      <x:c r="U31" s="92"/>
      <x:c r="V31" s="92"/>
      <x:c r="W31" s="94" t="str">
        <x:f>IF(A31="","",IF(AND(F31&lt;&gt;"",COUNT(G31:N31)=8,P31&lt;&gt;"",Q31&lt;&gt;""),"Complete","Incomplete"))</x:f>
      </x:c>
      <x:c r="X31" s="92"/>
    </x:row>
    <x:row r="32">
      <x:c r="A32" s="92"/>
      <x:c r="B32" s="92"/>
      <x:c r="C32" s="92"/>
      <x:c r="D32" s="94" t="str">
        <x:f>IFERROR(VLOOKUP(C32,'01 Staff Master'!$A$6:$M$105,2,FALSE),"")</x:f>
      </x:c>
      <x:c r="E32" s="94" t="str">
        <x:f>IFERROR(VLOOKUP(C32,'01 Staff Master'!$A$6:$M$105,3,FALSE),"")</x:f>
      </x:c>
      <x:c r="F32" s="93"/>
      <x:c r="G32" s="92"/>
      <x:c r="H32" s="92"/>
      <x:c r="I32" s="92"/>
      <x:c r="J32" s="92"/>
      <x:c r="K32" s="92"/>
      <x:c r="L32" s="92"/>
      <x:c r="M32" s="92"/>
      <x:c r="N32" s="92"/>
      <x:c r="O32" s="107" t="str">
        <x:f>IF(COUNT(G32:N32)=0,"",AVERAGE(G32:N32))</x:f>
      </x:c>
      <x:c r="P32" s="92"/>
      <x:c r="Q32" s="92"/>
      <x:c r="R32" s="92"/>
      <x:c r="S32" s="92"/>
      <x:c r="T32" s="92"/>
      <x:c r="U32" s="92"/>
      <x:c r="V32" s="92"/>
      <x:c r="W32" s="94" t="str">
        <x:f>IF(A32="","",IF(AND(F32&lt;&gt;"",COUNT(G32:N32)=8,P32&lt;&gt;"",Q32&lt;&gt;""),"Complete","Incomplete"))</x:f>
      </x:c>
      <x:c r="X32" s="92"/>
    </x:row>
    <x:row r="33">
      <x:c r="A33" s="92"/>
      <x:c r="B33" s="92"/>
      <x:c r="C33" s="92"/>
      <x:c r="D33" s="94" t="str">
        <x:f>IFERROR(VLOOKUP(C33,'01 Staff Master'!$A$6:$M$105,2,FALSE),"")</x:f>
      </x:c>
      <x:c r="E33" s="94" t="str">
        <x:f>IFERROR(VLOOKUP(C33,'01 Staff Master'!$A$6:$M$105,3,FALSE),"")</x:f>
      </x:c>
      <x:c r="F33" s="93"/>
      <x:c r="G33" s="92"/>
      <x:c r="H33" s="92"/>
      <x:c r="I33" s="92"/>
      <x:c r="J33" s="92"/>
      <x:c r="K33" s="92"/>
      <x:c r="L33" s="92"/>
      <x:c r="M33" s="92"/>
      <x:c r="N33" s="92"/>
      <x:c r="O33" s="107" t="str">
        <x:f>IF(COUNT(G33:N33)=0,"",AVERAGE(G33:N33))</x:f>
      </x:c>
      <x:c r="P33" s="92"/>
      <x:c r="Q33" s="92"/>
      <x:c r="R33" s="92"/>
      <x:c r="S33" s="92"/>
      <x:c r="T33" s="92"/>
      <x:c r="U33" s="92"/>
      <x:c r="V33" s="92"/>
      <x:c r="W33" s="94" t="str">
        <x:f>IF(A33="","",IF(AND(F33&lt;&gt;"",COUNT(G33:N33)=8,P33&lt;&gt;"",Q33&lt;&gt;""),"Complete","Incomplete"))</x:f>
      </x:c>
      <x:c r="X33" s="92"/>
    </x:row>
    <x:row r="34">
      <x:c r="A34" s="92"/>
      <x:c r="B34" s="92"/>
      <x:c r="C34" s="92"/>
      <x:c r="D34" s="94" t="str">
        <x:f>IFERROR(VLOOKUP(C34,'01 Staff Master'!$A$6:$M$105,2,FALSE),"")</x:f>
      </x:c>
      <x:c r="E34" s="94" t="str">
        <x:f>IFERROR(VLOOKUP(C34,'01 Staff Master'!$A$6:$M$105,3,FALSE),"")</x:f>
      </x:c>
      <x:c r="F34" s="93"/>
      <x:c r="G34" s="92"/>
      <x:c r="H34" s="92"/>
      <x:c r="I34" s="92"/>
      <x:c r="J34" s="92"/>
      <x:c r="K34" s="92"/>
      <x:c r="L34" s="92"/>
      <x:c r="M34" s="92"/>
      <x:c r="N34" s="92"/>
      <x:c r="O34" s="107" t="str">
        <x:f>IF(COUNT(G34:N34)=0,"",AVERAGE(G34:N34))</x:f>
      </x:c>
      <x:c r="P34" s="92"/>
      <x:c r="Q34" s="92"/>
      <x:c r="R34" s="92"/>
      <x:c r="S34" s="92"/>
      <x:c r="T34" s="92"/>
      <x:c r="U34" s="92"/>
      <x:c r="V34" s="92"/>
      <x:c r="W34" s="94" t="str">
        <x:f>IF(A34="","",IF(AND(F34&lt;&gt;"",COUNT(G34:N34)=8,P34&lt;&gt;"",Q34&lt;&gt;""),"Complete","Incomplete"))</x:f>
      </x:c>
      <x:c r="X34" s="92"/>
    </x:row>
    <x:row r="35">
      <x:c r="A35" s="92"/>
      <x:c r="B35" s="92"/>
      <x:c r="C35" s="92"/>
      <x:c r="D35" s="94" t="str">
        <x:f>IFERROR(VLOOKUP(C35,'01 Staff Master'!$A$6:$M$105,2,FALSE),"")</x:f>
      </x:c>
      <x:c r="E35" s="94" t="str">
        <x:f>IFERROR(VLOOKUP(C35,'01 Staff Master'!$A$6:$M$105,3,FALSE),"")</x:f>
      </x:c>
      <x:c r="F35" s="93"/>
      <x:c r="G35" s="92"/>
      <x:c r="H35" s="92"/>
      <x:c r="I35" s="92"/>
      <x:c r="J35" s="92"/>
      <x:c r="K35" s="92"/>
      <x:c r="L35" s="92"/>
      <x:c r="M35" s="92"/>
      <x:c r="N35" s="92"/>
      <x:c r="O35" s="107" t="str">
        <x:f>IF(COUNT(G35:N35)=0,"",AVERAGE(G35:N35))</x:f>
      </x:c>
      <x:c r="P35" s="92"/>
      <x:c r="Q35" s="92"/>
      <x:c r="R35" s="92"/>
      <x:c r="S35" s="92"/>
      <x:c r="T35" s="92"/>
      <x:c r="U35" s="92"/>
      <x:c r="V35" s="92"/>
      <x:c r="W35" s="94" t="str">
        <x:f>IF(A35="","",IF(AND(F35&lt;&gt;"",COUNT(G35:N35)=8,P35&lt;&gt;"",Q35&lt;&gt;""),"Complete","Incomplete"))</x:f>
      </x:c>
      <x:c r="X35" s="92"/>
    </x:row>
    <x:row r="36">
      <x:c r="A36" s="92"/>
      <x:c r="B36" s="92"/>
      <x:c r="C36" s="92"/>
      <x:c r="D36" s="94" t="str">
        <x:f>IFERROR(VLOOKUP(C36,'01 Staff Master'!$A$6:$M$105,2,FALSE),"")</x:f>
      </x:c>
      <x:c r="E36" s="94" t="str">
        <x:f>IFERROR(VLOOKUP(C36,'01 Staff Master'!$A$6:$M$105,3,FALSE),"")</x:f>
      </x:c>
      <x:c r="F36" s="93"/>
      <x:c r="G36" s="92"/>
      <x:c r="H36" s="92"/>
      <x:c r="I36" s="92"/>
      <x:c r="J36" s="92"/>
      <x:c r="K36" s="92"/>
      <x:c r="L36" s="92"/>
      <x:c r="M36" s="92"/>
      <x:c r="N36" s="92"/>
      <x:c r="O36" s="107" t="str">
        <x:f>IF(COUNT(G36:N36)=0,"",AVERAGE(G36:N36))</x:f>
      </x:c>
      <x:c r="P36" s="92"/>
      <x:c r="Q36" s="92"/>
      <x:c r="R36" s="92"/>
      <x:c r="S36" s="92"/>
      <x:c r="T36" s="92"/>
      <x:c r="U36" s="92"/>
      <x:c r="V36" s="92"/>
      <x:c r="W36" s="94" t="str">
        <x:f>IF(A36="","",IF(AND(F36&lt;&gt;"",COUNT(G36:N36)=8,P36&lt;&gt;"",Q36&lt;&gt;""),"Complete","Incomplete"))</x:f>
      </x:c>
      <x:c r="X36" s="92"/>
    </x:row>
    <x:row r="37">
      <x:c r="A37" s="92"/>
      <x:c r="B37" s="92"/>
      <x:c r="C37" s="92"/>
      <x:c r="D37" s="94" t="str">
        <x:f>IFERROR(VLOOKUP(C37,'01 Staff Master'!$A$6:$M$105,2,FALSE),"")</x:f>
      </x:c>
      <x:c r="E37" s="94" t="str">
        <x:f>IFERROR(VLOOKUP(C37,'01 Staff Master'!$A$6:$M$105,3,FALSE),"")</x:f>
      </x:c>
      <x:c r="F37" s="93"/>
      <x:c r="G37" s="92"/>
      <x:c r="H37" s="92"/>
      <x:c r="I37" s="92"/>
      <x:c r="J37" s="92"/>
      <x:c r="K37" s="92"/>
      <x:c r="L37" s="92"/>
      <x:c r="M37" s="92"/>
      <x:c r="N37" s="92"/>
      <x:c r="O37" s="107" t="str">
        <x:f>IF(COUNT(G37:N37)=0,"",AVERAGE(G37:N37))</x:f>
      </x:c>
      <x:c r="P37" s="92"/>
      <x:c r="Q37" s="92"/>
      <x:c r="R37" s="92"/>
      <x:c r="S37" s="92"/>
      <x:c r="T37" s="92"/>
      <x:c r="U37" s="92"/>
      <x:c r="V37" s="92"/>
      <x:c r="W37" s="94" t="str">
        <x:f>IF(A37="","",IF(AND(F37&lt;&gt;"",COUNT(G37:N37)=8,P37&lt;&gt;"",Q37&lt;&gt;""),"Complete","Incomplete"))</x:f>
      </x:c>
      <x:c r="X37" s="92"/>
    </x:row>
    <x:row r="38">
      <x:c r="A38" s="92"/>
      <x:c r="B38" s="92"/>
      <x:c r="C38" s="92"/>
      <x:c r="D38" s="94" t="str">
        <x:f>IFERROR(VLOOKUP(C38,'01 Staff Master'!$A$6:$M$105,2,FALSE),"")</x:f>
      </x:c>
      <x:c r="E38" s="94" t="str">
        <x:f>IFERROR(VLOOKUP(C38,'01 Staff Master'!$A$6:$M$105,3,FALSE),"")</x:f>
      </x:c>
      <x:c r="F38" s="93"/>
      <x:c r="G38" s="92"/>
      <x:c r="H38" s="92"/>
      <x:c r="I38" s="92"/>
      <x:c r="J38" s="92"/>
      <x:c r="K38" s="92"/>
      <x:c r="L38" s="92"/>
      <x:c r="M38" s="92"/>
      <x:c r="N38" s="92"/>
      <x:c r="O38" s="107" t="str">
        <x:f>IF(COUNT(G38:N38)=0,"",AVERAGE(G38:N38))</x:f>
      </x:c>
      <x:c r="P38" s="92"/>
      <x:c r="Q38" s="92"/>
      <x:c r="R38" s="92"/>
      <x:c r="S38" s="92"/>
      <x:c r="T38" s="92"/>
      <x:c r="U38" s="92"/>
      <x:c r="V38" s="92"/>
      <x:c r="W38" s="94" t="str">
        <x:f>IF(A38="","",IF(AND(F38&lt;&gt;"",COUNT(G38:N38)=8,P38&lt;&gt;"",Q38&lt;&gt;""),"Complete","Incomplete"))</x:f>
      </x:c>
      <x:c r="X38" s="92"/>
    </x:row>
    <x:row r="39">
      <x:c r="A39" s="92"/>
      <x:c r="B39" s="92"/>
      <x:c r="C39" s="92"/>
      <x:c r="D39" s="94" t="str">
        <x:f>IFERROR(VLOOKUP(C39,'01 Staff Master'!$A$6:$M$105,2,FALSE),"")</x:f>
      </x:c>
      <x:c r="E39" s="94" t="str">
        <x:f>IFERROR(VLOOKUP(C39,'01 Staff Master'!$A$6:$M$105,3,FALSE),"")</x:f>
      </x:c>
      <x:c r="F39" s="93"/>
      <x:c r="G39" s="92"/>
      <x:c r="H39" s="92"/>
      <x:c r="I39" s="92"/>
      <x:c r="J39" s="92"/>
      <x:c r="K39" s="92"/>
      <x:c r="L39" s="92"/>
      <x:c r="M39" s="92"/>
      <x:c r="N39" s="92"/>
      <x:c r="O39" s="107" t="str">
        <x:f>IF(COUNT(G39:N39)=0,"",AVERAGE(G39:N39))</x:f>
      </x:c>
      <x:c r="P39" s="92"/>
      <x:c r="Q39" s="92"/>
      <x:c r="R39" s="92"/>
      <x:c r="S39" s="92"/>
      <x:c r="T39" s="92"/>
      <x:c r="U39" s="92"/>
      <x:c r="V39" s="92"/>
      <x:c r="W39" s="94" t="str">
        <x:f>IF(A39="","",IF(AND(F39&lt;&gt;"",COUNT(G39:N39)=8,P39&lt;&gt;"",Q39&lt;&gt;""),"Complete","Incomplete"))</x:f>
      </x:c>
      <x:c r="X39" s="92"/>
    </x:row>
    <x:row r="40">
      <x:c r="A40" s="92"/>
      <x:c r="B40" s="92"/>
      <x:c r="C40" s="92"/>
      <x:c r="D40" s="94" t="str">
        <x:f>IFERROR(VLOOKUP(C40,'01 Staff Master'!$A$6:$M$105,2,FALSE),"")</x:f>
      </x:c>
      <x:c r="E40" s="94" t="str">
        <x:f>IFERROR(VLOOKUP(C40,'01 Staff Master'!$A$6:$M$105,3,FALSE),"")</x:f>
      </x:c>
      <x:c r="F40" s="93"/>
      <x:c r="G40" s="92"/>
      <x:c r="H40" s="92"/>
      <x:c r="I40" s="92"/>
      <x:c r="J40" s="92"/>
      <x:c r="K40" s="92"/>
      <x:c r="L40" s="92"/>
      <x:c r="M40" s="92"/>
      <x:c r="N40" s="92"/>
      <x:c r="O40" s="107" t="str">
        <x:f>IF(COUNT(G40:N40)=0,"",AVERAGE(G40:N40))</x:f>
      </x:c>
      <x:c r="P40" s="92"/>
      <x:c r="Q40" s="92"/>
      <x:c r="R40" s="92"/>
      <x:c r="S40" s="92"/>
      <x:c r="T40" s="92"/>
      <x:c r="U40" s="92"/>
      <x:c r="V40" s="92"/>
      <x:c r="W40" s="94" t="str">
        <x:f>IF(A40="","",IF(AND(F40&lt;&gt;"",COUNT(G40:N40)=8,P40&lt;&gt;"",Q40&lt;&gt;""),"Complete","Incomplete"))</x:f>
      </x:c>
      <x:c r="X40" s="92"/>
    </x:row>
    <x:row r="41">
      <x:c r="A41" s="92"/>
      <x:c r="B41" s="92"/>
      <x:c r="C41" s="92"/>
      <x:c r="D41" s="94" t="str">
        <x:f>IFERROR(VLOOKUP(C41,'01 Staff Master'!$A$6:$M$105,2,FALSE),"")</x:f>
      </x:c>
      <x:c r="E41" s="94" t="str">
        <x:f>IFERROR(VLOOKUP(C41,'01 Staff Master'!$A$6:$M$105,3,FALSE),"")</x:f>
      </x:c>
      <x:c r="F41" s="93"/>
      <x:c r="G41" s="92"/>
      <x:c r="H41" s="92"/>
      <x:c r="I41" s="92"/>
      <x:c r="J41" s="92"/>
      <x:c r="K41" s="92"/>
      <x:c r="L41" s="92"/>
      <x:c r="M41" s="92"/>
      <x:c r="N41" s="92"/>
      <x:c r="O41" s="107" t="str">
        <x:f>IF(COUNT(G41:N41)=0,"",AVERAGE(G41:N41))</x:f>
      </x:c>
      <x:c r="P41" s="92"/>
      <x:c r="Q41" s="92"/>
      <x:c r="R41" s="92"/>
      <x:c r="S41" s="92"/>
      <x:c r="T41" s="92"/>
      <x:c r="U41" s="92"/>
      <x:c r="V41" s="92"/>
      <x:c r="W41" s="94" t="str">
        <x:f>IF(A41="","",IF(AND(F41&lt;&gt;"",COUNT(G41:N41)=8,P41&lt;&gt;"",Q41&lt;&gt;""),"Complete","Incomplete"))</x:f>
      </x:c>
      <x:c r="X41" s="92"/>
    </x:row>
    <x:row r="42">
      <x:c r="A42" s="92"/>
      <x:c r="B42" s="92"/>
      <x:c r="C42" s="92"/>
      <x:c r="D42" s="94" t="str">
        <x:f>IFERROR(VLOOKUP(C42,'01 Staff Master'!$A$6:$M$105,2,FALSE),"")</x:f>
      </x:c>
      <x:c r="E42" s="94" t="str">
        <x:f>IFERROR(VLOOKUP(C42,'01 Staff Master'!$A$6:$M$105,3,FALSE),"")</x:f>
      </x:c>
      <x:c r="F42" s="93"/>
      <x:c r="G42" s="92"/>
      <x:c r="H42" s="92"/>
      <x:c r="I42" s="92"/>
      <x:c r="J42" s="92"/>
      <x:c r="K42" s="92"/>
      <x:c r="L42" s="92"/>
      <x:c r="M42" s="92"/>
      <x:c r="N42" s="92"/>
      <x:c r="O42" s="107" t="str">
        <x:f>IF(COUNT(G42:N42)=0,"",AVERAGE(G42:N42))</x:f>
      </x:c>
      <x:c r="P42" s="92"/>
      <x:c r="Q42" s="92"/>
      <x:c r="R42" s="92"/>
      <x:c r="S42" s="92"/>
      <x:c r="T42" s="92"/>
      <x:c r="U42" s="92"/>
      <x:c r="V42" s="92"/>
      <x:c r="W42" s="94" t="str">
        <x:f>IF(A42="","",IF(AND(F42&lt;&gt;"",COUNT(G42:N42)=8,P42&lt;&gt;"",Q42&lt;&gt;""),"Complete","Incomplete"))</x:f>
      </x:c>
      <x:c r="X42" s="92"/>
    </x:row>
    <x:row r="43">
      <x:c r="A43" s="92"/>
      <x:c r="B43" s="92"/>
      <x:c r="C43" s="92"/>
      <x:c r="D43" s="94" t="str">
        <x:f>IFERROR(VLOOKUP(C43,'01 Staff Master'!$A$6:$M$105,2,FALSE),"")</x:f>
      </x:c>
      <x:c r="E43" s="94" t="str">
        <x:f>IFERROR(VLOOKUP(C43,'01 Staff Master'!$A$6:$M$105,3,FALSE),"")</x:f>
      </x:c>
      <x:c r="F43" s="93"/>
      <x:c r="G43" s="92"/>
      <x:c r="H43" s="92"/>
      <x:c r="I43" s="92"/>
      <x:c r="J43" s="92"/>
      <x:c r="K43" s="92"/>
      <x:c r="L43" s="92"/>
      <x:c r="M43" s="92"/>
      <x:c r="N43" s="92"/>
      <x:c r="O43" s="107" t="str">
        <x:f>IF(COUNT(G43:N43)=0,"",AVERAGE(G43:N43))</x:f>
      </x:c>
      <x:c r="P43" s="92"/>
      <x:c r="Q43" s="92"/>
      <x:c r="R43" s="92"/>
      <x:c r="S43" s="92"/>
      <x:c r="T43" s="92"/>
      <x:c r="U43" s="92"/>
      <x:c r="V43" s="92"/>
      <x:c r="W43" s="94" t="str">
        <x:f>IF(A43="","",IF(AND(F43&lt;&gt;"",COUNT(G43:N43)=8,P43&lt;&gt;"",Q43&lt;&gt;""),"Complete","Incomplete"))</x:f>
      </x:c>
      <x:c r="X43" s="92"/>
    </x:row>
    <x:row r="44">
      <x:c r="A44" s="92"/>
      <x:c r="B44" s="92"/>
      <x:c r="C44" s="92"/>
      <x:c r="D44" s="94" t="str">
        <x:f>IFERROR(VLOOKUP(C44,'01 Staff Master'!$A$6:$M$105,2,FALSE),"")</x:f>
      </x:c>
      <x:c r="E44" s="94" t="str">
        <x:f>IFERROR(VLOOKUP(C44,'01 Staff Master'!$A$6:$M$105,3,FALSE),"")</x:f>
      </x:c>
      <x:c r="F44" s="93"/>
      <x:c r="G44" s="92"/>
      <x:c r="H44" s="92"/>
      <x:c r="I44" s="92"/>
      <x:c r="J44" s="92"/>
      <x:c r="K44" s="92"/>
      <x:c r="L44" s="92"/>
      <x:c r="M44" s="92"/>
      <x:c r="N44" s="92"/>
      <x:c r="O44" s="107" t="str">
        <x:f>IF(COUNT(G44:N44)=0,"",AVERAGE(G44:N44))</x:f>
      </x:c>
      <x:c r="P44" s="92"/>
      <x:c r="Q44" s="92"/>
      <x:c r="R44" s="92"/>
      <x:c r="S44" s="92"/>
      <x:c r="T44" s="92"/>
      <x:c r="U44" s="92"/>
      <x:c r="V44" s="92"/>
      <x:c r="W44" s="94" t="str">
        <x:f>IF(A44="","",IF(AND(F44&lt;&gt;"",COUNT(G44:N44)=8,P44&lt;&gt;"",Q44&lt;&gt;""),"Complete","Incomplete"))</x:f>
      </x:c>
      <x:c r="X44" s="92"/>
    </x:row>
    <x:row r="45">
      <x:c r="A45" s="92"/>
      <x:c r="B45" s="92"/>
      <x:c r="C45" s="92"/>
      <x:c r="D45" s="94" t="str">
        <x:f>IFERROR(VLOOKUP(C45,'01 Staff Master'!$A$6:$M$105,2,FALSE),"")</x:f>
      </x:c>
      <x:c r="E45" s="94" t="str">
        <x:f>IFERROR(VLOOKUP(C45,'01 Staff Master'!$A$6:$M$105,3,FALSE),"")</x:f>
      </x:c>
      <x:c r="F45" s="93"/>
      <x:c r="G45" s="92"/>
      <x:c r="H45" s="92"/>
      <x:c r="I45" s="92"/>
      <x:c r="J45" s="92"/>
      <x:c r="K45" s="92"/>
      <x:c r="L45" s="92"/>
      <x:c r="M45" s="92"/>
      <x:c r="N45" s="92"/>
      <x:c r="O45" s="107" t="str">
        <x:f>IF(COUNT(G45:N45)=0,"",AVERAGE(G45:N45))</x:f>
      </x:c>
      <x:c r="P45" s="92"/>
      <x:c r="Q45" s="92"/>
      <x:c r="R45" s="92"/>
      <x:c r="S45" s="92"/>
      <x:c r="T45" s="92"/>
      <x:c r="U45" s="92"/>
      <x:c r="V45" s="92"/>
      <x:c r="W45" s="94" t="str">
        <x:f>IF(A45="","",IF(AND(F45&lt;&gt;"",COUNT(G45:N45)=8,P45&lt;&gt;"",Q45&lt;&gt;""),"Complete","Incomplete"))</x:f>
      </x:c>
      <x:c r="X45" s="92"/>
    </x:row>
    <x:row r="46">
      <x:c r="A46" s="92"/>
      <x:c r="B46" s="92"/>
      <x:c r="C46" s="92"/>
      <x:c r="D46" s="94" t="str">
        <x:f>IFERROR(VLOOKUP(C46,'01 Staff Master'!$A$6:$M$105,2,FALSE),"")</x:f>
      </x:c>
      <x:c r="E46" s="94" t="str">
        <x:f>IFERROR(VLOOKUP(C46,'01 Staff Master'!$A$6:$M$105,3,FALSE),"")</x:f>
      </x:c>
      <x:c r="F46" s="93"/>
      <x:c r="G46" s="92"/>
      <x:c r="H46" s="92"/>
      <x:c r="I46" s="92"/>
      <x:c r="J46" s="92"/>
      <x:c r="K46" s="92"/>
      <x:c r="L46" s="92"/>
      <x:c r="M46" s="92"/>
      <x:c r="N46" s="92"/>
      <x:c r="O46" s="107" t="str">
        <x:f>IF(COUNT(G46:N46)=0,"",AVERAGE(G46:N46))</x:f>
      </x:c>
      <x:c r="P46" s="92"/>
      <x:c r="Q46" s="92"/>
      <x:c r="R46" s="92"/>
      <x:c r="S46" s="92"/>
      <x:c r="T46" s="92"/>
      <x:c r="U46" s="92"/>
      <x:c r="V46" s="92"/>
      <x:c r="W46" s="94" t="str">
        <x:f>IF(A46="","",IF(AND(F46&lt;&gt;"",COUNT(G46:N46)=8,P46&lt;&gt;"",Q46&lt;&gt;""),"Complete","Incomplete"))</x:f>
      </x:c>
      <x:c r="X46" s="92"/>
    </x:row>
    <x:row r="47">
      <x:c r="A47" s="92"/>
      <x:c r="B47" s="92"/>
      <x:c r="C47" s="92"/>
      <x:c r="D47" s="94" t="str">
        <x:f>IFERROR(VLOOKUP(C47,'01 Staff Master'!$A$6:$M$105,2,FALSE),"")</x:f>
      </x:c>
      <x:c r="E47" s="94" t="str">
        <x:f>IFERROR(VLOOKUP(C47,'01 Staff Master'!$A$6:$M$105,3,FALSE),"")</x:f>
      </x:c>
      <x:c r="F47" s="93"/>
      <x:c r="G47" s="92"/>
      <x:c r="H47" s="92"/>
      <x:c r="I47" s="92"/>
      <x:c r="J47" s="92"/>
      <x:c r="K47" s="92"/>
      <x:c r="L47" s="92"/>
      <x:c r="M47" s="92"/>
      <x:c r="N47" s="92"/>
      <x:c r="O47" s="107" t="str">
        <x:f>IF(COUNT(G47:N47)=0,"",AVERAGE(G47:N47))</x:f>
      </x:c>
      <x:c r="P47" s="92"/>
      <x:c r="Q47" s="92"/>
      <x:c r="R47" s="92"/>
      <x:c r="S47" s="92"/>
      <x:c r="T47" s="92"/>
      <x:c r="U47" s="92"/>
      <x:c r="V47" s="92"/>
      <x:c r="W47" s="94" t="str">
        <x:f>IF(A47="","",IF(AND(F47&lt;&gt;"",COUNT(G47:N47)=8,P47&lt;&gt;"",Q47&lt;&gt;""),"Complete","Incomplete"))</x:f>
      </x:c>
      <x:c r="X47" s="92"/>
    </x:row>
    <x:row r="48">
      <x:c r="A48" s="92"/>
      <x:c r="B48" s="92"/>
      <x:c r="C48" s="92"/>
      <x:c r="D48" s="94" t="str">
        <x:f>IFERROR(VLOOKUP(C48,'01 Staff Master'!$A$6:$M$105,2,FALSE),"")</x:f>
      </x:c>
      <x:c r="E48" s="94" t="str">
        <x:f>IFERROR(VLOOKUP(C48,'01 Staff Master'!$A$6:$M$105,3,FALSE),"")</x:f>
      </x:c>
      <x:c r="F48" s="93"/>
      <x:c r="G48" s="92"/>
      <x:c r="H48" s="92"/>
      <x:c r="I48" s="92"/>
      <x:c r="J48" s="92"/>
      <x:c r="K48" s="92"/>
      <x:c r="L48" s="92"/>
      <x:c r="M48" s="92"/>
      <x:c r="N48" s="92"/>
      <x:c r="O48" s="107" t="str">
        <x:f>IF(COUNT(G48:N48)=0,"",AVERAGE(G48:N48))</x:f>
      </x:c>
      <x:c r="P48" s="92"/>
      <x:c r="Q48" s="92"/>
      <x:c r="R48" s="92"/>
      <x:c r="S48" s="92"/>
      <x:c r="T48" s="92"/>
      <x:c r="U48" s="92"/>
      <x:c r="V48" s="92"/>
      <x:c r="W48" s="94" t="str">
        <x:f>IF(A48="","",IF(AND(F48&lt;&gt;"",COUNT(G48:N48)=8,P48&lt;&gt;"",Q48&lt;&gt;""),"Complete","Incomplete"))</x:f>
      </x:c>
      <x:c r="X48" s="92"/>
    </x:row>
    <x:row r="49">
      <x:c r="A49" s="92"/>
      <x:c r="B49" s="92"/>
      <x:c r="C49" s="92"/>
      <x:c r="D49" s="94" t="str">
        <x:f>IFERROR(VLOOKUP(C49,'01 Staff Master'!$A$6:$M$105,2,FALSE),"")</x:f>
      </x:c>
      <x:c r="E49" s="94" t="str">
        <x:f>IFERROR(VLOOKUP(C49,'01 Staff Master'!$A$6:$M$105,3,FALSE),"")</x:f>
      </x:c>
      <x:c r="F49" s="93"/>
      <x:c r="G49" s="92"/>
      <x:c r="H49" s="92"/>
      <x:c r="I49" s="92"/>
      <x:c r="J49" s="92"/>
      <x:c r="K49" s="92"/>
      <x:c r="L49" s="92"/>
      <x:c r="M49" s="92"/>
      <x:c r="N49" s="92"/>
      <x:c r="O49" s="107" t="str">
        <x:f>IF(COUNT(G49:N49)=0,"",AVERAGE(G49:N49))</x:f>
      </x:c>
      <x:c r="P49" s="92"/>
      <x:c r="Q49" s="92"/>
      <x:c r="R49" s="92"/>
      <x:c r="S49" s="92"/>
      <x:c r="T49" s="92"/>
      <x:c r="U49" s="92"/>
      <x:c r="V49" s="92"/>
      <x:c r="W49" s="94" t="str">
        <x:f>IF(A49="","",IF(AND(F49&lt;&gt;"",COUNT(G49:N49)=8,P49&lt;&gt;"",Q49&lt;&gt;""),"Complete","Incomplete"))</x:f>
      </x:c>
      <x:c r="X49" s="92"/>
    </x:row>
    <x:row r="50">
      <x:c r="A50" s="92"/>
      <x:c r="B50" s="92"/>
      <x:c r="C50" s="92"/>
      <x:c r="D50" s="94" t="str">
        <x:f>IFERROR(VLOOKUP(C50,'01 Staff Master'!$A$6:$M$105,2,FALSE),"")</x:f>
      </x:c>
      <x:c r="E50" s="94" t="str">
        <x:f>IFERROR(VLOOKUP(C50,'01 Staff Master'!$A$6:$M$105,3,FALSE),"")</x:f>
      </x:c>
      <x:c r="F50" s="93"/>
      <x:c r="G50" s="92"/>
      <x:c r="H50" s="92"/>
      <x:c r="I50" s="92"/>
      <x:c r="J50" s="92"/>
      <x:c r="K50" s="92"/>
      <x:c r="L50" s="92"/>
      <x:c r="M50" s="92"/>
      <x:c r="N50" s="92"/>
      <x:c r="O50" s="107" t="str">
        <x:f>IF(COUNT(G50:N50)=0,"",AVERAGE(G50:N50))</x:f>
      </x:c>
      <x:c r="P50" s="92"/>
      <x:c r="Q50" s="92"/>
      <x:c r="R50" s="92"/>
      <x:c r="S50" s="92"/>
      <x:c r="T50" s="92"/>
      <x:c r="U50" s="92"/>
      <x:c r="V50" s="92"/>
      <x:c r="W50" s="94" t="str">
        <x:f>IF(A50="","",IF(AND(F50&lt;&gt;"",COUNT(G50:N50)=8,P50&lt;&gt;"",Q50&lt;&gt;""),"Complete","Incomplete"))</x:f>
      </x:c>
      <x:c r="X50" s="92"/>
    </x:row>
    <x:row r="51">
      <x:c r="A51" s="92"/>
      <x:c r="B51" s="92"/>
      <x:c r="C51" s="92"/>
      <x:c r="D51" s="94" t="str">
        <x:f>IFERROR(VLOOKUP(C51,'01 Staff Master'!$A$6:$M$105,2,FALSE),"")</x:f>
      </x:c>
      <x:c r="E51" s="94" t="str">
        <x:f>IFERROR(VLOOKUP(C51,'01 Staff Master'!$A$6:$M$105,3,FALSE),"")</x:f>
      </x:c>
      <x:c r="F51" s="93"/>
      <x:c r="G51" s="92"/>
      <x:c r="H51" s="92"/>
      <x:c r="I51" s="92"/>
      <x:c r="J51" s="92"/>
      <x:c r="K51" s="92"/>
      <x:c r="L51" s="92"/>
      <x:c r="M51" s="92"/>
      <x:c r="N51" s="92"/>
      <x:c r="O51" s="107" t="str">
        <x:f>IF(COUNT(G51:N51)=0,"",AVERAGE(G51:N51))</x:f>
      </x:c>
      <x:c r="P51" s="92"/>
      <x:c r="Q51" s="92"/>
      <x:c r="R51" s="92"/>
      <x:c r="S51" s="92"/>
      <x:c r="T51" s="92"/>
      <x:c r="U51" s="92"/>
      <x:c r="V51" s="92"/>
      <x:c r="W51" s="94" t="str">
        <x:f>IF(A51="","",IF(AND(F51&lt;&gt;"",COUNT(G51:N51)=8,P51&lt;&gt;"",Q51&lt;&gt;""),"Complete","Incomplete"))</x:f>
      </x:c>
      <x:c r="X51" s="92"/>
    </x:row>
    <x:row r="52">
      <x:c r="A52" s="92"/>
      <x:c r="B52" s="92"/>
      <x:c r="C52" s="92"/>
      <x:c r="D52" s="94" t="str">
        <x:f>IFERROR(VLOOKUP(C52,'01 Staff Master'!$A$6:$M$105,2,FALSE),"")</x:f>
      </x:c>
      <x:c r="E52" s="94" t="str">
        <x:f>IFERROR(VLOOKUP(C52,'01 Staff Master'!$A$6:$M$105,3,FALSE),"")</x:f>
      </x:c>
      <x:c r="F52" s="93"/>
      <x:c r="G52" s="92"/>
      <x:c r="H52" s="92"/>
      <x:c r="I52" s="92"/>
      <x:c r="J52" s="92"/>
      <x:c r="K52" s="92"/>
      <x:c r="L52" s="92"/>
      <x:c r="M52" s="92"/>
      <x:c r="N52" s="92"/>
      <x:c r="O52" s="107" t="str">
        <x:f>IF(COUNT(G52:N52)=0,"",AVERAGE(G52:N52))</x:f>
      </x:c>
      <x:c r="P52" s="92"/>
      <x:c r="Q52" s="92"/>
      <x:c r="R52" s="92"/>
      <x:c r="S52" s="92"/>
      <x:c r="T52" s="92"/>
      <x:c r="U52" s="92"/>
      <x:c r="V52" s="92"/>
      <x:c r="W52" s="94" t="str">
        <x:f>IF(A52="","",IF(AND(F52&lt;&gt;"",COUNT(G52:N52)=8,P52&lt;&gt;"",Q52&lt;&gt;""),"Complete","Incomplete"))</x:f>
      </x:c>
      <x:c r="X52" s="92"/>
    </x:row>
    <x:row r="53">
      <x:c r="A53" s="92"/>
      <x:c r="B53" s="92"/>
      <x:c r="C53" s="92"/>
      <x:c r="D53" s="94" t="str">
        <x:f>IFERROR(VLOOKUP(C53,'01 Staff Master'!$A$6:$M$105,2,FALSE),"")</x:f>
      </x:c>
      <x:c r="E53" s="94" t="str">
        <x:f>IFERROR(VLOOKUP(C53,'01 Staff Master'!$A$6:$M$105,3,FALSE),"")</x:f>
      </x:c>
      <x:c r="F53" s="93"/>
      <x:c r="G53" s="92"/>
      <x:c r="H53" s="92"/>
      <x:c r="I53" s="92"/>
      <x:c r="J53" s="92"/>
      <x:c r="K53" s="92"/>
      <x:c r="L53" s="92"/>
      <x:c r="M53" s="92"/>
      <x:c r="N53" s="92"/>
      <x:c r="O53" s="107" t="str">
        <x:f>IF(COUNT(G53:N53)=0,"",AVERAGE(G53:N53))</x:f>
      </x:c>
      <x:c r="P53" s="92"/>
      <x:c r="Q53" s="92"/>
      <x:c r="R53" s="92"/>
      <x:c r="S53" s="92"/>
      <x:c r="T53" s="92"/>
      <x:c r="U53" s="92"/>
      <x:c r="V53" s="92"/>
      <x:c r="W53" s="94" t="str">
        <x:f>IF(A53="","",IF(AND(F53&lt;&gt;"",COUNT(G53:N53)=8,P53&lt;&gt;"",Q53&lt;&gt;""),"Complete","Incomplete"))</x:f>
      </x:c>
      <x:c r="X53" s="92"/>
    </x:row>
    <x:row r="54">
      <x:c r="A54" s="92"/>
      <x:c r="B54" s="92"/>
      <x:c r="C54" s="92"/>
      <x:c r="D54" s="94" t="str">
        <x:f>IFERROR(VLOOKUP(C54,'01 Staff Master'!$A$6:$M$105,2,FALSE),"")</x:f>
      </x:c>
      <x:c r="E54" s="94" t="str">
        <x:f>IFERROR(VLOOKUP(C54,'01 Staff Master'!$A$6:$M$105,3,FALSE),"")</x:f>
      </x:c>
      <x:c r="F54" s="93"/>
      <x:c r="G54" s="92"/>
      <x:c r="H54" s="92"/>
      <x:c r="I54" s="92"/>
      <x:c r="J54" s="92"/>
      <x:c r="K54" s="92"/>
      <x:c r="L54" s="92"/>
      <x:c r="M54" s="92"/>
      <x:c r="N54" s="92"/>
      <x:c r="O54" s="107" t="str">
        <x:f>IF(COUNT(G54:N54)=0,"",AVERAGE(G54:N54))</x:f>
      </x:c>
      <x:c r="P54" s="92"/>
      <x:c r="Q54" s="92"/>
      <x:c r="R54" s="92"/>
      <x:c r="S54" s="92"/>
      <x:c r="T54" s="92"/>
      <x:c r="U54" s="92"/>
      <x:c r="V54" s="92"/>
      <x:c r="W54" s="94" t="str">
        <x:f>IF(A54="","",IF(AND(F54&lt;&gt;"",COUNT(G54:N54)=8,P54&lt;&gt;"",Q54&lt;&gt;""),"Complete","Incomplete"))</x:f>
      </x:c>
      <x:c r="X54" s="92"/>
    </x:row>
    <x:row r="55">
      <x:c r="A55" s="92"/>
      <x:c r="B55" s="92"/>
      <x:c r="C55" s="92"/>
      <x:c r="D55" s="94" t="str">
        <x:f>IFERROR(VLOOKUP(C55,'01 Staff Master'!$A$6:$M$105,2,FALSE),"")</x:f>
      </x:c>
      <x:c r="E55" s="94" t="str">
        <x:f>IFERROR(VLOOKUP(C55,'01 Staff Master'!$A$6:$M$105,3,FALSE),"")</x:f>
      </x:c>
      <x:c r="F55" s="93"/>
      <x:c r="G55" s="92"/>
      <x:c r="H55" s="92"/>
      <x:c r="I55" s="92"/>
      <x:c r="J55" s="92"/>
      <x:c r="K55" s="92"/>
      <x:c r="L55" s="92"/>
      <x:c r="M55" s="92"/>
      <x:c r="N55" s="92"/>
      <x:c r="O55" s="107" t="str">
        <x:f>IF(COUNT(G55:N55)=0,"",AVERAGE(G55:N55))</x:f>
      </x:c>
      <x:c r="P55" s="92"/>
      <x:c r="Q55" s="92"/>
      <x:c r="R55" s="92"/>
      <x:c r="S55" s="92"/>
      <x:c r="T55" s="92"/>
      <x:c r="U55" s="92"/>
      <x:c r="V55" s="92"/>
      <x:c r="W55" s="94" t="str">
        <x:f>IF(A55="","",IF(AND(F55&lt;&gt;"",COUNT(G55:N55)=8,P55&lt;&gt;"",Q55&lt;&gt;""),"Complete","Incomplete"))</x:f>
      </x:c>
      <x:c r="X55" s="92"/>
    </x:row>
    <x:row r="56">
      <x:c r="A56" s="92"/>
      <x:c r="B56" s="92"/>
      <x:c r="C56" s="92"/>
      <x:c r="D56" s="94" t="str">
        <x:f>IFERROR(VLOOKUP(C56,'01 Staff Master'!$A$6:$M$105,2,FALSE),"")</x:f>
      </x:c>
      <x:c r="E56" s="94" t="str">
        <x:f>IFERROR(VLOOKUP(C56,'01 Staff Master'!$A$6:$M$105,3,FALSE),"")</x:f>
      </x:c>
      <x:c r="F56" s="93"/>
      <x:c r="G56" s="92"/>
      <x:c r="H56" s="92"/>
      <x:c r="I56" s="92"/>
      <x:c r="J56" s="92"/>
      <x:c r="K56" s="92"/>
      <x:c r="L56" s="92"/>
      <x:c r="M56" s="92"/>
      <x:c r="N56" s="92"/>
      <x:c r="O56" s="107" t="str">
        <x:f>IF(COUNT(G56:N56)=0,"",AVERAGE(G56:N56))</x:f>
      </x:c>
      <x:c r="P56" s="92"/>
      <x:c r="Q56" s="92"/>
      <x:c r="R56" s="92"/>
      <x:c r="S56" s="92"/>
      <x:c r="T56" s="92"/>
      <x:c r="U56" s="92"/>
      <x:c r="V56" s="92"/>
      <x:c r="W56" s="94" t="str">
        <x:f>IF(A56="","",IF(AND(F56&lt;&gt;"",COUNT(G56:N56)=8,P56&lt;&gt;"",Q56&lt;&gt;""),"Complete","Incomplete"))</x:f>
      </x:c>
      <x:c r="X56" s="92"/>
    </x:row>
    <x:row r="57">
      <x:c r="A57" s="92"/>
      <x:c r="B57" s="92"/>
      <x:c r="C57" s="92"/>
      <x:c r="D57" s="94" t="str">
        <x:f>IFERROR(VLOOKUP(C57,'01 Staff Master'!$A$6:$M$105,2,FALSE),"")</x:f>
      </x:c>
      <x:c r="E57" s="94" t="str">
        <x:f>IFERROR(VLOOKUP(C57,'01 Staff Master'!$A$6:$M$105,3,FALSE),"")</x:f>
      </x:c>
      <x:c r="F57" s="93"/>
      <x:c r="G57" s="92"/>
      <x:c r="H57" s="92"/>
      <x:c r="I57" s="92"/>
      <x:c r="J57" s="92"/>
      <x:c r="K57" s="92"/>
      <x:c r="L57" s="92"/>
      <x:c r="M57" s="92"/>
      <x:c r="N57" s="92"/>
      <x:c r="O57" s="107" t="str">
        <x:f>IF(COUNT(G57:N57)=0,"",AVERAGE(G57:N57))</x:f>
      </x:c>
      <x:c r="P57" s="92"/>
      <x:c r="Q57" s="92"/>
      <x:c r="R57" s="92"/>
      <x:c r="S57" s="92"/>
      <x:c r="T57" s="92"/>
      <x:c r="U57" s="92"/>
      <x:c r="V57" s="92"/>
      <x:c r="W57" s="94" t="str">
        <x:f>IF(A57="","",IF(AND(F57&lt;&gt;"",COUNT(G57:N57)=8,P57&lt;&gt;"",Q57&lt;&gt;""),"Complete","Incomplete"))</x:f>
      </x:c>
      <x:c r="X57" s="92"/>
    </x:row>
    <x:row r="58">
      <x:c r="A58" s="92"/>
      <x:c r="B58" s="92"/>
      <x:c r="C58" s="92"/>
      <x:c r="D58" s="94" t="str">
        <x:f>IFERROR(VLOOKUP(C58,'01 Staff Master'!$A$6:$M$105,2,FALSE),"")</x:f>
      </x:c>
      <x:c r="E58" s="94" t="str">
        <x:f>IFERROR(VLOOKUP(C58,'01 Staff Master'!$A$6:$M$105,3,FALSE),"")</x:f>
      </x:c>
      <x:c r="F58" s="93"/>
      <x:c r="G58" s="92"/>
      <x:c r="H58" s="92"/>
      <x:c r="I58" s="92"/>
      <x:c r="J58" s="92"/>
      <x:c r="K58" s="92"/>
      <x:c r="L58" s="92"/>
      <x:c r="M58" s="92"/>
      <x:c r="N58" s="92"/>
      <x:c r="O58" s="107" t="str">
        <x:f>IF(COUNT(G58:N58)=0,"",AVERAGE(G58:N58))</x:f>
      </x:c>
      <x:c r="P58" s="92"/>
      <x:c r="Q58" s="92"/>
      <x:c r="R58" s="92"/>
      <x:c r="S58" s="92"/>
      <x:c r="T58" s="92"/>
      <x:c r="U58" s="92"/>
      <x:c r="V58" s="92"/>
      <x:c r="W58" s="94" t="str">
        <x:f>IF(A58="","",IF(AND(F58&lt;&gt;"",COUNT(G58:N58)=8,P58&lt;&gt;"",Q58&lt;&gt;""),"Complete","Incomplete"))</x:f>
      </x:c>
      <x:c r="X58" s="92"/>
    </x:row>
    <x:row r="59">
      <x:c r="A59" s="92"/>
      <x:c r="B59" s="92"/>
      <x:c r="C59" s="92"/>
      <x:c r="D59" s="94" t="str">
        <x:f>IFERROR(VLOOKUP(C59,'01 Staff Master'!$A$6:$M$105,2,FALSE),"")</x:f>
      </x:c>
      <x:c r="E59" s="94" t="str">
        <x:f>IFERROR(VLOOKUP(C59,'01 Staff Master'!$A$6:$M$105,3,FALSE),"")</x:f>
      </x:c>
      <x:c r="F59" s="93"/>
      <x:c r="G59" s="92"/>
      <x:c r="H59" s="92"/>
      <x:c r="I59" s="92"/>
      <x:c r="J59" s="92"/>
      <x:c r="K59" s="92"/>
      <x:c r="L59" s="92"/>
      <x:c r="M59" s="92"/>
      <x:c r="N59" s="92"/>
      <x:c r="O59" s="107" t="str">
        <x:f>IF(COUNT(G59:N59)=0,"",AVERAGE(G59:N59))</x:f>
      </x:c>
      <x:c r="P59" s="92"/>
      <x:c r="Q59" s="92"/>
      <x:c r="R59" s="92"/>
      <x:c r="S59" s="92"/>
      <x:c r="T59" s="92"/>
      <x:c r="U59" s="92"/>
      <x:c r="V59" s="92"/>
      <x:c r="W59" s="94" t="str">
        <x:f>IF(A59="","",IF(AND(F59&lt;&gt;"",COUNT(G59:N59)=8,P59&lt;&gt;"",Q59&lt;&gt;""),"Complete","Incomplete"))</x:f>
      </x:c>
      <x:c r="X59" s="92"/>
    </x:row>
    <x:row r="60">
      <x:c r="A60" s="92"/>
      <x:c r="B60" s="92"/>
      <x:c r="C60" s="92"/>
      <x:c r="D60" s="94" t="str">
        <x:f>IFERROR(VLOOKUP(C60,'01 Staff Master'!$A$6:$M$105,2,FALSE),"")</x:f>
      </x:c>
      <x:c r="E60" s="94" t="str">
        <x:f>IFERROR(VLOOKUP(C60,'01 Staff Master'!$A$6:$M$105,3,FALSE),"")</x:f>
      </x:c>
      <x:c r="F60" s="93"/>
      <x:c r="G60" s="92"/>
      <x:c r="H60" s="92"/>
      <x:c r="I60" s="92"/>
      <x:c r="J60" s="92"/>
      <x:c r="K60" s="92"/>
      <x:c r="L60" s="92"/>
      <x:c r="M60" s="92"/>
      <x:c r="N60" s="92"/>
      <x:c r="O60" s="107" t="str">
        <x:f>IF(COUNT(G60:N60)=0,"",AVERAGE(G60:N60))</x:f>
      </x:c>
      <x:c r="P60" s="92"/>
      <x:c r="Q60" s="92"/>
      <x:c r="R60" s="92"/>
      <x:c r="S60" s="92"/>
      <x:c r="T60" s="92"/>
      <x:c r="U60" s="92"/>
      <x:c r="V60" s="92"/>
      <x:c r="W60" s="94" t="str">
        <x:f>IF(A60="","",IF(AND(F60&lt;&gt;"",COUNT(G60:N60)=8,P60&lt;&gt;"",Q60&lt;&gt;""),"Complete","Incomplete"))</x:f>
      </x:c>
      <x:c r="X60" s="92"/>
    </x:row>
    <x:row r="61">
      <x:c r="A61" s="92"/>
      <x:c r="B61" s="92"/>
      <x:c r="C61" s="92"/>
      <x:c r="D61" s="94" t="str">
        <x:f>IFERROR(VLOOKUP(C61,'01 Staff Master'!$A$6:$M$105,2,FALSE),"")</x:f>
      </x:c>
      <x:c r="E61" s="94" t="str">
        <x:f>IFERROR(VLOOKUP(C61,'01 Staff Master'!$A$6:$M$105,3,FALSE),"")</x:f>
      </x:c>
      <x:c r="F61" s="93"/>
      <x:c r="G61" s="92"/>
      <x:c r="H61" s="92"/>
      <x:c r="I61" s="92"/>
      <x:c r="J61" s="92"/>
      <x:c r="K61" s="92"/>
      <x:c r="L61" s="92"/>
      <x:c r="M61" s="92"/>
      <x:c r="N61" s="92"/>
      <x:c r="O61" s="107" t="str">
        <x:f>IF(COUNT(G61:N61)=0,"",AVERAGE(G61:N61))</x:f>
      </x:c>
      <x:c r="P61" s="92"/>
      <x:c r="Q61" s="92"/>
      <x:c r="R61" s="92"/>
      <x:c r="S61" s="92"/>
      <x:c r="T61" s="92"/>
      <x:c r="U61" s="92"/>
      <x:c r="V61" s="92"/>
      <x:c r="W61" s="94" t="str">
        <x:f>IF(A61="","",IF(AND(F61&lt;&gt;"",COUNT(G61:N61)=8,P61&lt;&gt;"",Q61&lt;&gt;""),"Complete","Incomplete"))</x:f>
      </x:c>
      <x:c r="X61" s="92"/>
    </x:row>
    <x:row r="62">
      <x:c r="A62" s="92"/>
      <x:c r="B62" s="92"/>
      <x:c r="C62" s="92"/>
      <x:c r="D62" s="94" t="str">
        <x:f>IFERROR(VLOOKUP(C62,'01 Staff Master'!$A$6:$M$105,2,FALSE),"")</x:f>
      </x:c>
      <x:c r="E62" s="94" t="str">
        <x:f>IFERROR(VLOOKUP(C62,'01 Staff Master'!$A$6:$M$105,3,FALSE),"")</x:f>
      </x:c>
      <x:c r="F62" s="93"/>
      <x:c r="G62" s="92"/>
      <x:c r="H62" s="92"/>
      <x:c r="I62" s="92"/>
      <x:c r="J62" s="92"/>
      <x:c r="K62" s="92"/>
      <x:c r="L62" s="92"/>
      <x:c r="M62" s="92"/>
      <x:c r="N62" s="92"/>
      <x:c r="O62" s="107" t="str">
        <x:f>IF(COUNT(G62:N62)=0,"",AVERAGE(G62:N62))</x:f>
      </x:c>
      <x:c r="P62" s="92"/>
      <x:c r="Q62" s="92"/>
      <x:c r="R62" s="92"/>
      <x:c r="S62" s="92"/>
      <x:c r="T62" s="92"/>
      <x:c r="U62" s="92"/>
      <x:c r="V62" s="92"/>
      <x:c r="W62" s="94" t="str">
        <x:f>IF(A62="","",IF(AND(F62&lt;&gt;"",COUNT(G62:N62)=8,P62&lt;&gt;"",Q62&lt;&gt;""),"Complete","Incomplete"))</x:f>
      </x:c>
      <x:c r="X62" s="92"/>
    </x:row>
    <x:row r="63">
      <x:c r="A63" s="92"/>
      <x:c r="B63" s="92"/>
      <x:c r="C63" s="92"/>
      <x:c r="D63" s="94" t="str">
        <x:f>IFERROR(VLOOKUP(C63,'01 Staff Master'!$A$6:$M$105,2,FALSE),"")</x:f>
      </x:c>
      <x:c r="E63" s="94" t="str">
        <x:f>IFERROR(VLOOKUP(C63,'01 Staff Master'!$A$6:$M$105,3,FALSE),"")</x:f>
      </x:c>
      <x:c r="F63" s="93"/>
      <x:c r="G63" s="92"/>
      <x:c r="H63" s="92"/>
      <x:c r="I63" s="92"/>
      <x:c r="J63" s="92"/>
      <x:c r="K63" s="92"/>
      <x:c r="L63" s="92"/>
      <x:c r="M63" s="92"/>
      <x:c r="N63" s="92"/>
      <x:c r="O63" s="107" t="str">
        <x:f>IF(COUNT(G63:N63)=0,"",AVERAGE(G63:N63))</x:f>
      </x:c>
      <x:c r="P63" s="92"/>
      <x:c r="Q63" s="92"/>
      <x:c r="R63" s="92"/>
      <x:c r="S63" s="92"/>
      <x:c r="T63" s="92"/>
      <x:c r="U63" s="92"/>
      <x:c r="V63" s="92"/>
      <x:c r="W63" s="94" t="str">
        <x:f>IF(A63="","",IF(AND(F63&lt;&gt;"",COUNT(G63:N63)=8,P63&lt;&gt;"",Q63&lt;&gt;""),"Complete","Incomplete"))</x:f>
      </x:c>
      <x:c r="X63" s="92"/>
    </x:row>
    <x:row r="64">
      <x:c r="A64" s="92"/>
      <x:c r="B64" s="92"/>
      <x:c r="C64" s="92"/>
      <x:c r="D64" s="94" t="str">
        <x:f>IFERROR(VLOOKUP(C64,'01 Staff Master'!$A$6:$M$105,2,FALSE),"")</x:f>
      </x:c>
      <x:c r="E64" s="94" t="str">
        <x:f>IFERROR(VLOOKUP(C64,'01 Staff Master'!$A$6:$M$105,3,FALSE),"")</x:f>
      </x:c>
      <x:c r="F64" s="93"/>
      <x:c r="G64" s="92"/>
      <x:c r="H64" s="92"/>
      <x:c r="I64" s="92"/>
      <x:c r="J64" s="92"/>
      <x:c r="K64" s="92"/>
      <x:c r="L64" s="92"/>
      <x:c r="M64" s="92"/>
      <x:c r="N64" s="92"/>
      <x:c r="O64" s="107" t="str">
        <x:f>IF(COUNT(G64:N64)=0,"",AVERAGE(G64:N64))</x:f>
      </x:c>
      <x:c r="P64" s="92"/>
      <x:c r="Q64" s="92"/>
      <x:c r="R64" s="92"/>
      <x:c r="S64" s="92"/>
      <x:c r="T64" s="92"/>
      <x:c r="U64" s="92"/>
      <x:c r="V64" s="92"/>
      <x:c r="W64" s="94" t="str">
        <x:f>IF(A64="","",IF(AND(F64&lt;&gt;"",COUNT(G64:N64)=8,P64&lt;&gt;"",Q64&lt;&gt;""),"Complete","Incomplete"))</x:f>
      </x:c>
      <x:c r="X64" s="92"/>
    </x:row>
    <x:row r="65">
      <x:c r="A65" s="92"/>
      <x:c r="B65" s="92"/>
      <x:c r="C65" s="92"/>
      <x:c r="D65" s="94" t="str">
        <x:f>IFERROR(VLOOKUP(C65,'01 Staff Master'!$A$6:$M$105,2,FALSE),"")</x:f>
      </x:c>
      <x:c r="E65" s="94" t="str">
        <x:f>IFERROR(VLOOKUP(C65,'01 Staff Master'!$A$6:$M$105,3,FALSE),"")</x:f>
      </x:c>
      <x:c r="F65" s="93"/>
      <x:c r="G65" s="92"/>
      <x:c r="H65" s="92"/>
      <x:c r="I65" s="92"/>
      <x:c r="J65" s="92"/>
      <x:c r="K65" s="92"/>
      <x:c r="L65" s="92"/>
      <x:c r="M65" s="92"/>
      <x:c r="N65" s="92"/>
      <x:c r="O65" s="107" t="str">
        <x:f>IF(COUNT(G65:N65)=0,"",AVERAGE(G65:N65))</x:f>
      </x:c>
      <x:c r="P65" s="92"/>
      <x:c r="Q65" s="92"/>
      <x:c r="R65" s="92"/>
      <x:c r="S65" s="92"/>
      <x:c r="T65" s="92"/>
      <x:c r="U65" s="92"/>
      <x:c r="V65" s="92"/>
      <x:c r="W65" s="94" t="str">
        <x:f>IF(A65="","",IF(AND(F65&lt;&gt;"",COUNT(G65:N65)=8,P65&lt;&gt;"",Q65&lt;&gt;""),"Complete","Incomplete"))</x:f>
      </x:c>
      <x:c r="X65" s="92"/>
    </x:row>
    <x:row r="66">
      <x:c r="A66" s="92"/>
      <x:c r="B66" s="92"/>
      <x:c r="C66" s="92"/>
      <x:c r="D66" s="94" t="str">
        <x:f>IFERROR(VLOOKUP(C66,'01 Staff Master'!$A$6:$M$105,2,FALSE),"")</x:f>
      </x:c>
      <x:c r="E66" s="94" t="str">
        <x:f>IFERROR(VLOOKUP(C66,'01 Staff Master'!$A$6:$M$105,3,FALSE),"")</x:f>
      </x:c>
      <x:c r="F66" s="93"/>
      <x:c r="G66" s="92"/>
      <x:c r="H66" s="92"/>
      <x:c r="I66" s="92"/>
      <x:c r="J66" s="92"/>
      <x:c r="K66" s="92"/>
      <x:c r="L66" s="92"/>
      <x:c r="M66" s="92"/>
      <x:c r="N66" s="92"/>
      <x:c r="O66" s="107" t="str">
        <x:f>IF(COUNT(G66:N66)=0,"",AVERAGE(G66:N66))</x:f>
      </x:c>
      <x:c r="P66" s="92"/>
      <x:c r="Q66" s="92"/>
      <x:c r="R66" s="92"/>
      <x:c r="S66" s="92"/>
      <x:c r="T66" s="92"/>
      <x:c r="U66" s="92"/>
      <x:c r="V66" s="92"/>
      <x:c r="W66" s="94" t="str">
        <x:f>IF(A66="","",IF(AND(F66&lt;&gt;"",COUNT(G66:N66)=8,P66&lt;&gt;"",Q66&lt;&gt;""),"Complete","Incomplete"))</x:f>
      </x:c>
      <x:c r="X66" s="92"/>
    </x:row>
    <x:row r="67">
      <x:c r="A67" s="92"/>
      <x:c r="B67" s="92"/>
      <x:c r="C67" s="92"/>
      <x:c r="D67" s="94" t="str">
        <x:f>IFERROR(VLOOKUP(C67,'01 Staff Master'!$A$6:$M$105,2,FALSE),"")</x:f>
      </x:c>
      <x:c r="E67" s="94" t="str">
        <x:f>IFERROR(VLOOKUP(C67,'01 Staff Master'!$A$6:$M$105,3,FALSE),"")</x:f>
      </x:c>
      <x:c r="F67" s="93"/>
      <x:c r="G67" s="92"/>
      <x:c r="H67" s="92"/>
      <x:c r="I67" s="92"/>
      <x:c r="J67" s="92"/>
      <x:c r="K67" s="92"/>
      <x:c r="L67" s="92"/>
      <x:c r="M67" s="92"/>
      <x:c r="N67" s="92"/>
      <x:c r="O67" s="107" t="str">
        <x:f>IF(COUNT(G67:N67)=0,"",AVERAGE(G67:N67))</x:f>
      </x:c>
      <x:c r="P67" s="92"/>
      <x:c r="Q67" s="92"/>
      <x:c r="R67" s="92"/>
      <x:c r="S67" s="92"/>
      <x:c r="T67" s="92"/>
      <x:c r="U67" s="92"/>
      <x:c r="V67" s="92"/>
      <x:c r="W67" s="94" t="str">
        <x:f>IF(A67="","",IF(AND(F67&lt;&gt;"",COUNT(G67:N67)=8,P67&lt;&gt;"",Q67&lt;&gt;""),"Complete","Incomplete"))</x:f>
      </x:c>
      <x:c r="X67" s="92"/>
    </x:row>
    <x:row r="68">
      <x:c r="A68" s="92"/>
      <x:c r="B68" s="92"/>
      <x:c r="C68" s="92"/>
      <x:c r="D68" s="94" t="str">
        <x:f>IFERROR(VLOOKUP(C68,'01 Staff Master'!$A$6:$M$105,2,FALSE),"")</x:f>
      </x:c>
      <x:c r="E68" s="94" t="str">
        <x:f>IFERROR(VLOOKUP(C68,'01 Staff Master'!$A$6:$M$105,3,FALSE),"")</x:f>
      </x:c>
      <x:c r="F68" s="93"/>
      <x:c r="G68" s="92"/>
      <x:c r="H68" s="92"/>
      <x:c r="I68" s="92"/>
      <x:c r="J68" s="92"/>
      <x:c r="K68" s="92"/>
      <x:c r="L68" s="92"/>
      <x:c r="M68" s="92"/>
      <x:c r="N68" s="92"/>
      <x:c r="O68" s="107" t="str">
        <x:f>IF(COUNT(G68:N68)=0,"",AVERAGE(G68:N68))</x:f>
      </x:c>
      <x:c r="P68" s="92"/>
      <x:c r="Q68" s="92"/>
      <x:c r="R68" s="92"/>
      <x:c r="S68" s="92"/>
      <x:c r="T68" s="92"/>
      <x:c r="U68" s="92"/>
      <x:c r="V68" s="92"/>
      <x:c r="W68" s="94" t="str">
        <x:f>IF(A68="","",IF(AND(F68&lt;&gt;"",COUNT(G68:N68)=8,P68&lt;&gt;"",Q68&lt;&gt;""),"Complete","Incomplete"))</x:f>
      </x:c>
      <x:c r="X68" s="92"/>
    </x:row>
    <x:row r="69">
      <x:c r="A69" s="92"/>
      <x:c r="B69" s="92"/>
      <x:c r="C69" s="92"/>
      <x:c r="D69" s="94" t="str">
        <x:f>IFERROR(VLOOKUP(C69,'01 Staff Master'!$A$6:$M$105,2,FALSE),"")</x:f>
      </x:c>
      <x:c r="E69" s="94" t="str">
        <x:f>IFERROR(VLOOKUP(C69,'01 Staff Master'!$A$6:$M$105,3,FALSE),"")</x:f>
      </x:c>
      <x:c r="F69" s="93"/>
      <x:c r="G69" s="92"/>
      <x:c r="H69" s="92"/>
      <x:c r="I69" s="92"/>
      <x:c r="J69" s="92"/>
      <x:c r="K69" s="92"/>
      <x:c r="L69" s="92"/>
      <x:c r="M69" s="92"/>
      <x:c r="N69" s="92"/>
      <x:c r="O69" s="107" t="str">
        <x:f>IF(COUNT(G69:N69)=0,"",AVERAGE(G69:N69))</x:f>
      </x:c>
      <x:c r="P69" s="92"/>
      <x:c r="Q69" s="92"/>
      <x:c r="R69" s="92"/>
      <x:c r="S69" s="92"/>
      <x:c r="T69" s="92"/>
      <x:c r="U69" s="92"/>
      <x:c r="V69" s="92"/>
      <x:c r="W69" s="94" t="str">
        <x:f>IF(A69="","",IF(AND(F69&lt;&gt;"",COUNT(G69:N69)=8,P69&lt;&gt;"",Q69&lt;&gt;""),"Complete","Incomplete"))</x:f>
      </x:c>
      <x:c r="X69" s="92"/>
    </x:row>
    <x:row r="70">
      <x:c r="A70" s="92"/>
      <x:c r="B70" s="92"/>
      <x:c r="C70" s="92"/>
      <x:c r="D70" s="94" t="str">
        <x:f>IFERROR(VLOOKUP(C70,'01 Staff Master'!$A$6:$M$105,2,FALSE),"")</x:f>
      </x:c>
      <x:c r="E70" s="94" t="str">
        <x:f>IFERROR(VLOOKUP(C70,'01 Staff Master'!$A$6:$M$105,3,FALSE),"")</x:f>
      </x:c>
      <x:c r="F70" s="93"/>
      <x:c r="G70" s="92"/>
      <x:c r="H70" s="92"/>
      <x:c r="I70" s="92"/>
      <x:c r="J70" s="92"/>
      <x:c r="K70" s="92"/>
      <x:c r="L70" s="92"/>
      <x:c r="M70" s="92"/>
      <x:c r="N70" s="92"/>
      <x:c r="O70" s="107" t="str">
        <x:f>IF(COUNT(G70:N70)=0,"",AVERAGE(G70:N70))</x:f>
      </x:c>
      <x:c r="P70" s="92"/>
      <x:c r="Q70" s="92"/>
      <x:c r="R70" s="92"/>
      <x:c r="S70" s="92"/>
      <x:c r="T70" s="92"/>
      <x:c r="U70" s="92"/>
      <x:c r="V70" s="92"/>
      <x:c r="W70" s="94" t="str">
        <x:f>IF(A70="","",IF(AND(F70&lt;&gt;"",COUNT(G70:N70)=8,P70&lt;&gt;"",Q70&lt;&gt;""),"Complete","Incomplete"))</x:f>
      </x:c>
      <x:c r="X70" s="92"/>
    </x:row>
    <x:row r="71">
      <x:c r="A71" s="92"/>
      <x:c r="B71" s="92"/>
      <x:c r="C71" s="92"/>
      <x:c r="D71" s="94" t="str">
        <x:f>IFERROR(VLOOKUP(C71,'01 Staff Master'!$A$6:$M$105,2,FALSE),"")</x:f>
      </x:c>
      <x:c r="E71" s="94" t="str">
        <x:f>IFERROR(VLOOKUP(C71,'01 Staff Master'!$A$6:$M$105,3,FALSE),"")</x:f>
      </x:c>
      <x:c r="F71" s="93"/>
      <x:c r="G71" s="92"/>
      <x:c r="H71" s="92"/>
      <x:c r="I71" s="92"/>
      <x:c r="J71" s="92"/>
      <x:c r="K71" s="92"/>
      <x:c r="L71" s="92"/>
      <x:c r="M71" s="92"/>
      <x:c r="N71" s="92"/>
      <x:c r="O71" s="107" t="str">
        <x:f>IF(COUNT(G71:N71)=0,"",AVERAGE(G71:N71))</x:f>
      </x:c>
      <x:c r="P71" s="92"/>
      <x:c r="Q71" s="92"/>
      <x:c r="R71" s="92"/>
      <x:c r="S71" s="92"/>
      <x:c r="T71" s="92"/>
      <x:c r="U71" s="92"/>
      <x:c r="V71" s="92"/>
      <x:c r="W71" s="94" t="str">
        <x:f>IF(A71="","",IF(AND(F71&lt;&gt;"",COUNT(G71:N71)=8,P71&lt;&gt;"",Q71&lt;&gt;""),"Complete","Incomplete"))</x:f>
      </x:c>
      <x:c r="X71" s="92"/>
    </x:row>
    <x:row r="72">
      <x:c r="A72" s="92"/>
      <x:c r="B72" s="92"/>
      <x:c r="C72" s="92"/>
      <x:c r="D72" s="94" t="str">
        <x:f>IFERROR(VLOOKUP(C72,'01 Staff Master'!$A$6:$M$105,2,FALSE),"")</x:f>
      </x:c>
      <x:c r="E72" s="94" t="str">
        <x:f>IFERROR(VLOOKUP(C72,'01 Staff Master'!$A$6:$M$105,3,FALSE),"")</x:f>
      </x:c>
      <x:c r="F72" s="93"/>
      <x:c r="G72" s="92"/>
      <x:c r="H72" s="92"/>
      <x:c r="I72" s="92"/>
      <x:c r="J72" s="92"/>
      <x:c r="K72" s="92"/>
      <x:c r="L72" s="92"/>
      <x:c r="M72" s="92"/>
      <x:c r="N72" s="92"/>
      <x:c r="O72" s="107" t="str">
        <x:f>IF(COUNT(G72:N72)=0,"",AVERAGE(G72:N72))</x:f>
      </x:c>
      <x:c r="P72" s="92"/>
      <x:c r="Q72" s="92"/>
      <x:c r="R72" s="92"/>
      <x:c r="S72" s="92"/>
      <x:c r="T72" s="92"/>
      <x:c r="U72" s="92"/>
      <x:c r="V72" s="92"/>
      <x:c r="W72" s="94" t="str">
        <x:f>IF(A72="","",IF(AND(F72&lt;&gt;"",COUNT(G72:N72)=8,P72&lt;&gt;"",Q72&lt;&gt;""),"Complete","Incomplete"))</x:f>
      </x:c>
      <x:c r="X72" s="92"/>
    </x:row>
    <x:row r="73">
      <x:c r="A73" s="92"/>
      <x:c r="B73" s="92"/>
      <x:c r="C73" s="92"/>
      <x:c r="D73" s="94" t="str">
        <x:f>IFERROR(VLOOKUP(C73,'01 Staff Master'!$A$6:$M$105,2,FALSE),"")</x:f>
      </x:c>
      <x:c r="E73" s="94" t="str">
        <x:f>IFERROR(VLOOKUP(C73,'01 Staff Master'!$A$6:$M$105,3,FALSE),"")</x:f>
      </x:c>
      <x:c r="F73" s="93"/>
      <x:c r="G73" s="92"/>
      <x:c r="H73" s="92"/>
      <x:c r="I73" s="92"/>
      <x:c r="J73" s="92"/>
      <x:c r="K73" s="92"/>
      <x:c r="L73" s="92"/>
      <x:c r="M73" s="92"/>
      <x:c r="N73" s="92"/>
      <x:c r="O73" s="107" t="str">
        <x:f>IF(COUNT(G73:N73)=0,"",AVERAGE(G73:N73))</x:f>
      </x:c>
      <x:c r="P73" s="92"/>
      <x:c r="Q73" s="92"/>
      <x:c r="R73" s="92"/>
      <x:c r="S73" s="92"/>
      <x:c r="T73" s="92"/>
      <x:c r="U73" s="92"/>
      <x:c r="V73" s="92"/>
      <x:c r="W73" s="94" t="str">
        <x:f>IF(A73="","",IF(AND(F73&lt;&gt;"",COUNT(G73:N73)=8,P73&lt;&gt;"",Q73&lt;&gt;""),"Complete","Incomplete"))</x:f>
      </x:c>
      <x:c r="X73" s="92"/>
    </x:row>
    <x:row r="74">
      <x:c r="A74" s="92"/>
      <x:c r="B74" s="92"/>
      <x:c r="C74" s="92"/>
      <x:c r="D74" s="94" t="str">
        <x:f>IFERROR(VLOOKUP(C74,'01 Staff Master'!$A$6:$M$105,2,FALSE),"")</x:f>
      </x:c>
      <x:c r="E74" s="94" t="str">
        <x:f>IFERROR(VLOOKUP(C74,'01 Staff Master'!$A$6:$M$105,3,FALSE),"")</x:f>
      </x:c>
      <x:c r="F74" s="93"/>
      <x:c r="G74" s="92"/>
      <x:c r="H74" s="92"/>
      <x:c r="I74" s="92"/>
      <x:c r="J74" s="92"/>
      <x:c r="K74" s="92"/>
      <x:c r="L74" s="92"/>
      <x:c r="M74" s="92"/>
      <x:c r="N74" s="92"/>
      <x:c r="O74" s="107" t="str">
        <x:f>IF(COUNT(G74:N74)=0,"",AVERAGE(G74:N74))</x:f>
      </x:c>
      <x:c r="P74" s="92"/>
      <x:c r="Q74" s="92"/>
      <x:c r="R74" s="92"/>
      <x:c r="S74" s="92"/>
      <x:c r="T74" s="92"/>
      <x:c r="U74" s="92"/>
      <x:c r="V74" s="92"/>
      <x:c r="W74" s="94" t="str">
        <x:f>IF(A74="","",IF(AND(F74&lt;&gt;"",COUNT(G74:N74)=8,P74&lt;&gt;"",Q74&lt;&gt;""),"Complete","Incomplete"))</x:f>
      </x:c>
      <x:c r="X74" s="92"/>
    </x:row>
    <x:row r="75">
      <x:c r="A75" s="92"/>
      <x:c r="B75" s="92"/>
      <x:c r="C75" s="92"/>
      <x:c r="D75" s="94" t="str">
        <x:f>IFERROR(VLOOKUP(C75,'01 Staff Master'!$A$6:$M$105,2,FALSE),"")</x:f>
      </x:c>
      <x:c r="E75" s="94" t="str">
        <x:f>IFERROR(VLOOKUP(C75,'01 Staff Master'!$A$6:$M$105,3,FALSE),"")</x:f>
      </x:c>
      <x:c r="F75" s="93"/>
      <x:c r="G75" s="92"/>
      <x:c r="H75" s="92"/>
      <x:c r="I75" s="92"/>
      <x:c r="J75" s="92"/>
      <x:c r="K75" s="92"/>
      <x:c r="L75" s="92"/>
      <x:c r="M75" s="92"/>
      <x:c r="N75" s="92"/>
      <x:c r="O75" s="107" t="str">
        <x:f>IF(COUNT(G75:N75)=0,"",AVERAGE(G75:N75))</x:f>
      </x:c>
      <x:c r="P75" s="92"/>
      <x:c r="Q75" s="92"/>
      <x:c r="R75" s="92"/>
      <x:c r="S75" s="92"/>
      <x:c r="T75" s="92"/>
      <x:c r="U75" s="92"/>
      <x:c r="V75" s="92"/>
      <x:c r="W75" s="94" t="str">
        <x:f>IF(A75="","",IF(AND(F75&lt;&gt;"",COUNT(G75:N75)=8,P75&lt;&gt;"",Q75&lt;&gt;""),"Complete","Incomplete"))</x:f>
      </x:c>
      <x:c r="X75" s="92"/>
    </x:row>
    <x:row r="76">
      <x:c r="A76" s="92"/>
      <x:c r="B76" s="92"/>
      <x:c r="C76" s="92"/>
      <x:c r="D76" s="94" t="str">
        <x:f>IFERROR(VLOOKUP(C76,'01 Staff Master'!$A$6:$M$105,2,FALSE),"")</x:f>
      </x:c>
      <x:c r="E76" s="94" t="str">
        <x:f>IFERROR(VLOOKUP(C76,'01 Staff Master'!$A$6:$M$105,3,FALSE),"")</x:f>
      </x:c>
      <x:c r="F76" s="93"/>
      <x:c r="G76" s="92"/>
      <x:c r="H76" s="92"/>
      <x:c r="I76" s="92"/>
      <x:c r="J76" s="92"/>
      <x:c r="K76" s="92"/>
      <x:c r="L76" s="92"/>
      <x:c r="M76" s="92"/>
      <x:c r="N76" s="92"/>
      <x:c r="O76" s="107" t="str">
        <x:f>IF(COUNT(G76:N76)=0,"",AVERAGE(G76:N76))</x:f>
      </x:c>
      <x:c r="P76" s="92"/>
      <x:c r="Q76" s="92"/>
      <x:c r="R76" s="92"/>
      <x:c r="S76" s="92"/>
      <x:c r="T76" s="92"/>
      <x:c r="U76" s="92"/>
      <x:c r="V76" s="92"/>
      <x:c r="W76" s="94" t="str">
        <x:f>IF(A76="","",IF(AND(F76&lt;&gt;"",COUNT(G76:N76)=8,P76&lt;&gt;"",Q76&lt;&gt;""),"Complete","Incomplete"))</x:f>
      </x:c>
      <x:c r="X76" s="92"/>
    </x:row>
    <x:row r="77">
      <x:c r="A77" s="92"/>
      <x:c r="B77" s="92"/>
      <x:c r="C77" s="92"/>
      <x:c r="D77" s="94" t="str">
        <x:f>IFERROR(VLOOKUP(C77,'01 Staff Master'!$A$6:$M$105,2,FALSE),"")</x:f>
      </x:c>
      <x:c r="E77" s="94" t="str">
        <x:f>IFERROR(VLOOKUP(C77,'01 Staff Master'!$A$6:$M$105,3,FALSE),"")</x:f>
      </x:c>
      <x:c r="F77" s="93"/>
      <x:c r="G77" s="92"/>
      <x:c r="H77" s="92"/>
      <x:c r="I77" s="92"/>
      <x:c r="J77" s="92"/>
      <x:c r="K77" s="92"/>
      <x:c r="L77" s="92"/>
      <x:c r="M77" s="92"/>
      <x:c r="N77" s="92"/>
      <x:c r="O77" s="107" t="str">
        <x:f>IF(COUNT(G77:N77)=0,"",AVERAGE(G77:N77))</x:f>
      </x:c>
      <x:c r="P77" s="92"/>
      <x:c r="Q77" s="92"/>
      <x:c r="R77" s="92"/>
      <x:c r="S77" s="92"/>
      <x:c r="T77" s="92"/>
      <x:c r="U77" s="92"/>
      <x:c r="V77" s="92"/>
      <x:c r="W77" s="94" t="str">
        <x:f>IF(A77="","",IF(AND(F77&lt;&gt;"",COUNT(G77:N77)=8,P77&lt;&gt;"",Q77&lt;&gt;""),"Complete","Incomplete"))</x:f>
      </x:c>
      <x:c r="X77" s="92"/>
    </x:row>
    <x:row r="78">
      <x:c r="A78" s="92"/>
      <x:c r="B78" s="92"/>
      <x:c r="C78" s="92"/>
      <x:c r="D78" s="94" t="str">
        <x:f>IFERROR(VLOOKUP(C78,'01 Staff Master'!$A$6:$M$105,2,FALSE),"")</x:f>
      </x:c>
      <x:c r="E78" s="94" t="str">
        <x:f>IFERROR(VLOOKUP(C78,'01 Staff Master'!$A$6:$M$105,3,FALSE),"")</x:f>
      </x:c>
      <x:c r="F78" s="93"/>
      <x:c r="G78" s="92"/>
      <x:c r="H78" s="92"/>
      <x:c r="I78" s="92"/>
      <x:c r="J78" s="92"/>
      <x:c r="K78" s="92"/>
      <x:c r="L78" s="92"/>
      <x:c r="M78" s="92"/>
      <x:c r="N78" s="92"/>
      <x:c r="O78" s="107" t="str">
        <x:f>IF(COUNT(G78:N78)=0,"",AVERAGE(G78:N78))</x:f>
      </x:c>
      <x:c r="P78" s="92"/>
      <x:c r="Q78" s="92"/>
      <x:c r="R78" s="92"/>
      <x:c r="S78" s="92"/>
      <x:c r="T78" s="92"/>
      <x:c r="U78" s="92"/>
      <x:c r="V78" s="92"/>
      <x:c r="W78" s="94" t="str">
        <x:f>IF(A78="","",IF(AND(F78&lt;&gt;"",COUNT(G78:N78)=8,P78&lt;&gt;"",Q78&lt;&gt;""),"Complete","Incomplete"))</x:f>
      </x:c>
      <x:c r="X78" s="92"/>
    </x:row>
    <x:row r="79">
      <x:c r="A79" s="92"/>
      <x:c r="B79" s="92"/>
      <x:c r="C79" s="92"/>
      <x:c r="D79" s="94" t="str">
        <x:f>IFERROR(VLOOKUP(C79,'01 Staff Master'!$A$6:$M$105,2,FALSE),"")</x:f>
      </x:c>
      <x:c r="E79" s="94" t="str">
        <x:f>IFERROR(VLOOKUP(C79,'01 Staff Master'!$A$6:$M$105,3,FALSE),"")</x:f>
      </x:c>
      <x:c r="F79" s="93"/>
      <x:c r="G79" s="92"/>
      <x:c r="H79" s="92"/>
      <x:c r="I79" s="92"/>
      <x:c r="J79" s="92"/>
      <x:c r="K79" s="92"/>
      <x:c r="L79" s="92"/>
      <x:c r="M79" s="92"/>
      <x:c r="N79" s="92"/>
      <x:c r="O79" s="107" t="str">
        <x:f>IF(COUNT(G79:N79)=0,"",AVERAGE(G79:N79))</x:f>
      </x:c>
      <x:c r="P79" s="92"/>
      <x:c r="Q79" s="92"/>
      <x:c r="R79" s="92"/>
      <x:c r="S79" s="92"/>
      <x:c r="T79" s="92"/>
      <x:c r="U79" s="92"/>
      <x:c r="V79" s="92"/>
      <x:c r="W79" s="94" t="str">
        <x:f>IF(A79="","",IF(AND(F79&lt;&gt;"",COUNT(G79:N79)=8,P79&lt;&gt;"",Q79&lt;&gt;""),"Complete","Incomplete"))</x:f>
      </x:c>
      <x:c r="X79" s="92"/>
    </x:row>
    <x:row r="80">
      <x:c r="A80" s="92"/>
      <x:c r="B80" s="92"/>
      <x:c r="C80" s="92"/>
      <x:c r="D80" s="94" t="str">
        <x:f>IFERROR(VLOOKUP(C80,'01 Staff Master'!$A$6:$M$105,2,FALSE),"")</x:f>
      </x:c>
      <x:c r="E80" s="94" t="str">
        <x:f>IFERROR(VLOOKUP(C80,'01 Staff Master'!$A$6:$M$105,3,FALSE),"")</x:f>
      </x:c>
      <x:c r="F80" s="93"/>
      <x:c r="G80" s="92"/>
      <x:c r="H80" s="92"/>
      <x:c r="I80" s="92"/>
      <x:c r="J80" s="92"/>
      <x:c r="K80" s="92"/>
      <x:c r="L80" s="92"/>
      <x:c r="M80" s="92"/>
      <x:c r="N80" s="92"/>
      <x:c r="O80" s="107" t="str">
        <x:f>IF(COUNT(G80:N80)=0,"",AVERAGE(G80:N80))</x:f>
      </x:c>
      <x:c r="P80" s="92"/>
      <x:c r="Q80" s="92"/>
      <x:c r="R80" s="92"/>
      <x:c r="S80" s="92"/>
      <x:c r="T80" s="92"/>
      <x:c r="U80" s="92"/>
      <x:c r="V80" s="92"/>
      <x:c r="W80" s="94" t="str">
        <x:f>IF(A80="","",IF(AND(F80&lt;&gt;"",COUNT(G80:N80)=8,P80&lt;&gt;"",Q80&lt;&gt;""),"Complete","Incomplete"))</x:f>
      </x:c>
      <x:c r="X80" s="92"/>
    </x:row>
    <x:row r="81">
      <x:c r="A81" s="92"/>
      <x:c r="B81" s="92"/>
      <x:c r="C81" s="92"/>
      <x:c r="D81" s="94" t="str">
        <x:f>IFERROR(VLOOKUP(C81,'01 Staff Master'!$A$6:$M$105,2,FALSE),"")</x:f>
      </x:c>
      <x:c r="E81" s="94" t="str">
        <x:f>IFERROR(VLOOKUP(C81,'01 Staff Master'!$A$6:$M$105,3,FALSE),"")</x:f>
      </x:c>
      <x:c r="F81" s="93"/>
      <x:c r="G81" s="92"/>
      <x:c r="H81" s="92"/>
      <x:c r="I81" s="92"/>
      <x:c r="J81" s="92"/>
      <x:c r="K81" s="92"/>
      <x:c r="L81" s="92"/>
      <x:c r="M81" s="92"/>
      <x:c r="N81" s="92"/>
      <x:c r="O81" s="107" t="str">
        <x:f>IF(COUNT(G81:N81)=0,"",AVERAGE(G81:N81))</x:f>
      </x:c>
      <x:c r="P81" s="92"/>
      <x:c r="Q81" s="92"/>
      <x:c r="R81" s="92"/>
      <x:c r="S81" s="92"/>
      <x:c r="T81" s="92"/>
      <x:c r="U81" s="92"/>
      <x:c r="V81" s="92"/>
      <x:c r="W81" s="94" t="str">
        <x:f>IF(A81="","",IF(AND(F81&lt;&gt;"",COUNT(G81:N81)=8,P81&lt;&gt;"",Q81&lt;&gt;""),"Complete","Incomplete"))</x:f>
      </x:c>
      <x:c r="X81" s="92"/>
    </x:row>
    <x:row r="82">
      <x:c r="A82" s="92"/>
      <x:c r="B82" s="92"/>
      <x:c r="C82" s="92"/>
      <x:c r="D82" s="94" t="str">
        <x:f>IFERROR(VLOOKUP(C82,'01 Staff Master'!$A$6:$M$105,2,FALSE),"")</x:f>
      </x:c>
      <x:c r="E82" s="94" t="str">
        <x:f>IFERROR(VLOOKUP(C82,'01 Staff Master'!$A$6:$M$105,3,FALSE),"")</x:f>
      </x:c>
      <x:c r="F82" s="93"/>
      <x:c r="G82" s="92"/>
      <x:c r="H82" s="92"/>
      <x:c r="I82" s="92"/>
      <x:c r="J82" s="92"/>
      <x:c r="K82" s="92"/>
      <x:c r="L82" s="92"/>
      <x:c r="M82" s="92"/>
      <x:c r="N82" s="92"/>
      <x:c r="O82" s="107" t="str">
        <x:f>IF(COUNT(G82:N82)=0,"",AVERAGE(G82:N82))</x:f>
      </x:c>
      <x:c r="P82" s="92"/>
      <x:c r="Q82" s="92"/>
      <x:c r="R82" s="92"/>
      <x:c r="S82" s="92"/>
      <x:c r="T82" s="92"/>
      <x:c r="U82" s="92"/>
      <x:c r="V82" s="92"/>
      <x:c r="W82" s="94" t="str">
        <x:f>IF(A82="","",IF(AND(F82&lt;&gt;"",COUNT(G82:N82)=8,P82&lt;&gt;"",Q82&lt;&gt;""),"Complete","Incomplete"))</x:f>
      </x:c>
      <x:c r="X82" s="92"/>
    </x:row>
    <x:row r="83">
      <x:c r="A83" s="92"/>
      <x:c r="B83" s="92"/>
      <x:c r="C83" s="92"/>
      <x:c r="D83" s="94" t="str">
        <x:f>IFERROR(VLOOKUP(C83,'01 Staff Master'!$A$6:$M$105,2,FALSE),"")</x:f>
      </x:c>
      <x:c r="E83" s="94" t="str">
        <x:f>IFERROR(VLOOKUP(C83,'01 Staff Master'!$A$6:$M$105,3,FALSE),"")</x:f>
      </x:c>
      <x:c r="F83" s="93"/>
      <x:c r="G83" s="92"/>
      <x:c r="H83" s="92"/>
      <x:c r="I83" s="92"/>
      <x:c r="J83" s="92"/>
      <x:c r="K83" s="92"/>
      <x:c r="L83" s="92"/>
      <x:c r="M83" s="92"/>
      <x:c r="N83" s="92"/>
      <x:c r="O83" s="107" t="str">
        <x:f>IF(COUNT(G83:N83)=0,"",AVERAGE(G83:N83))</x:f>
      </x:c>
      <x:c r="P83" s="92"/>
      <x:c r="Q83" s="92"/>
      <x:c r="R83" s="92"/>
      <x:c r="S83" s="92"/>
      <x:c r="T83" s="92"/>
      <x:c r="U83" s="92"/>
      <x:c r="V83" s="92"/>
      <x:c r="W83" s="94" t="str">
        <x:f>IF(A83="","",IF(AND(F83&lt;&gt;"",COUNT(G83:N83)=8,P83&lt;&gt;"",Q83&lt;&gt;""),"Complete","Incomplete"))</x:f>
      </x:c>
      <x:c r="X83" s="92"/>
    </x:row>
    <x:row r="84">
      <x:c r="A84" s="92"/>
      <x:c r="B84" s="92"/>
      <x:c r="C84" s="92"/>
      <x:c r="D84" s="94" t="str">
        <x:f>IFERROR(VLOOKUP(C84,'01 Staff Master'!$A$6:$M$105,2,FALSE),"")</x:f>
      </x:c>
      <x:c r="E84" s="94" t="str">
        <x:f>IFERROR(VLOOKUP(C84,'01 Staff Master'!$A$6:$M$105,3,FALSE),"")</x:f>
      </x:c>
      <x:c r="F84" s="93"/>
      <x:c r="G84" s="92"/>
      <x:c r="H84" s="92"/>
      <x:c r="I84" s="92"/>
      <x:c r="J84" s="92"/>
      <x:c r="K84" s="92"/>
      <x:c r="L84" s="92"/>
      <x:c r="M84" s="92"/>
      <x:c r="N84" s="92"/>
      <x:c r="O84" s="107" t="str">
        <x:f>IF(COUNT(G84:N84)=0,"",AVERAGE(G84:N84))</x:f>
      </x:c>
      <x:c r="P84" s="92"/>
      <x:c r="Q84" s="92"/>
      <x:c r="R84" s="92"/>
      <x:c r="S84" s="92"/>
      <x:c r="T84" s="92"/>
      <x:c r="U84" s="92"/>
      <x:c r="V84" s="92"/>
      <x:c r="W84" s="94" t="str">
        <x:f>IF(A84="","",IF(AND(F84&lt;&gt;"",COUNT(G84:N84)=8,P84&lt;&gt;"",Q84&lt;&gt;""),"Complete","Incomplete"))</x:f>
      </x:c>
      <x:c r="X84" s="92"/>
    </x:row>
    <x:row r="85">
      <x:c r="A85" s="92"/>
      <x:c r="B85" s="92"/>
      <x:c r="C85" s="92"/>
      <x:c r="D85" s="94" t="str">
        <x:f>IFERROR(VLOOKUP(C85,'01 Staff Master'!$A$6:$M$105,2,FALSE),"")</x:f>
      </x:c>
      <x:c r="E85" s="94" t="str">
        <x:f>IFERROR(VLOOKUP(C85,'01 Staff Master'!$A$6:$M$105,3,FALSE),"")</x:f>
      </x:c>
      <x:c r="F85" s="93"/>
      <x:c r="G85" s="92"/>
      <x:c r="H85" s="92"/>
      <x:c r="I85" s="92"/>
      <x:c r="J85" s="92"/>
      <x:c r="K85" s="92"/>
      <x:c r="L85" s="92"/>
      <x:c r="M85" s="92"/>
      <x:c r="N85" s="92"/>
      <x:c r="O85" s="107" t="str">
        <x:f>IF(COUNT(G85:N85)=0,"",AVERAGE(G85:N85))</x:f>
      </x:c>
      <x:c r="P85" s="92"/>
      <x:c r="Q85" s="92"/>
      <x:c r="R85" s="92"/>
      <x:c r="S85" s="92"/>
      <x:c r="T85" s="92"/>
      <x:c r="U85" s="92"/>
      <x:c r="V85" s="92"/>
      <x:c r="W85" s="94" t="str">
        <x:f>IF(A85="","",IF(AND(F85&lt;&gt;"",COUNT(G85:N85)=8,P85&lt;&gt;"",Q85&lt;&gt;""),"Complete","Incomplete"))</x:f>
      </x:c>
      <x:c r="X85" s="92"/>
    </x:row>
    <x:row r="86">
      <x:c r="A86" s="92"/>
      <x:c r="B86" s="92"/>
      <x:c r="C86" s="92"/>
      <x:c r="D86" s="94" t="str">
        <x:f>IFERROR(VLOOKUP(C86,'01 Staff Master'!$A$6:$M$105,2,FALSE),"")</x:f>
      </x:c>
      <x:c r="E86" s="94" t="str">
        <x:f>IFERROR(VLOOKUP(C86,'01 Staff Master'!$A$6:$M$105,3,FALSE),"")</x:f>
      </x:c>
      <x:c r="F86" s="93"/>
      <x:c r="G86" s="92"/>
      <x:c r="H86" s="92"/>
      <x:c r="I86" s="92"/>
      <x:c r="J86" s="92"/>
      <x:c r="K86" s="92"/>
      <x:c r="L86" s="92"/>
      <x:c r="M86" s="92"/>
      <x:c r="N86" s="92"/>
      <x:c r="O86" s="107" t="str">
        <x:f>IF(COUNT(G86:N86)=0,"",AVERAGE(G86:N86))</x:f>
      </x:c>
      <x:c r="P86" s="92"/>
      <x:c r="Q86" s="92"/>
      <x:c r="R86" s="92"/>
      <x:c r="S86" s="92"/>
      <x:c r="T86" s="92"/>
      <x:c r="U86" s="92"/>
      <x:c r="V86" s="92"/>
      <x:c r="W86" s="94" t="str">
        <x:f>IF(A86="","",IF(AND(F86&lt;&gt;"",COUNT(G86:N86)=8,P86&lt;&gt;"",Q86&lt;&gt;""),"Complete","Incomplete"))</x:f>
      </x:c>
      <x:c r="X86" s="92"/>
    </x:row>
    <x:row r="87">
      <x:c r="A87" s="92"/>
      <x:c r="B87" s="92"/>
      <x:c r="C87" s="92"/>
      <x:c r="D87" s="94" t="str">
        <x:f>IFERROR(VLOOKUP(C87,'01 Staff Master'!$A$6:$M$105,2,FALSE),"")</x:f>
      </x:c>
      <x:c r="E87" s="94" t="str">
        <x:f>IFERROR(VLOOKUP(C87,'01 Staff Master'!$A$6:$M$105,3,FALSE),"")</x:f>
      </x:c>
      <x:c r="F87" s="93"/>
      <x:c r="G87" s="92"/>
      <x:c r="H87" s="92"/>
      <x:c r="I87" s="92"/>
      <x:c r="J87" s="92"/>
      <x:c r="K87" s="92"/>
      <x:c r="L87" s="92"/>
      <x:c r="M87" s="92"/>
      <x:c r="N87" s="92"/>
      <x:c r="O87" s="107" t="str">
        <x:f>IF(COUNT(G87:N87)=0,"",AVERAGE(G87:N87))</x:f>
      </x:c>
      <x:c r="P87" s="92"/>
      <x:c r="Q87" s="92"/>
      <x:c r="R87" s="92"/>
      <x:c r="S87" s="92"/>
      <x:c r="T87" s="92"/>
      <x:c r="U87" s="92"/>
      <x:c r="V87" s="92"/>
      <x:c r="W87" s="94" t="str">
        <x:f>IF(A87="","",IF(AND(F87&lt;&gt;"",COUNT(G87:N87)=8,P87&lt;&gt;"",Q87&lt;&gt;""),"Complete","Incomplete"))</x:f>
      </x:c>
      <x:c r="X87" s="92"/>
    </x:row>
    <x:row r="88">
      <x:c r="A88" s="92"/>
      <x:c r="B88" s="92"/>
      <x:c r="C88" s="92"/>
      <x:c r="D88" s="94" t="str">
        <x:f>IFERROR(VLOOKUP(C88,'01 Staff Master'!$A$6:$M$105,2,FALSE),"")</x:f>
      </x:c>
      <x:c r="E88" s="94" t="str">
        <x:f>IFERROR(VLOOKUP(C88,'01 Staff Master'!$A$6:$M$105,3,FALSE),"")</x:f>
      </x:c>
      <x:c r="F88" s="93"/>
      <x:c r="G88" s="92"/>
      <x:c r="H88" s="92"/>
      <x:c r="I88" s="92"/>
      <x:c r="J88" s="92"/>
      <x:c r="K88" s="92"/>
      <x:c r="L88" s="92"/>
      <x:c r="M88" s="92"/>
      <x:c r="N88" s="92"/>
      <x:c r="O88" s="107" t="str">
        <x:f>IF(COUNT(G88:N88)=0,"",AVERAGE(G88:N88))</x:f>
      </x:c>
      <x:c r="P88" s="92"/>
      <x:c r="Q88" s="92"/>
      <x:c r="R88" s="92"/>
      <x:c r="S88" s="92"/>
      <x:c r="T88" s="92"/>
      <x:c r="U88" s="92"/>
      <x:c r="V88" s="92"/>
      <x:c r="W88" s="94" t="str">
        <x:f>IF(A88="","",IF(AND(F88&lt;&gt;"",COUNT(G88:N88)=8,P88&lt;&gt;"",Q88&lt;&gt;""),"Complete","Incomplete"))</x:f>
      </x:c>
      <x:c r="X88" s="92"/>
    </x:row>
    <x:row r="89">
      <x:c r="A89" s="92"/>
      <x:c r="B89" s="92"/>
      <x:c r="C89" s="92"/>
      <x:c r="D89" s="94" t="str">
        <x:f>IFERROR(VLOOKUP(C89,'01 Staff Master'!$A$6:$M$105,2,FALSE),"")</x:f>
      </x:c>
      <x:c r="E89" s="94" t="str">
        <x:f>IFERROR(VLOOKUP(C89,'01 Staff Master'!$A$6:$M$105,3,FALSE),"")</x:f>
      </x:c>
      <x:c r="F89" s="93"/>
      <x:c r="G89" s="92"/>
      <x:c r="H89" s="92"/>
      <x:c r="I89" s="92"/>
      <x:c r="J89" s="92"/>
      <x:c r="K89" s="92"/>
      <x:c r="L89" s="92"/>
      <x:c r="M89" s="92"/>
      <x:c r="N89" s="92"/>
      <x:c r="O89" s="107" t="str">
        <x:f>IF(COUNT(G89:N89)=0,"",AVERAGE(G89:N89))</x:f>
      </x:c>
      <x:c r="P89" s="92"/>
      <x:c r="Q89" s="92"/>
      <x:c r="R89" s="92"/>
      <x:c r="S89" s="92"/>
      <x:c r="T89" s="92"/>
      <x:c r="U89" s="92"/>
      <x:c r="V89" s="92"/>
      <x:c r="W89" s="94" t="str">
        <x:f>IF(A89="","",IF(AND(F89&lt;&gt;"",COUNT(G89:N89)=8,P89&lt;&gt;"",Q89&lt;&gt;""),"Complete","Incomplete"))</x:f>
      </x:c>
      <x:c r="X89" s="92"/>
    </x:row>
    <x:row r="90">
      <x:c r="A90" s="92"/>
      <x:c r="B90" s="92"/>
      <x:c r="C90" s="92"/>
      <x:c r="D90" s="94" t="str">
        <x:f>IFERROR(VLOOKUP(C90,'01 Staff Master'!$A$6:$M$105,2,FALSE),"")</x:f>
      </x:c>
      <x:c r="E90" s="94" t="str">
        <x:f>IFERROR(VLOOKUP(C90,'01 Staff Master'!$A$6:$M$105,3,FALSE),"")</x:f>
      </x:c>
      <x:c r="F90" s="93"/>
      <x:c r="G90" s="92"/>
      <x:c r="H90" s="92"/>
      <x:c r="I90" s="92"/>
      <x:c r="J90" s="92"/>
      <x:c r="K90" s="92"/>
      <x:c r="L90" s="92"/>
      <x:c r="M90" s="92"/>
      <x:c r="N90" s="92"/>
      <x:c r="O90" s="107" t="str">
        <x:f>IF(COUNT(G90:N90)=0,"",AVERAGE(G90:N90))</x:f>
      </x:c>
      <x:c r="P90" s="92"/>
      <x:c r="Q90" s="92"/>
      <x:c r="R90" s="92"/>
      <x:c r="S90" s="92"/>
      <x:c r="T90" s="92"/>
      <x:c r="U90" s="92"/>
      <x:c r="V90" s="92"/>
      <x:c r="W90" s="94" t="str">
        <x:f>IF(A90="","",IF(AND(F90&lt;&gt;"",COUNT(G90:N90)=8,P90&lt;&gt;"",Q90&lt;&gt;""),"Complete","Incomplete"))</x:f>
      </x:c>
      <x:c r="X90" s="92"/>
    </x:row>
    <x:row r="91">
      <x:c r="A91" s="92"/>
      <x:c r="B91" s="92"/>
      <x:c r="C91" s="92"/>
      <x:c r="D91" s="94" t="str">
        <x:f>IFERROR(VLOOKUP(C91,'01 Staff Master'!$A$6:$M$105,2,FALSE),"")</x:f>
      </x:c>
      <x:c r="E91" s="94" t="str">
        <x:f>IFERROR(VLOOKUP(C91,'01 Staff Master'!$A$6:$M$105,3,FALSE),"")</x:f>
      </x:c>
      <x:c r="F91" s="93"/>
      <x:c r="G91" s="92"/>
      <x:c r="H91" s="92"/>
      <x:c r="I91" s="92"/>
      <x:c r="J91" s="92"/>
      <x:c r="K91" s="92"/>
      <x:c r="L91" s="92"/>
      <x:c r="M91" s="92"/>
      <x:c r="N91" s="92"/>
      <x:c r="O91" s="107" t="str">
        <x:f>IF(COUNT(G91:N91)=0,"",AVERAGE(G91:N91))</x:f>
      </x:c>
      <x:c r="P91" s="92"/>
      <x:c r="Q91" s="92"/>
      <x:c r="R91" s="92"/>
      <x:c r="S91" s="92"/>
      <x:c r="T91" s="92"/>
      <x:c r="U91" s="92"/>
      <x:c r="V91" s="92"/>
      <x:c r="W91" s="94" t="str">
        <x:f>IF(A91="","",IF(AND(F91&lt;&gt;"",COUNT(G91:N91)=8,P91&lt;&gt;"",Q91&lt;&gt;""),"Complete","Incomplete"))</x:f>
      </x:c>
      <x:c r="X91" s="92"/>
    </x:row>
    <x:row r="92">
      <x:c r="A92" s="92"/>
      <x:c r="B92" s="92"/>
      <x:c r="C92" s="92"/>
      <x:c r="D92" s="94" t="str">
        <x:f>IFERROR(VLOOKUP(C92,'01 Staff Master'!$A$6:$M$105,2,FALSE),"")</x:f>
      </x:c>
      <x:c r="E92" s="94" t="str">
        <x:f>IFERROR(VLOOKUP(C92,'01 Staff Master'!$A$6:$M$105,3,FALSE),"")</x:f>
      </x:c>
      <x:c r="F92" s="93"/>
      <x:c r="G92" s="92"/>
      <x:c r="H92" s="92"/>
      <x:c r="I92" s="92"/>
      <x:c r="J92" s="92"/>
      <x:c r="K92" s="92"/>
      <x:c r="L92" s="92"/>
      <x:c r="M92" s="92"/>
      <x:c r="N92" s="92"/>
      <x:c r="O92" s="107" t="str">
        <x:f>IF(COUNT(G92:N92)=0,"",AVERAGE(G92:N92))</x:f>
      </x:c>
      <x:c r="P92" s="92"/>
      <x:c r="Q92" s="92"/>
      <x:c r="R92" s="92"/>
      <x:c r="S92" s="92"/>
      <x:c r="T92" s="92"/>
      <x:c r="U92" s="92"/>
      <x:c r="V92" s="92"/>
      <x:c r="W92" s="94" t="str">
        <x:f>IF(A92="","",IF(AND(F92&lt;&gt;"",COUNT(G92:N92)=8,P92&lt;&gt;"",Q92&lt;&gt;""),"Complete","Incomplete"))</x:f>
      </x:c>
      <x:c r="X92" s="92"/>
    </x:row>
    <x:row r="93">
      <x:c r="A93" s="92"/>
      <x:c r="B93" s="92"/>
      <x:c r="C93" s="92"/>
      <x:c r="D93" s="94" t="str">
        <x:f>IFERROR(VLOOKUP(C93,'01 Staff Master'!$A$6:$M$105,2,FALSE),"")</x:f>
      </x:c>
      <x:c r="E93" s="94" t="str">
        <x:f>IFERROR(VLOOKUP(C93,'01 Staff Master'!$A$6:$M$105,3,FALSE),"")</x:f>
      </x:c>
      <x:c r="F93" s="93"/>
      <x:c r="G93" s="92"/>
      <x:c r="H93" s="92"/>
      <x:c r="I93" s="92"/>
      <x:c r="J93" s="92"/>
      <x:c r="K93" s="92"/>
      <x:c r="L93" s="92"/>
      <x:c r="M93" s="92"/>
      <x:c r="N93" s="92"/>
      <x:c r="O93" s="107" t="str">
        <x:f>IF(COUNT(G93:N93)=0,"",AVERAGE(G93:N93))</x:f>
      </x:c>
      <x:c r="P93" s="92"/>
      <x:c r="Q93" s="92"/>
      <x:c r="R93" s="92"/>
      <x:c r="S93" s="92"/>
      <x:c r="T93" s="92"/>
      <x:c r="U93" s="92"/>
      <x:c r="V93" s="92"/>
      <x:c r="W93" s="94" t="str">
        <x:f>IF(A93="","",IF(AND(F93&lt;&gt;"",COUNT(G93:N93)=8,P93&lt;&gt;"",Q93&lt;&gt;""),"Complete","Incomplete"))</x:f>
      </x:c>
      <x:c r="X93" s="92"/>
    </x:row>
    <x:row r="94">
      <x:c r="A94" s="92"/>
      <x:c r="B94" s="92"/>
      <x:c r="C94" s="92"/>
      <x:c r="D94" s="94" t="str">
        <x:f>IFERROR(VLOOKUP(C94,'01 Staff Master'!$A$6:$M$105,2,FALSE),"")</x:f>
      </x:c>
      <x:c r="E94" s="94" t="str">
        <x:f>IFERROR(VLOOKUP(C94,'01 Staff Master'!$A$6:$M$105,3,FALSE),"")</x:f>
      </x:c>
      <x:c r="F94" s="93"/>
      <x:c r="G94" s="92"/>
      <x:c r="H94" s="92"/>
      <x:c r="I94" s="92"/>
      <x:c r="J94" s="92"/>
      <x:c r="K94" s="92"/>
      <x:c r="L94" s="92"/>
      <x:c r="M94" s="92"/>
      <x:c r="N94" s="92"/>
      <x:c r="O94" s="107" t="str">
        <x:f>IF(COUNT(G94:N94)=0,"",AVERAGE(G94:N94))</x:f>
      </x:c>
      <x:c r="P94" s="92"/>
      <x:c r="Q94" s="92"/>
      <x:c r="R94" s="92"/>
      <x:c r="S94" s="92"/>
      <x:c r="T94" s="92"/>
      <x:c r="U94" s="92"/>
      <x:c r="V94" s="92"/>
      <x:c r="W94" s="94" t="str">
        <x:f>IF(A94="","",IF(AND(F94&lt;&gt;"",COUNT(G94:N94)=8,P94&lt;&gt;"",Q94&lt;&gt;""),"Complete","Incomplete"))</x:f>
      </x:c>
      <x:c r="X94" s="92"/>
    </x:row>
    <x:row r="95">
      <x:c r="A95" s="92"/>
      <x:c r="B95" s="92"/>
      <x:c r="C95" s="92"/>
      <x:c r="D95" s="94" t="str">
        <x:f>IFERROR(VLOOKUP(C95,'01 Staff Master'!$A$6:$M$105,2,FALSE),"")</x:f>
      </x:c>
      <x:c r="E95" s="94" t="str">
        <x:f>IFERROR(VLOOKUP(C95,'01 Staff Master'!$A$6:$M$105,3,FALSE),"")</x:f>
      </x:c>
      <x:c r="F95" s="93"/>
      <x:c r="G95" s="92"/>
      <x:c r="H95" s="92"/>
      <x:c r="I95" s="92"/>
      <x:c r="J95" s="92"/>
      <x:c r="K95" s="92"/>
      <x:c r="L95" s="92"/>
      <x:c r="M95" s="92"/>
      <x:c r="N95" s="92"/>
      <x:c r="O95" s="107" t="str">
        <x:f>IF(COUNT(G95:N95)=0,"",AVERAGE(G95:N95))</x:f>
      </x:c>
      <x:c r="P95" s="92"/>
      <x:c r="Q95" s="92"/>
      <x:c r="R95" s="92"/>
      <x:c r="S95" s="92"/>
      <x:c r="T95" s="92"/>
      <x:c r="U95" s="92"/>
      <x:c r="V95" s="92"/>
      <x:c r="W95" s="94" t="str">
        <x:f>IF(A95="","",IF(AND(F95&lt;&gt;"",COUNT(G95:N95)=8,P95&lt;&gt;"",Q95&lt;&gt;""),"Complete","Incomplete"))</x:f>
      </x:c>
      <x:c r="X95" s="92"/>
    </x:row>
    <x:row r="96">
      <x:c r="A96" s="92"/>
      <x:c r="B96" s="92"/>
      <x:c r="C96" s="92"/>
      <x:c r="D96" s="94" t="str">
        <x:f>IFERROR(VLOOKUP(C96,'01 Staff Master'!$A$6:$M$105,2,FALSE),"")</x:f>
      </x:c>
      <x:c r="E96" s="94" t="str">
        <x:f>IFERROR(VLOOKUP(C96,'01 Staff Master'!$A$6:$M$105,3,FALSE),"")</x:f>
      </x:c>
      <x:c r="F96" s="93"/>
      <x:c r="G96" s="92"/>
      <x:c r="H96" s="92"/>
      <x:c r="I96" s="92"/>
      <x:c r="J96" s="92"/>
      <x:c r="K96" s="92"/>
      <x:c r="L96" s="92"/>
      <x:c r="M96" s="92"/>
      <x:c r="N96" s="92"/>
      <x:c r="O96" s="107" t="str">
        <x:f>IF(COUNT(G96:N96)=0,"",AVERAGE(G96:N96))</x:f>
      </x:c>
      <x:c r="P96" s="92"/>
      <x:c r="Q96" s="92"/>
      <x:c r="R96" s="92"/>
      <x:c r="S96" s="92"/>
      <x:c r="T96" s="92"/>
      <x:c r="U96" s="92"/>
      <x:c r="V96" s="92"/>
      <x:c r="W96" s="94" t="str">
        <x:f>IF(A96="","",IF(AND(F96&lt;&gt;"",COUNT(G96:N96)=8,P96&lt;&gt;"",Q96&lt;&gt;""),"Complete","Incomplete"))</x:f>
      </x:c>
      <x:c r="X96" s="92"/>
    </x:row>
    <x:row r="97">
      <x:c r="A97" s="92"/>
      <x:c r="B97" s="92"/>
      <x:c r="C97" s="92"/>
      <x:c r="D97" s="94" t="str">
        <x:f>IFERROR(VLOOKUP(C97,'01 Staff Master'!$A$6:$M$105,2,FALSE),"")</x:f>
      </x:c>
      <x:c r="E97" s="94" t="str">
        <x:f>IFERROR(VLOOKUP(C97,'01 Staff Master'!$A$6:$M$105,3,FALSE),"")</x:f>
      </x:c>
      <x:c r="F97" s="93"/>
      <x:c r="G97" s="92"/>
      <x:c r="H97" s="92"/>
      <x:c r="I97" s="92"/>
      <x:c r="J97" s="92"/>
      <x:c r="K97" s="92"/>
      <x:c r="L97" s="92"/>
      <x:c r="M97" s="92"/>
      <x:c r="N97" s="92"/>
      <x:c r="O97" s="107" t="str">
        <x:f>IF(COUNT(G97:N97)=0,"",AVERAGE(G97:N97))</x:f>
      </x:c>
      <x:c r="P97" s="92"/>
      <x:c r="Q97" s="92"/>
      <x:c r="R97" s="92"/>
      <x:c r="S97" s="92"/>
      <x:c r="T97" s="92"/>
      <x:c r="U97" s="92"/>
      <x:c r="V97" s="92"/>
      <x:c r="W97" s="94" t="str">
        <x:f>IF(A97="","",IF(AND(F97&lt;&gt;"",COUNT(G97:N97)=8,P97&lt;&gt;"",Q97&lt;&gt;""),"Complete","Incomplete"))</x:f>
      </x:c>
      <x:c r="X97" s="92"/>
    </x:row>
    <x:row r="98">
      <x:c r="A98" s="92"/>
      <x:c r="B98" s="92"/>
      <x:c r="C98" s="92"/>
      <x:c r="D98" s="94" t="str">
        <x:f>IFERROR(VLOOKUP(C98,'01 Staff Master'!$A$6:$M$105,2,FALSE),"")</x:f>
      </x:c>
      <x:c r="E98" s="94" t="str">
        <x:f>IFERROR(VLOOKUP(C98,'01 Staff Master'!$A$6:$M$105,3,FALSE),"")</x:f>
      </x:c>
      <x:c r="F98" s="93"/>
      <x:c r="G98" s="92"/>
      <x:c r="H98" s="92"/>
      <x:c r="I98" s="92"/>
      <x:c r="J98" s="92"/>
      <x:c r="K98" s="92"/>
      <x:c r="L98" s="92"/>
      <x:c r="M98" s="92"/>
      <x:c r="N98" s="92"/>
      <x:c r="O98" s="107" t="str">
        <x:f>IF(COUNT(G98:N98)=0,"",AVERAGE(G98:N98))</x:f>
      </x:c>
      <x:c r="P98" s="92"/>
      <x:c r="Q98" s="92"/>
      <x:c r="R98" s="92"/>
      <x:c r="S98" s="92"/>
      <x:c r="T98" s="92"/>
      <x:c r="U98" s="92"/>
      <x:c r="V98" s="92"/>
      <x:c r="W98" s="94" t="str">
        <x:f>IF(A98="","",IF(AND(F98&lt;&gt;"",COUNT(G98:N98)=8,P98&lt;&gt;"",Q98&lt;&gt;""),"Complete","Incomplete"))</x:f>
      </x:c>
      <x:c r="X98" s="92"/>
    </x:row>
    <x:row r="99">
      <x:c r="A99" s="92"/>
      <x:c r="B99" s="92"/>
      <x:c r="C99" s="92"/>
      <x:c r="D99" s="94" t="str">
        <x:f>IFERROR(VLOOKUP(C99,'01 Staff Master'!$A$6:$M$105,2,FALSE),"")</x:f>
      </x:c>
      <x:c r="E99" s="94" t="str">
        <x:f>IFERROR(VLOOKUP(C99,'01 Staff Master'!$A$6:$M$105,3,FALSE),"")</x:f>
      </x:c>
      <x:c r="F99" s="93"/>
      <x:c r="G99" s="92"/>
      <x:c r="H99" s="92"/>
      <x:c r="I99" s="92"/>
      <x:c r="J99" s="92"/>
      <x:c r="K99" s="92"/>
      <x:c r="L99" s="92"/>
      <x:c r="M99" s="92"/>
      <x:c r="N99" s="92"/>
      <x:c r="O99" s="107" t="str">
        <x:f>IF(COUNT(G99:N99)=0,"",AVERAGE(G99:N99))</x:f>
      </x:c>
      <x:c r="P99" s="92"/>
      <x:c r="Q99" s="92"/>
      <x:c r="R99" s="92"/>
      <x:c r="S99" s="92"/>
      <x:c r="T99" s="92"/>
      <x:c r="U99" s="92"/>
      <x:c r="V99" s="92"/>
      <x:c r="W99" s="94" t="str">
        <x:f>IF(A99="","",IF(AND(F99&lt;&gt;"",COUNT(G99:N99)=8,P99&lt;&gt;"",Q99&lt;&gt;""),"Complete","Incomplete"))</x:f>
      </x:c>
      <x:c r="X99" s="92"/>
    </x:row>
    <x:row r="100">
      <x:c r="A100" s="92"/>
      <x:c r="B100" s="92"/>
      <x:c r="C100" s="92"/>
      <x:c r="D100" s="94" t="str">
        <x:f>IFERROR(VLOOKUP(C100,'01 Staff Master'!$A$6:$M$105,2,FALSE),"")</x:f>
      </x:c>
      <x:c r="E100" s="94" t="str">
        <x:f>IFERROR(VLOOKUP(C100,'01 Staff Master'!$A$6:$M$105,3,FALSE),"")</x:f>
      </x:c>
      <x:c r="F100" s="93"/>
      <x:c r="G100" s="92"/>
      <x:c r="H100" s="92"/>
      <x:c r="I100" s="92"/>
      <x:c r="J100" s="92"/>
      <x:c r="K100" s="92"/>
      <x:c r="L100" s="92"/>
      <x:c r="M100" s="92"/>
      <x:c r="N100" s="92"/>
      <x:c r="O100" s="107" t="str">
        <x:f>IF(COUNT(G100:N100)=0,"",AVERAGE(G100:N100))</x:f>
      </x:c>
      <x:c r="P100" s="92"/>
      <x:c r="Q100" s="92"/>
      <x:c r="R100" s="92"/>
      <x:c r="S100" s="92"/>
      <x:c r="T100" s="92"/>
      <x:c r="U100" s="92"/>
      <x:c r="V100" s="92"/>
      <x:c r="W100" s="94" t="str">
        <x:f>IF(A100="","",IF(AND(F100&lt;&gt;"",COUNT(G100:N100)=8,P100&lt;&gt;"",Q100&lt;&gt;""),"Complete","Incomplete"))</x:f>
      </x:c>
      <x:c r="X100" s="92"/>
    </x:row>
    <x:row r="101">
      <x:c r="A101" s="92"/>
      <x:c r="B101" s="92"/>
      <x:c r="C101" s="92"/>
      <x:c r="D101" s="94" t="str">
        <x:f>IFERROR(VLOOKUP(C101,'01 Staff Master'!$A$6:$M$105,2,FALSE),"")</x:f>
      </x:c>
      <x:c r="E101" s="94" t="str">
        <x:f>IFERROR(VLOOKUP(C101,'01 Staff Master'!$A$6:$M$105,3,FALSE),"")</x:f>
      </x:c>
      <x:c r="F101" s="93"/>
      <x:c r="G101" s="92"/>
      <x:c r="H101" s="92"/>
      <x:c r="I101" s="92"/>
      <x:c r="J101" s="92"/>
      <x:c r="K101" s="92"/>
      <x:c r="L101" s="92"/>
      <x:c r="M101" s="92"/>
      <x:c r="N101" s="92"/>
      <x:c r="O101" s="107" t="str">
        <x:f>IF(COUNT(G101:N101)=0,"",AVERAGE(G101:N101))</x:f>
      </x:c>
      <x:c r="P101" s="92"/>
      <x:c r="Q101" s="92"/>
      <x:c r="R101" s="92"/>
      <x:c r="S101" s="92"/>
      <x:c r="T101" s="92"/>
      <x:c r="U101" s="92"/>
      <x:c r="V101" s="92"/>
      <x:c r="W101" s="94" t="str">
        <x:f>IF(A101="","",IF(AND(F101&lt;&gt;"",COUNT(G101:N101)=8,P101&lt;&gt;"",Q101&lt;&gt;""),"Complete","Incomplete"))</x:f>
      </x:c>
      <x:c r="X101" s="92"/>
    </x:row>
    <x:row r="102">
      <x:c r="A102" s="92"/>
      <x:c r="B102" s="92"/>
      <x:c r="C102" s="92"/>
      <x:c r="D102" s="94" t="str">
        <x:f>IFERROR(VLOOKUP(C102,'01 Staff Master'!$A$6:$M$105,2,FALSE),"")</x:f>
      </x:c>
      <x:c r="E102" s="94" t="str">
        <x:f>IFERROR(VLOOKUP(C102,'01 Staff Master'!$A$6:$M$105,3,FALSE),"")</x:f>
      </x:c>
      <x:c r="F102" s="93"/>
      <x:c r="G102" s="92"/>
      <x:c r="H102" s="92"/>
      <x:c r="I102" s="92"/>
      <x:c r="J102" s="92"/>
      <x:c r="K102" s="92"/>
      <x:c r="L102" s="92"/>
      <x:c r="M102" s="92"/>
      <x:c r="N102" s="92"/>
      <x:c r="O102" s="107" t="str">
        <x:f>IF(COUNT(G102:N102)=0,"",AVERAGE(G102:N102))</x:f>
      </x:c>
      <x:c r="P102" s="92"/>
      <x:c r="Q102" s="92"/>
      <x:c r="R102" s="92"/>
      <x:c r="S102" s="92"/>
      <x:c r="T102" s="92"/>
      <x:c r="U102" s="92"/>
      <x:c r="V102" s="92"/>
      <x:c r="W102" s="94" t="str">
        <x:f>IF(A102="","",IF(AND(F102&lt;&gt;"",COUNT(G102:N102)=8,P102&lt;&gt;"",Q102&lt;&gt;""),"Complete","Incomplete"))</x:f>
      </x:c>
      <x:c r="X102" s="92"/>
    </x:row>
    <x:row r="103">
      <x:c r="A103" s="92"/>
      <x:c r="B103" s="92"/>
      <x:c r="C103" s="92"/>
      <x:c r="D103" s="94" t="str">
        <x:f>IFERROR(VLOOKUP(C103,'01 Staff Master'!$A$6:$M$105,2,FALSE),"")</x:f>
      </x:c>
      <x:c r="E103" s="94" t="str">
        <x:f>IFERROR(VLOOKUP(C103,'01 Staff Master'!$A$6:$M$105,3,FALSE),"")</x:f>
      </x:c>
      <x:c r="F103" s="93"/>
      <x:c r="G103" s="92"/>
      <x:c r="H103" s="92"/>
      <x:c r="I103" s="92"/>
      <x:c r="J103" s="92"/>
      <x:c r="K103" s="92"/>
      <x:c r="L103" s="92"/>
      <x:c r="M103" s="92"/>
      <x:c r="N103" s="92"/>
      <x:c r="O103" s="107" t="str">
        <x:f>IF(COUNT(G103:N103)=0,"",AVERAGE(G103:N103))</x:f>
      </x:c>
      <x:c r="P103" s="92"/>
      <x:c r="Q103" s="92"/>
      <x:c r="R103" s="92"/>
      <x:c r="S103" s="92"/>
      <x:c r="T103" s="92"/>
      <x:c r="U103" s="92"/>
      <x:c r="V103" s="92"/>
      <x:c r="W103" s="94" t="str">
        <x:f>IF(A103="","",IF(AND(F103&lt;&gt;"",COUNT(G103:N103)=8,P103&lt;&gt;"",Q103&lt;&gt;""),"Complete","Incomplete"))</x:f>
      </x:c>
      <x:c r="X103" s="92"/>
    </x:row>
    <x:row r="104">
      <x:c r="A104" s="92"/>
      <x:c r="B104" s="92"/>
      <x:c r="C104" s="92"/>
      <x:c r="D104" s="94" t="str">
        <x:f>IFERROR(VLOOKUP(C104,'01 Staff Master'!$A$6:$M$105,2,FALSE),"")</x:f>
      </x:c>
      <x:c r="E104" s="94" t="str">
        <x:f>IFERROR(VLOOKUP(C104,'01 Staff Master'!$A$6:$M$105,3,FALSE),"")</x:f>
      </x:c>
      <x:c r="F104" s="93"/>
      <x:c r="G104" s="92"/>
      <x:c r="H104" s="92"/>
      <x:c r="I104" s="92"/>
      <x:c r="J104" s="92"/>
      <x:c r="K104" s="92"/>
      <x:c r="L104" s="92"/>
      <x:c r="M104" s="92"/>
      <x:c r="N104" s="92"/>
      <x:c r="O104" s="107" t="str">
        <x:f>IF(COUNT(G104:N104)=0,"",AVERAGE(G104:N104))</x:f>
      </x:c>
      <x:c r="P104" s="92"/>
      <x:c r="Q104" s="92"/>
      <x:c r="R104" s="92"/>
      <x:c r="S104" s="92"/>
      <x:c r="T104" s="92"/>
      <x:c r="U104" s="92"/>
      <x:c r="V104" s="92"/>
      <x:c r="W104" s="94" t="str">
        <x:f>IF(A104="","",IF(AND(F104&lt;&gt;"",COUNT(G104:N104)=8,P104&lt;&gt;"",Q104&lt;&gt;""),"Complete","Incomplete"))</x:f>
      </x:c>
      <x:c r="X104" s="92"/>
    </x:row>
    <x:row r="105">
      <x:c r="A105" s="92"/>
      <x:c r="B105" s="92"/>
      <x:c r="C105" s="92"/>
      <x:c r="D105" s="94" t="str">
        <x:f>IFERROR(VLOOKUP(C105,'01 Staff Master'!$A$6:$M$105,2,FALSE),"")</x:f>
      </x:c>
      <x:c r="E105" s="94" t="str">
        <x:f>IFERROR(VLOOKUP(C105,'01 Staff Master'!$A$6:$M$105,3,FALSE),"")</x:f>
      </x:c>
      <x:c r="F105" s="93"/>
      <x:c r="G105" s="92"/>
      <x:c r="H105" s="92"/>
      <x:c r="I105" s="92"/>
      <x:c r="J105" s="92"/>
      <x:c r="K105" s="92"/>
      <x:c r="L105" s="92"/>
      <x:c r="M105" s="92"/>
      <x:c r="N105" s="92"/>
      <x:c r="O105" s="107" t="str">
        <x:f>IF(COUNT(G105:N105)=0,"",AVERAGE(G105:N105))</x:f>
      </x:c>
      <x:c r="P105" s="92"/>
      <x:c r="Q105" s="92"/>
      <x:c r="R105" s="92"/>
      <x:c r="S105" s="92"/>
      <x:c r="T105" s="92"/>
      <x:c r="U105" s="92"/>
      <x:c r="V105" s="92"/>
      <x:c r="W105" s="94" t="str">
        <x:f>IF(A105="","",IF(AND(F105&lt;&gt;"",COUNT(G105:N105)=8,P105&lt;&gt;"",Q105&lt;&gt;""),"Complete","Incomplete"))</x:f>
      </x:c>
      <x:c r="X105" s="92"/>
    </x:row>
    <x:row r="106">
      <x:c r="A106" s="92"/>
      <x:c r="B106" s="92"/>
      <x:c r="C106" s="92"/>
      <x:c r="D106" s="94" t="str">
        <x:f>IFERROR(VLOOKUP(C106,'01 Staff Master'!$A$6:$M$105,2,FALSE),"")</x:f>
      </x:c>
      <x:c r="E106" s="94" t="str">
        <x:f>IFERROR(VLOOKUP(C106,'01 Staff Master'!$A$6:$M$105,3,FALSE),"")</x:f>
      </x:c>
      <x:c r="F106" s="93"/>
      <x:c r="G106" s="92"/>
      <x:c r="H106" s="92"/>
      <x:c r="I106" s="92"/>
      <x:c r="J106" s="92"/>
      <x:c r="K106" s="92"/>
      <x:c r="L106" s="92"/>
      <x:c r="M106" s="92"/>
      <x:c r="N106" s="92"/>
      <x:c r="O106" s="107" t="str">
        <x:f>IF(COUNT(G106:N106)=0,"",AVERAGE(G106:N106))</x:f>
      </x:c>
      <x:c r="P106" s="92"/>
      <x:c r="Q106" s="92"/>
      <x:c r="R106" s="92"/>
      <x:c r="S106" s="92"/>
      <x:c r="T106" s="92"/>
      <x:c r="U106" s="92"/>
      <x:c r="V106" s="92"/>
      <x:c r="W106" s="94" t="str">
        <x:f>IF(A106="","",IF(AND(F106&lt;&gt;"",COUNT(G106:N106)=8,P106&lt;&gt;"",Q106&lt;&gt;""),"Complete","Incomplete"))</x:f>
      </x:c>
      <x:c r="X106" s="92"/>
    </x:row>
    <x:row r="107">
      <x:c r="A107" s="92"/>
      <x:c r="B107" s="92"/>
      <x:c r="C107" s="92"/>
      <x:c r="D107" s="94" t="str">
        <x:f>IFERROR(VLOOKUP(C107,'01 Staff Master'!$A$6:$M$105,2,FALSE),"")</x:f>
      </x:c>
      <x:c r="E107" s="94" t="str">
        <x:f>IFERROR(VLOOKUP(C107,'01 Staff Master'!$A$6:$M$105,3,FALSE),"")</x:f>
      </x:c>
      <x:c r="F107" s="93"/>
      <x:c r="G107" s="92"/>
      <x:c r="H107" s="92"/>
      <x:c r="I107" s="92"/>
      <x:c r="J107" s="92"/>
      <x:c r="K107" s="92"/>
      <x:c r="L107" s="92"/>
      <x:c r="M107" s="92"/>
      <x:c r="N107" s="92"/>
      <x:c r="O107" s="107" t="str">
        <x:f>IF(COUNT(G107:N107)=0,"",AVERAGE(G107:N107))</x:f>
      </x:c>
      <x:c r="P107" s="92"/>
      <x:c r="Q107" s="92"/>
      <x:c r="R107" s="92"/>
      <x:c r="S107" s="92"/>
      <x:c r="T107" s="92"/>
      <x:c r="U107" s="92"/>
      <x:c r="V107" s="92"/>
      <x:c r="W107" s="94" t="str">
        <x:f>IF(A107="","",IF(AND(F107&lt;&gt;"",COUNT(G107:N107)=8,P107&lt;&gt;"",Q107&lt;&gt;""),"Complete","Incomplete"))</x:f>
      </x:c>
      <x:c r="X107" s="92"/>
    </x:row>
    <x:row r="108">
      <x:c r="A108" s="92"/>
      <x:c r="B108" s="92"/>
      <x:c r="C108" s="92"/>
      <x:c r="D108" s="94" t="str">
        <x:f>IFERROR(VLOOKUP(C108,'01 Staff Master'!$A$6:$M$105,2,FALSE),"")</x:f>
      </x:c>
      <x:c r="E108" s="94" t="str">
        <x:f>IFERROR(VLOOKUP(C108,'01 Staff Master'!$A$6:$M$105,3,FALSE),"")</x:f>
      </x:c>
      <x:c r="F108" s="93"/>
      <x:c r="G108" s="92"/>
      <x:c r="H108" s="92"/>
      <x:c r="I108" s="92"/>
      <x:c r="J108" s="92"/>
      <x:c r="K108" s="92"/>
      <x:c r="L108" s="92"/>
      <x:c r="M108" s="92"/>
      <x:c r="N108" s="92"/>
      <x:c r="O108" s="107" t="str">
        <x:f>IF(COUNT(G108:N108)=0,"",AVERAGE(G108:N108))</x:f>
      </x:c>
      <x:c r="P108" s="92"/>
      <x:c r="Q108" s="92"/>
      <x:c r="R108" s="92"/>
      <x:c r="S108" s="92"/>
      <x:c r="T108" s="92"/>
      <x:c r="U108" s="92"/>
      <x:c r="V108" s="92"/>
      <x:c r="W108" s="94" t="str">
        <x:f>IF(A108="","",IF(AND(F108&lt;&gt;"",COUNT(G108:N108)=8,P108&lt;&gt;"",Q108&lt;&gt;""),"Complete","Incomplete"))</x:f>
      </x:c>
      <x:c r="X108" s="92"/>
    </x:row>
    <x:row r="109">
      <x:c r="A109" s="92"/>
      <x:c r="B109" s="92"/>
      <x:c r="C109" s="92"/>
      <x:c r="D109" s="94" t="str">
        <x:f>IFERROR(VLOOKUP(C109,'01 Staff Master'!$A$6:$M$105,2,FALSE),"")</x:f>
      </x:c>
      <x:c r="E109" s="94" t="str">
        <x:f>IFERROR(VLOOKUP(C109,'01 Staff Master'!$A$6:$M$105,3,FALSE),"")</x:f>
      </x:c>
      <x:c r="F109" s="93"/>
      <x:c r="G109" s="92"/>
      <x:c r="H109" s="92"/>
      <x:c r="I109" s="92"/>
      <x:c r="J109" s="92"/>
      <x:c r="K109" s="92"/>
      <x:c r="L109" s="92"/>
      <x:c r="M109" s="92"/>
      <x:c r="N109" s="92"/>
      <x:c r="O109" s="107" t="str">
        <x:f>IF(COUNT(G109:N109)=0,"",AVERAGE(G109:N109))</x:f>
      </x:c>
      <x:c r="P109" s="92"/>
      <x:c r="Q109" s="92"/>
      <x:c r="R109" s="92"/>
      <x:c r="S109" s="92"/>
      <x:c r="T109" s="92"/>
      <x:c r="U109" s="92"/>
      <x:c r="V109" s="92"/>
      <x:c r="W109" s="94" t="str">
        <x:f>IF(A109="","",IF(AND(F109&lt;&gt;"",COUNT(G109:N109)=8,P109&lt;&gt;"",Q109&lt;&gt;""),"Complete","Incomplete"))</x:f>
      </x:c>
      <x:c r="X109" s="92"/>
    </x:row>
    <x:row r="110">
      <x:c r="A110" s="92"/>
      <x:c r="B110" s="92"/>
      <x:c r="C110" s="92"/>
      <x:c r="D110" s="94" t="str">
        <x:f>IFERROR(VLOOKUP(C110,'01 Staff Master'!$A$6:$M$105,2,FALSE),"")</x:f>
      </x:c>
      <x:c r="E110" s="94" t="str">
        <x:f>IFERROR(VLOOKUP(C110,'01 Staff Master'!$A$6:$M$105,3,FALSE),"")</x:f>
      </x:c>
      <x:c r="F110" s="93"/>
      <x:c r="G110" s="92"/>
      <x:c r="H110" s="92"/>
      <x:c r="I110" s="92"/>
      <x:c r="J110" s="92"/>
      <x:c r="K110" s="92"/>
      <x:c r="L110" s="92"/>
      <x:c r="M110" s="92"/>
      <x:c r="N110" s="92"/>
      <x:c r="O110" s="107" t="str">
        <x:f>IF(COUNT(G110:N110)=0,"",AVERAGE(G110:N110))</x:f>
      </x:c>
      <x:c r="P110" s="92"/>
      <x:c r="Q110" s="92"/>
      <x:c r="R110" s="92"/>
      <x:c r="S110" s="92"/>
      <x:c r="T110" s="92"/>
      <x:c r="U110" s="92"/>
      <x:c r="V110" s="92"/>
      <x:c r="W110" s="94" t="str">
        <x:f>IF(A110="","",IF(AND(F110&lt;&gt;"",COUNT(G110:N110)=8,P110&lt;&gt;"",Q110&lt;&gt;""),"Complete","Incomplete"))</x:f>
      </x:c>
      <x:c r="X110" s="92"/>
    </x:row>
    <x:row r="111">
      <x:c r="A111" s="92"/>
      <x:c r="B111" s="92"/>
      <x:c r="C111" s="92"/>
      <x:c r="D111" s="94" t="str">
        <x:f>IFERROR(VLOOKUP(C111,'01 Staff Master'!$A$6:$M$105,2,FALSE),"")</x:f>
      </x:c>
      <x:c r="E111" s="94" t="str">
        <x:f>IFERROR(VLOOKUP(C111,'01 Staff Master'!$A$6:$M$105,3,FALSE),"")</x:f>
      </x:c>
      <x:c r="F111" s="93"/>
      <x:c r="G111" s="92"/>
      <x:c r="H111" s="92"/>
      <x:c r="I111" s="92"/>
      <x:c r="J111" s="92"/>
      <x:c r="K111" s="92"/>
      <x:c r="L111" s="92"/>
      <x:c r="M111" s="92"/>
      <x:c r="N111" s="92"/>
      <x:c r="O111" s="107" t="str">
        <x:f>IF(COUNT(G111:N111)=0,"",AVERAGE(G111:N111))</x:f>
      </x:c>
      <x:c r="P111" s="92"/>
      <x:c r="Q111" s="92"/>
      <x:c r="R111" s="92"/>
      <x:c r="S111" s="92"/>
      <x:c r="T111" s="92"/>
      <x:c r="U111" s="92"/>
      <x:c r="V111" s="92"/>
      <x:c r="W111" s="94" t="str">
        <x:f>IF(A111="","",IF(AND(F111&lt;&gt;"",COUNT(G111:N111)=8,P111&lt;&gt;"",Q111&lt;&gt;""),"Complete","Incomplete"))</x:f>
      </x:c>
      <x:c r="X111" s="92"/>
    </x:row>
    <x:row r="112">
      <x:c r="A112" s="92"/>
      <x:c r="B112" s="92"/>
      <x:c r="C112" s="92"/>
      <x:c r="D112" s="94" t="str">
        <x:f>IFERROR(VLOOKUP(C112,'01 Staff Master'!$A$6:$M$105,2,FALSE),"")</x:f>
      </x:c>
      <x:c r="E112" s="94" t="str">
        <x:f>IFERROR(VLOOKUP(C112,'01 Staff Master'!$A$6:$M$105,3,FALSE),"")</x:f>
      </x:c>
      <x:c r="F112" s="93"/>
      <x:c r="G112" s="92"/>
      <x:c r="H112" s="92"/>
      <x:c r="I112" s="92"/>
      <x:c r="J112" s="92"/>
      <x:c r="K112" s="92"/>
      <x:c r="L112" s="92"/>
      <x:c r="M112" s="92"/>
      <x:c r="N112" s="92"/>
      <x:c r="O112" s="107" t="str">
        <x:f>IF(COUNT(G112:N112)=0,"",AVERAGE(G112:N112))</x:f>
      </x:c>
      <x:c r="P112" s="92"/>
      <x:c r="Q112" s="92"/>
      <x:c r="R112" s="92"/>
      <x:c r="S112" s="92"/>
      <x:c r="T112" s="92"/>
      <x:c r="U112" s="92"/>
      <x:c r="V112" s="92"/>
      <x:c r="W112" s="94" t="str">
        <x:f>IF(A112="","",IF(AND(F112&lt;&gt;"",COUNT(G112:N112)=8,P112&lt;&gt;"",Q112&lt;&gt;""),"Complete","Incomplete"))</x:f>
      </x:c>
      <x:c r="X112" s="92"/>
    </x:row>
    <x:row r="113">
      <x:c r="A113" s="92"/>
      <x:c r="B113" s="92"/>
      <x:c r="C113" s="92"/>
      <x:c r="D113" s="94" t="str">
        <x:f>IFERROR(VLOOKUP(C113,'01 Staff Master'!$A$6:$M$105,2,FALSE),"")</x:f>
      </x:c>
      <x:c r="E113" s="94" t="str">
        <x:f>IFERROR(VLOOKUP(C113,'01 Staff Master'!$A$6:$M$105,3,FALSE),"")</x:f>
      </x:c>
      <x:c r="F113" s="93"/>
      <x:c r="G113" s="92"/>
      <x:c r="H113" s="92"/>
      <x:c r="I113" s="92"/>
      <x:c r="J113" s="92"/>
      <x:c r="K113" s="92"/>
      <x:c r="L113" s="92"/>
      <x:c r="M113" s="92"/>
      <x:c r="N113" s="92"/>
      <x:c r="O113" s="107" t="str">
        <x:f>IF(COUNT(G113:N113)=0,"",AVERAGE(G113:N113))</x:f>
      </x:c>
      <x:c r="P113" s="92"/>
      <x:c r="Q113" s="92"/>
      <x:c r="R113" s="92"/>
      <x:c r="S113" s="92"/>
      <x:c r="T113" s="92"/>
      <x:c r="U113" s="92"/>
      <x:c r="V113" s="92"/>
      <x:c r="W113" s="94" t="str">
        <x:f>IF(A113="","",IF(AND(F113&lt;&gt;"",COUNT(G113:N113)=8,P113&lt;&gt;"",Q113&lt;&gt;""),"Complete","Incomplete"))</x:f>
      </x:c>
      <x:c r="X113" s="92"/>
    </x:row>
    <x:row r="114">
      <x:c r="A114" s="92"/>
      <x:c r="B114" s="92"/>
      <x:c r="C114" s="92"/>
      <x:c r="D114" s="94" t="str">
        <x:f>IFERROR(VLOOKUP(C114,'01 Staff Master'!$A$6:$M$105,2,FALSE),"")</x:f>
      </x:c>
      <x:c r="E114" s="94" t="str">
        <x:f>IFERROR(VLOOKUP(C114,'01 Staff Master'!$A$6:$M$105,3,FALSE),"")</x:f>
      </x:c>
      <x:c r="F114" s="93"/>
      <x:c r="G114" s="92"/>
      <x:c r="H114" s="92"/>
      <x:c r="I114" s="92"/>
      <x:c r="J114" s="92"/>
      <x:c r="K114" s="92"/>
      <x:c r="L114" s="92"/>
      <x:c r="M114" s="92"/>
      <x:c r="N114" s="92"/>
      <x:c r="O114" s="107" t="str">
        <x:f>IF(COUNT(G114:N114)=0,"",AVERAGE(G114:N114))</x:f>
      </x:c>
      <x:c r="P114" s="92"/>
      <x:c r="Q114" s="92"/>
      <x:c r="R114" s="92"/>
      <x:c r="S114" s="92"/>
      <x:c r="T114" s="92"/>
      <x:c r="U114" s="92"/>
      <x:c r="V114" s="92"/>
      <x:c r="W114" s="94" t="str">
        <x:f>IF(A114="","",IF(AND(F114&lt;&gt;"",COUNT(G114:N114)=8,P114&lt;&gt;"",Q114&lt;&gt;""),"Complete","Incomplete"))</x:f>
      </x:c>
      <x:c r="X114" s="92"/>
    </x:row>
    <x:row r="115">
      <x:c r="A115" s="92"/>
      <x:c r="B115" s="92"/>
      <x:c r="C115" s="92"/>
      <x:c r="D115" s="94" t="str">
        <x:f>IFERROR(VLOOKUP(C115,'01 Staff Master'!$A$6:$M$105,2,FALSE),"")</x:f>
      </x:c>
      <x:c r="E115" s="94" t="str">
        <x:f>IFERROR(VLOOKUP(C115,'01 Staff Master'!$A$6:$M$105,3,FALSE),"")</x:f>
      </x:c>
      <x:c r="F115" s="93"/>
      <x:c r="G115" s="92"/>
      <x:c r="H115" s="92"/>
      <x:c r="I115" s="92"/>
      <x:c r="J115" s="92"/>
      <x:c r="K115" s="92"/>
      <x:c r="L115" s="92"/>
      <x:c r="M115" s="92"/>
      <x:c r="N115" s="92"/>
      <x:c r="O115" s="107" t="str">
        <x:f>IF(COUNT(G115:N115)=0,"",AVERAGE(G115:N115))</x:f>
      </x:c>
      <x:c r="P115" s="92"/>
      <x:c r="Q115" s="92"/>
      <x:c r="R115" s="92"/>
      <x:c r="S115" s="92"/>
      <x:c r="T115" s="92"/>
      <x:c r="U115" s="92"/>
      <x:c r="V115" s="92"/>
      <x:c r="W115" s="94" t="str">
        <x:f>IF(A115="","",IF(AND(F115&lt;&gt;"",COUNT(G115:N115)=8,P115&lt;&gt;"",Q115&lt;&gt;""),"Complete","Incomplete"))</x:f>
      </x:c>
      <x:c r="X115" s="92"/>
    </x:row>
    <x:row r="116">
      <x:c r="A116" s="92"/>
      <x:c r="B116" s="92"/>
      <x:c r="C116" s="92"/>
      <x:c r="D116" s="94" t="str">
        <x:f>IFERROR(VLOOKUP(C116,'01 Staff Master'!$A$6:$M$105,2,FALSE),"")</x:f>
      </x:c>
      <x:c r="E116" s="94" t="str">
        <x:f>IFERROR(VLOOKUP(C116,'01 Staff Master'!$A$6:$M$105,3,FALSE),"")</x:f>
      </x:c>
      <x:c r="F116" s="93"/>
      <x:c r="G116" s="92"/>
      <x:c r="H116" s="92"/>
      <x:c r="I116" s="92"/>
      <x:c r="J116" s="92"/>
      <x:c r="K116" s="92"/>
      <x:c r="L116" s="92"/>
      <x:c r="M116" s="92"/>
      <x:c r="N116" s="92"/>
      <x:c r="O116" s="107" t="str">
        <x:f>IF(COUNT(G116:N116)=0,"",AVERAGE(G116:N116))</x:f>
      </x:c>
      <x:c r="P116" s="92"/>
      <x:c r="Q116" s="92"/>
      <x:c r="R116" s="92"/>
      <x:c r="S116" s="92"/>
      <x:c r="T116" s="92"/>
      <x:c r="U116" s="92"/>
      <x:c r="V116" s="92"/>
      <x:c r="W116" s="94" t="str">
        <x:f>IF(A116="","",IF(AND(F116&lt;&gt;"",COUNT(G116:N116)=8,P116&lt;&gt;"",Q116&lt;&gt;""),"Complete","Incomplete"))</x:f>
      </x:c>
      <x:c r="X116" s="92"/>
    </x:row>
    <x:row r="117">
      <x:c r="A117" s="92"/>
      <x:c r="B117" s="92"/>
      <x:c r="C117" s="92"/>
      <x:c r="D117" s="94" t="str">
        <x:f>IFERROR(VLOOKUP(C117,'01 Staff Master'!$A$6:$M$105,2,FALSE),"")</x:f>
      </x:c>
      <x:c r="E117" s="94" t="str">
        <x:f>IFERROR(VLOOKUP(C117,'01 Staff Master'!$A$6:$M$105,3,FALSE),"")</x:f>
      </x:c>
      <x:c r="F117" s="93"/>
      <x:c r="G117" s="92"/>
      <x:c r="H117" s="92"/>
      <x:c r="I117" s="92"/>
      <x:c r="J117" s="92"/>
      <x:c r="K117" s="92"/>
      <x:c r="L117" s="92"/>
      <x:c r="M117" s="92"/>
      <x:c r="N117" s="92"/>
      <x:c r="O117" s="107" t="str">
        <x:f>IF(COUNT(G117:N117)=0,"",AVERAGE(G117:N117))</x:f>
      </x:c>
      <x:c r="P117" s="92"/>
      <x:c r="Q117" s="92"/>
      <x:c r="R117" s="92"/>
      <x:c r="S117" s="92"/>
      <x:c r="T117" s="92"/>
      <x:c r="U117" s="92"/>
      <x:c r="V117" s="92"/>
      <x:c r="W117" s="94" t="str">
        <x:f>IF(A117="","",IF(AND(F117&lt;&gt;"",COUNT(G117:N117)=8,P117&lt;&gt;"",Q117&lt;&gt;""),"Complete","Incomplete"))</x:f>
      </x:c>
      <x:c r="X117" s="92"/>
    </x:row>
    <x:row r="118">
      <x:c r="A118" s="92"/>
      <x:c r="B118" s="92"/>
      <x:c r="C118" s="92"/>
      <x:c r="D118" s="94" t="str">
        <x:f>IFERROR(VLOOKUP(C118,'01 Staff Master'!$A$6:$M$105,2,FALSE),"")</x:f>
      </x:c>
      <x:c r="E118" s="94" t="str">
        <x:f>IFERROR(VLOOKUP(C118,'01 Staff Master'!$A$6:$M$105,3,FALSE),"")</x:f>
      </x:c>
      <x:c r="F118" s="93"/>
      <x:c r="G118" s="92"/>
      <x:c r="H118" s="92"/>
      <x:c r="I118" s="92"/>
      <x:c r="J118" s="92"/>
      <x:c r="K118" s="92"/>
      <x:c r="L118" s="92"/>
      <x:c r="M118" s="92"/>
      <x:c r="N118" s="92"/>
      <x:c r="O118" s="107" t="str">
        <x:f>IF(COUNT(G118:N118)=0,"",AVERAGE(G118:N118))</x:f>
      </x:c>
      <x:c r="P118" s="92"/>
      <x:c r="Q118" s="92"/>
      <x:c r="R118" s="92"/>
      <x:c r="S118" s="92"/>
      <x:c r="T118" s="92"/>
      <x:c r="U118" s="92"/>
      <x:c r="V118" s="92"/>
      <x:c r="W118" s="94" t="str">
        <x:f>IF(A118="","",IF(AND(F118&lt;&gt;"",COUNT(G118:N118)=8,P118&lt;&gt;"",Q118&lt;&gt;""),"Complete","Incomplete"))</x:f>
      </x:c>
      <x:c r="X118" s="92"/>
    </x:row>
    <x:row r="119">
      <x:c r="A119" s="92"/>
      <x:c r="B119" s="92"/>
      <x:c r="C119" s="92"/>
      <x:c r="D119" s="94" t="str">
        <x:f>IFERROR(VLOOKUP(C119,'01 Staff Master'!$A$6:$M$105,2,FALSE),"")</x:f>
      </x:c>
      <x:c r="E119" s="94" t="str">
        <x:f>IFERROR(VLOOKUP(C119,'01 Staff Master'!$A$6:$M$105,3,FALSE),"")</x:f>
      </x:c>
      <x:c r="F119" s="93"/>
      <x:c r="G119" s="92"/>
      <x:c r="H119" s="92"/>
      <x:c r="I119" s="92"/>
      <x:c r="J119" s="92"/>
      <x:c r="K119" s="92"/>
      <x:c r="L119" s="92"/>
      <x:c r="M119" s="92"/>
      <x:c r="N119" s="92"/>
      <x:c r="O119" s="107" t="str">
        <x:f>IF(COUNT(G119:N119)=0,"",AVERAGE(G119:N119))</x:f>
      </x:c>
      <x:c r="P119" s="92"/>
      <x:c r="Q119" s="92"/>
      <x:c r="R119" s="92"/>
      <x:c r="S119" s="92"/>
      <x:c r="T119" s="92"/>
      <x:c r="U119" s="92"/>
      <x:c r="V119" s="92"/>
      <x:c r="W119" s="94" t="str">
        <x:f>IF(A119="","",IF(AND(F119&lt;&gt;"",COUNT(G119:N119)=8,P119&lt;&gt;"",Q119&lt;&gt;""),"Complete","Incomplete"))</x:f>
      </x:c>
      <x:c r="X119" s="92"/>
    </x:row>
    <x:row r="120">
      <x:c r="A120" s="92"/>
      <x:c r="B120" s="92"/>
      <x:c r="C120" s="92"/>
      <x:c r="D120" s="94" t="str">
        <x:f>IFERROR(VLOOKUP(C120,'01 Staff Master'!$A$6:$M$105,2,FALSE),"")</x:f>
      </x:c>
      <x:c r="E120" s="94" t="str">
        <x:f>IFERROR(VLOOKUP(C120,'01 Staff Master'!$A$6:$M$105,3,FALSE),"")</x:f>
      </x:c>
      <x:c r="F120" s="93"/>
      <x:c r="G120" s="92"/>
      <x:c r="H120" s="92"/>
      <x:c r="I120" s="92"/>
      <x:c r="J120" s="92"/>
      <x:c r="K120" s="92"/>
      <x:c r="L120" s="92"/>
      <x:c r="M120" s="92"/>
      <x:c r="N120" s="92"/>
      <x:c r="O120" s="107" t="str">
        <x:f>IF(COUNT(G120:N120)=0,"",AVERAGE(G120:N120))</x:f>
      </x:c>
      <x:c r="P120" s="92"/>
      <x:c r="Q120" s="92"/>
      <x:c r="R120" s="92"/>
      <x:c r="S120" s="92"/>
      <x:c r="T120" s="92"/>
      <x:c r="U120" s="92"/>
      <x:c r="V120" s="92"/>
      <x:c r="W120" s="94" t="str">
        <x:f>IF(A120="","",IF(AND(F120&lt;&gt;"",COUNT(G120:N120)=8,P120&lt;&gt;"",Q120&lt;&gt;""),"Complete","Incomplete"))</x:f>
      </x:c>
      <x:c r="X120" s="92"/>
    </x:row>
    <x:row r="121">
      <x:c r="A121" s="92"/>
      <x:c r="B121" s="92"/>
      <x:c r="C121" s="92"/>
      <x:c r="D121" s="94" t="str">
        <x:f>IFERROR(VLOOKUP(C121,'01 Staff Master'!$A$6:$M$105,2,FALSE),"")</x:f>
      </x:c>
      <x:c r="E121" s="94" t="str">
        <x:f>IFERROR(VLOOKUP(C121,'01 Staff Master'!$A$6:$M$105,3,FALSE),"")</x:f>
      </x:c>
      <x:c r="F121" s="93"/>
      <x:c r="G121" s="92"/>
      <x:c r="H121" s="92"/>
      <x:c r="I121" s="92"/>
      <x:c r="J121" s="92"/>
      <x:c r="K121" s="92"/>
      <x:c r="L121" s="92"/>
      <x:c r="M121" s="92"/>
      <x:c r="N121" s="92"/>
      <x:c r="O121" s="107" t="str">
        <x:f>IF(COUNT(G121:N121)=0,"",AVERAGE(G121:N121))</x:f>
      </x:c>
      <x:c r="P121" s="92"/>
      <x:c r="Q121" s="92"/>
      <x:c r="R121" s="92"/>
      <x:c r="S121" s="92"/>
      <x:c r="T121" s="92"/>
      <x:c r="U121" s="92"/>
      <x:c r="V121" s="92"/>
      <x:c r="W121" s="94" t="str">
        <x:f>IF(A121="","",IF(AND(F121&lt;&gt;"",COUNT(G121:N121)=8,P121&lt;&gt;"",Q121&lt;&gt;""),"Complete","Incomplete"))</x:f>
      </x:c>
      <x:c r="X121" s="92"/>
    </x:row>
    <x:row r="122">
      <x:c r="A122" s="92"/>
      <x:c r="B122" s="92"/>
      <x:c r="C122" s="92"/>
      <x:c r="D122" s="94" t="str">
        <x:f>IFERROR(VLOOKUP(C122,'01 Staff Master'!$A$6:$M$105,2,FALSE),"")</x:f>
      </x:c>
      <x:c r="E122" s="94" t="str">
        <x:f>IFERROR(VLOOKUP(C122,'01 Staff Master'!$A$6:$M$105,3,FALSE),"")</x:f>
      </x:c>
      <x:c r="F122" s="93"/>
      <x:c r="G122" s="92"/>
      <x:c r="H122" s="92"/>
      <x:c r="I122" s="92"/>
      <x:c r="J122" s="92"/>
      <x:c r="K122" s="92"/>
      <x:c r="L122" s="92"/>
      <x:c r="M122" s="92"/>
      <x:c r="N122" s="92"/>
      <x:c r="O122" s="107" t="str">
        <x:f>IF(COUNT(G122:N122)=0,"",AVERAGE(G122:N122))</x:f>
      </x:c>
      <x:c r="P122" s="92"/>
      <x:c r="Q122" s="92"/>
      <x:c r="R122" s="92"/>
      <x:c r="S122" s="92"/>
      <x:c r="T122" s="92"/>
      <x:c r="U122" s="92"/>
      <x:c r="V122" s="92"/>
      <x:c r="W122" s="94" t="str">
        <x:f>IF(A122="","",IF(AND(F122&lt;&gt;"",COUNT(G122:N122)=8,P122&lt;&gt;"",Q122&lt;&gt;""),"Complete","Incomplete"))</x:f>
      </x:c>
      <x:c r="X122" s="92"/>
    </x:row>
    <x:row r="123">
      <x:c r="A123" s="92"/>
      <x:c r="B123" s="92"/>
      <x:c r="C123" s="92"/>
      <x:c r="D123" s="94" t="str">
        <x:f>IFERROR(VLOOKUP(C123,'01 Staff Master'!$A$6:$M$105,2,FALSE),"")</x:f>
      </x:c>
      <x:c r="E123" s="94" t="str">
        <x:f>IFERROR(VLOOKUP(C123,'01 Staff Master'!$A$6:$M$105,3,FALSE),"")</x:f>
      </x:c>
      <x:c r="F123" s="93"/>
      <x:c r="G123" s="92"/>
      <x:c r="H123" s="92"/>
      <x:c r="I123" s="92"/>
      <x:c r="J123" s="92"/>
      <x:c r="K123" s="92"/>
      <x:c r="L123" s="92"/>
      <x:c r="M123" s="92"/>
      <x:c r="N123" s="92"/>
      <x:c r="O123" s="107" t="str">
        <x:f>IF(COUNT(G123:N123)=0,"",AVERAGE(G123:N123))</x:f>
      </x:c>
      <x:c r="P123" s="92"/>
      <x:c r="Q123" s="92"/>
      <x:c r="R123" s="92"/>
      <x:c r="S123" s="92"/>
      <x:c r="T123" s="92"/>
      <x:c r="U123" s="92"/>
      <x:c r="V123" s="92"/>
      <x:c r="W123" s="94" t="str">
        <x:f>IF(A123="","",IF(AND(F123&lt;&gt;"",COUNT(G123:N123)=8,P123&lt;&gt;"",Q123&lt;&gt;""),"Complete","Incomplete"))</x:f>
      </x:c>
      <x:c r="X123" s="92"/>
    </x:row>
    <x:row r="124">
      <x:c r="A124" s="92"/>
      <x:c r="B124" s="92"/>
      <x:c r="C124" s="92"/>
      <x:c r="D124" s="94" t="str">
        <x:f>IFERROR(VLOOKUP(C124,'01 Staff Master'!$A$6:$M$105,2,FALSE),"")</x:f>
      </x:c>
      <x:c r="E124" s="94" t="str">
        <x:f>IFERROR(VLOOKUP(C124,'01 Staff Master'!$A$6:$M$105,3,FALSE),"")</x:f>
      </x:c>
      <x:c r="F124" s="93"/>
      <x:c r="G124" s="92"/>
      <x:c r="H124" s="92"/>
      <x:c r="I124" s="92"/>
      <x:c r="J124" s="92"/>
      <x:c r="K124" s="92"/>
      <x:c r="L124" s="92"/>
      <x:c r="M124" s="92"/>
      <x:c r="N124" s="92"/>
      <x:c r="O124" s="107" t="str">
        <x:f>IF(COUNT(G124:N124)=0,"",AVERAGE(G124:N124))</x:f>
      </x:c>
      <x:c r="P124" s="92"/>
      <x:c r="Q124" s="92"/>
      <x:c r="R124" s="92"/>
      <x:c r="S124" s="92"/>
      <x:c r="T124" s="92"/>
      <x:c r="U124" s="92"/>
      <x:c r="V124" s="92"/>
      <x:c r="W124" s="94" t="str">
        <x:f>IF(A124="","",IF(AND(F124&lt;&gt;"",COUNT(G124:N124)=8,P124&lt;&gt;"",Q124&lt;&gt;""),"Complete","Incomplete"))</x:f>
      </x:c>
      <x:c r="X124" s="92"/>
    </x:row>
    <x:row r="125">
      <x:c r="A125" s="92"/>
      <x:c r="B125" s="92"/>
      <x:c r="C125" s="92"/>
      <x:c r="D125" s="94" t="str">
        <x:f>IFERROR(VLOOKUP(C125,'01 Staff Master'!$A$6:$M$105,2,FALSE),"")</x:f>
      </x:c>
      <x:c r="E125" s="94" t="str">
        <x:f>IFERROR(VLOOKUP(C125,'01 Staff Master'!$A$6:$M$105,3,FALSE),"")</x:f>
      </x:c>
      <x:c r="F125" s="93"/>
      <x:c r="G125" s="92"/>
      <x:c r="H125" s="92"/>
      <x:c r="I125" s="92"/>
      <x:c r="J125" s="92"/>
      <x:c r="K125" s="92"/>
      <x:c r="L125" s="92"/>
      <x:c r="M125" s="92"/>
      <x:c r="N125" s="92"/>
      <x:c r="O125" s="107" t="str">
        <x:f>IF(COUNT(G125:N125)=0,"",AVERAGE(G125:N125))</x:f>
      </x:c>
      <x:c r="P125" s="92"/>
      <x:c r="Q125" s="92"/>
      <x:c r="R125" s="92"/>
      <x:c r="S125" s="92"/>
      <x:c r="T125" s="92"/>
      <x:c r="U125" s="92"/>
      <x:c r="V125" s="92"/>
      <x:c r="W125" s="94" t="str">
        <x:f>IF(A125="","",IF(AND(F125&lt;&gt;"",COUNT(G125:N125)=8,P125&lt;&gt;"",Q125&lt;&gt;""),"Complete","Incomplete"))</x:f>
      </x:c>
      <x:c r="X125" s="92"/>
    </x:row>
    <x:row r="126">
      <x:c r="A126" s="92"/>
      <x:c r="B126" s="92"/>
      <x:c r="C126" s="92"/>
      <x:c r="D126" s="94" t="str">
        <x:f>IFERROR(VLOOKUP(C126,'01 Staff Master'!$A$6:$M$105,2,FALSE),"")</x:f>
      </x:c>
      <x:c r="E126" s="94" t="str">
        <x:f>IFERROR(VLOOKUP(C126,'01 Staff Master'!$A$6:$M$105,3,FALSE),"")</x:f>
      </x:c>
      <x:c r="F126" s="93"/>
      <x:c r="G126" s="92"/>
      <x:c r="H126" s="92"/>
      <x:c r="I126" s="92"/>
      <x:c r="J126" s="92"/>
      <x:c r="K126" s="92"/>
      <x:c r="L126" s="92"/>
      <x:c r="M126" s="92"/>
      <x:c r="N126" s="92"/>
      <x:c r="O126" s="107" t="str">
        <x:f>IF(COUNT(G126:N126)=0,"",AVERAGE(G126:N126))</x:f>
      </x:c>
      <x:c r="P126" s="92"/>
      <x:c r="Q126" s="92"/>
      <x:c r="R126" s="92"/>
      <x:c r="S126" s="92"/>
      <x:c r="T126" s="92"/>
      <x:c r="U126" s="92"/>
      <x:c r="V126" s="92"/>
      <x:c r="W126" s="94" t="str">
        <x:f>IF(A126="","",IF(AND(F126&lt;&gt;"",COUNT(G126:N126)=8,P126&lt;&gt;"",Q126&lt;&gt;""),"Complete","Incomplete"))</x:f>
      </x:c>
      <x:c r="X126" s="92"/>
    </x:row>
    <x:row r="127">
      <x:c r="A127" s="92"/>
      <x:c r="B127" s="92"/>
      <x:c r="C127" s="92"/>
      <x:c r="D127" s="94" t="str">
        <x:f>IFERROR(VLOOKUP(C127,'01 Staff Master'!$A$6:$M$105,2,FALSE),"")</x:f>
      </x:c>
      <x:c r="E127" s="94" t="str">
        <x:f>IFERROR(VLOOKUP(C127,'01 Staff Master'!$A$6:$M$105,3,FALSE),"")</x:f>
      </x:c>
      <x:c r="F127" s="93"/>
      <x:c r="G127" s="92"/>
      <x:c r="H127" s="92"/>
      <x:c r="I127" s="92"/>
      <x:c r="J127" s="92"/>
      <x:c r="K127" s="92"/>
      <x:c r="L127" s="92"/>
      <x:c r="M127" s="92"/>
      <x:c r="N127" s="92"/>
      <x:c r="O127" s="107" t="str">
        <x:f>IF(COUNT(G127:N127)=0,"",AVERAGE(G127:N127))</x:f>
      </x:c>
      <x:c r="P127" s="92"/>
      <x:c r="Q127" s="92"/>
      <x:c r="R127" s="92"/>
      <x:c r="S127" s="92"/>
      <x:c r="T127" s="92"/>
      <x:c r="U127" s="92"/>
      <x:c r="V127" s="92"/>
      <x:c r="W127" s="94" t="str">
        <x:f>IF(A127="","",IF(AND(F127&lt;&gt;"",COUNT(G127:N127)=8,P127&lt;&gt;"",Q127&lt;&gt;""),"Complete","Incomplete"))</x:f>
      </x:c>
      <x:c r="X127" s="92"/>
    </x:row>
    <x:row r="128">
      <x:c r="A128" s="92"/>
      <x:c r="B128" s="92"/>
      <x:c r="C128" s="92"/>
      <x:c r="D128" s="94" t="str">
        <x:f>IFERROR(VLOOKUP(C128,'01 Staff Master'!$A$6:$M$105,2,FALSE),"")</x:f>
      </x:c>
      <x:c r="E128" s="94" t="str">
        <x:f>IFERROR(VLOOKUP(C128,'01 Staff Master'!$A$6:$M$105,3,FALSE),"")</x:f>
      </x:c>
      <x:c r="F128" s="93"/>
      <x:c r="G128" s="92"/>
      <x:c r="H128" s="92"/>
      <x:c r="I128" s="92"/>
      <x:c r="J128" s="92"/>
      <x:c r="K128" s="92"/>
      <x:c r="L128" s="92"/>
      <x:c r="M128" s="92"/>
      <x:c r="N128" s="92"/>
      <x:c r="O128" s="107" t="str">
        <x:f>IF(COUNT(G128:N128)=0,"",AVERAGE(G128:N128))</x:f>
      </x:c>
      <x:c r="P128" s="92"/>
      <x:c r="Q128" s="92"/>
      <x:c r="R128" s="92"/>
      <x:c r="S128" s="92"/>
      <x:c r="T128" s="92"/>
      <x:c r="U128" s="92"/>
      <x:c r="V128" s="92"/>
      <x:c r="W128" s="94" t="str">
        <x:f>IF(A128="","",IF(AND(F128&lt;&gt;"",COUNT(G128:N128)=8,P128&lt;&gt;"",Q128&lt;&gt;""),"Complete","Incomplete"))</x:f>
      </x:c>
      <x:c r="X128" s="92"/>
    </x:row>
    <x:row r="129">
      <x:c r="A129" s="92"/>
      <x:c r="B129" s="92"/>
      <x:c r="C129" s="92"/>
      <x:c r="D129" s="94" t="str">
        <x:f>IFERROR(VLOOKUP(C129,'01 Staff Master'!$A$6:$M$105,2,FALSE),"")</x:f>
      </x:c>
      <x:c r="E129" s="94" t="str">
        <x:f>IFERROR(VLOOKUP(C129,'01 Staff Master'!$A$6:$M$105,3,FALSE),"")</x:f>
      </x:c>
      <x:c r="F129" s="93"/>
      <x:c r="G129" s="92"/>
      <x:c r="H129" s="92"/>
      <x:c r="I129" s="92"/>
      <x:c r="J129" s="92"/>
      <x:c r="K129" s="92"/>
      <x:c r="L129" s="92"/>
      <x:c r="M129" s="92"/>
      <x:c r="N129" s="92"/>
      <x:c r="O129" s="107" t="str">
        <x:f>IF(COUNT(G129:N129)=0,"",AVERAGE(G129:N129))</x:f>
      </x:c>
      <x:c r="P129" s="92"/>
      <x:c r="Q129" s="92"/>
      <x:c r="R129" s="92"/>
      <x:c r="S129" s="92"/>
      <x:c r="T129" s="92"/>
      <x:c r="U129" s="92"/>
      <x:c r="V129" s="92"/>
      <x:c r="W129" s="94" t="str">
        <x:f>IF(A129="","",IF(AND(F129&lt;&gt;"",COUNT(G129:N129)=8,P129&lt;&gt;"",Q129&lt;&gt;""),"Complete","Incomplete"))</x:f>
      </x:c>
      <x:c r="X129" s="92"/>
    </x:row>
    <x:row r="130">
      <x:c r="A130" s="92"/>
      <x:c r="B130" s="92"/>
      <x:c r="C130" s="92"/>
      <x:c r="D130" s="94" t="str">
        <x:f>IFERROR(VLOOKUP(C130,'01 Staff Master'!$A$6:$M$105,2,FALSE),"")</x:f>
      </x:c>
      <x:c r="E130" s="94" t="str">
        <x:f>IFERROR(VLOOKUP(C130,'01 Staff Master'!$A$6:$M$105,3,FALSE),"")</x:f>
      </x:c>
      <x:c r="F130" s="93"/>
      <x:c r="G130" s="92"/>
      <x:c r="H130" s="92"/>
      <x:c r="I130" s="92"/>
      <x:c r="J130" s="92"/>
      <x:c r="K130" s="92"/>
      <x:c r="L130" s="92"/>
      <x:c r="M130" s="92"/>
      <x:c r="N130" s="92"/>
      <x:c r="O130" s="107" t="str">
        <x:f>IF(COUNT(G130:N130)=0,"",AVERAGE(G130:N130))</x:f>
      </x:c>
      <x:c r="P130" s="92"/>
      <x:c r="Q130" s="92"/>
      <x:c r="R130" s="92"/>
      <x:c r="S130" s="92"/>
      <x:c r="T130" s="92"/>
      <x:c r="U130" s="92"/>
      <x:c r="V130" s="92"/>
      <x:c r="W130" s="94" t="str">
        <x:f>IF(A130="","",IF(AND(F130&lt;&gt;"",COUNT(G130:N130)=8,P130&lt;&gt;"",Q130&lt;&gt;""),"Complete","Incomplete"))</x:f>
      </x:c>
      <x:c r="X130" s="92"/>
    </x:row>
    <x:row r="131">
      <x:c r="A131" s="92"/>
      <x:c r="B131" s="92"/>
      <x:c r="C131" s="92"/>
      <x:c r="D131" s="94" t="str">
        <x:f>IFERROR(VLOOKUP(C131,'01 Staff Master'!$A$6:$M$105,2,FALSE),"")</x:f>
      </x:c>
      <x:c r="E131" s="94" t="str">
        <x:f>IFERROR(VLOOKUP(C131,'01 Staff Master'!$A$6:$M$105,3,FALSE),"")</x:f>
      </x:c>
      <x:c r="F131" s="93"/>
      <x:c r="G131" s="92"/>
      <x:c r="H131" s="92"/>
      <x:c r="I131" s="92"/>
      <x:c r="J131" s="92"/>
      <x:c r="K131" s="92"/>
      <x:c r="L131" s="92"/>
      <x:c r="M131" s="92"/>
      <x:c r="N131" s="92"/>
      <x:c r="O131" s="107" t="str">
        <x:f>IF(COUNT(G131:N131)=0,"",AVERAGE(G131:N131))</x:f>
      </x:c>
      <x:c r="P131" s="92"/>
      <x:c r="Q131" s="92"/>
      <x:c r="R131" s="92"/>
      <x:c r="S131" s="92"/>
      <x:c r="T131" s="92"/>
      <x:c r="U131" s="92"/>
      <x:c r="V131" s="92"/>
      <x:c r="W131" s="94" t="str">
        <x:f>IF(A131="","",IF(AND(F131&lt;&gt;"",COUNT(G131:N131)=8,P131&lt;&gt;"",Q131&lt;&gt;""),"Complete","Incomplete"))</x:f>
      </x:c>
      <x:c r="X131" s="92"/>
    </x:row>
    <x:row r="132">
      <x:c r="A132" s="92"/>
      <x:c r="B132" s="92"/>
      <x:c r="C132" s="92"/>
      <x:c r="D132" s="94" t="str">
        <x:f>IFERROR(VLOOKUP(C132,'01 Staff Master'!$A$6:$M$105,2,FALSE),"")</x:f>
      </x:c>
      <x:c r="E132" s="94" t="str">
        <x:f>IFERROR(VLOOKUP(C132,'01 Staff Master'!$A$6:$M$105,3,FALSE),"")</x:f>
      </x:c>
      <x:c r="F132" s="93"/>
      <x:c r="G132" s="92"/>
      <x:c r="H132" s="92"/>
      <x:c r="I132" s="92"/>
      <x:c r="J132" s="92"/>
      <x:c r="K132" s="92"/>
      <x:c r="L132" s="92"/>
      <x:c r="M132" s="92"/>
      <x:c r="N132" s="92"/>
      <x:c r="O132" s="107" t="str">
        <x:f>IF(COUNT(G132:N132)=0,"",AVERAGE(G132:N132))</x:f>
      </x:c>
      <x:c r="P132" s="92"/>
      <x:c r="Q132" s="92"/>
      <x:c r="R132" s="92"/>
      <x:c r="S132" s="92"/>
      <x:c r="T132" s="92"/>
      <x:c r="U132" s="92"/>
      <x:c r="V132" s="92"/>
      <x:c r="W132" s="94" t="str">
        <x:f>IF(A132="","",IF(AND(F132&lt;&gt;"",COUNT(G132:N132)=8,P132&lt;&gt;"",Q132&lt;&gt;""),"Complete","Incomplete"))</x:f>
      </x:c>
      <x:c r="X132" s="92"/>
    </x:row>
    <x:row r="133">
      <x:c r="A133" s="92"/>
      <x:c r="B133" s="92"/>
      <x:c r="C133" s="92"/>
      <x:c r="D133" s="94" t="str">
        <x:f>IFERROR(VLOOKUP(C133,'01 Staff Master'!$A$6:$M$105,2,FALSE),"")</x:f>
      </x:c>
      <x:c r="E133" s="94" t="str">
        <x:f>IFERROR(VLOOKUP(C133,'01 Staff Master'!$A$6:$M$105,3,FALSE),"")</x:f>
      </x:c>
      <x:c r="F133" s="93"/>
      <x:c r="G133" s="92"/>
      <x:c r="H133" s="92"/>
      <x:c r="I133" s="92"/>
      <x:c r="J133" s="92"/>
      <x:c r="K133" s="92"/>
      <x:c r="L133" s="92"/>
      <x:c r="M133" s="92"/>
      <x:c r="N133" s="92"/>
      <x:c r="O133" s="107" t="str">
        <x:f>IF(COUNT(G133:N133)=0,"",AVERAGE(G133:N133))</x:f>
      </x:c>
      <x:c r="P133" s="92"/>
      <x:c r="Q133" s="92"/>
      <x:c r="R133" s="92"/>
      <x:c r="S133" s="92"/>
      <x:c r="T133" s="92"/>
      <x:c r="U133" s="92"/>
      <x:c r="V133" s="92"/>
      <x:c r="W133" s="94" t="str">
        <x:f>IF(A133="","",IF(AND(F133&lt;&gt;"",COUNT(G133:N133)=8,P133&lt;&gt;"",Q133&lt;&gt;""),"Complete","Incomplete"))</x:f>
      </x:c>
      <x:c r="X133" s="92"/>
    </x:row>
    <x:row r="134">
      <x:c r="A134" s="92"/>
      <x:c r="B134" s="92"/>
      <x:c r="C134" s="92"/>
      <x:c r="D134" s="94" t="str">
        <x:f>IFERROR(VLOOKUP(C134,'01 Staff Master'!$A$6:$M$105,2,FALSE),"")</x:f>
      </x:c>
      <x:c r="E134" s="94" t="str">
        <x:f>IFERROR(VLOOKUP(C134,'01 Staff Master'!$A$6:$M$105,3,FALSE),"")</x:f>
      </x:c>
      <x:c r="F134" s="93"/>
      <x:c r="G134" s="92"/>
      <x:c r="H134" s="92"/>
      <x:c r="I134" s="92"/>
      <x:c r="J134" s="92"/>
      <x:c r="K134" s="92"/>
      <x:c r="L134" s="92"/>
      <x:c r="M134" s="92"/>
      <x:c r="N134" s="92"/>
      <x:c r="O134" s="107" t="str">
        <x:f>IF(COUNT(G134:N134)=0,"",AVERAGE(G134:N134))</x:f>
      </x:c>
      <x:c r="P134" s="92"/>
      <x:c r="Q134" s="92"/>
      <x:c r="R134" s="92"/>
      <x:c r="S134" s="92"/>
      <x:c r="T134" s="92"/>
      <x:c r="U134" s="92"/>
      <x:c r="V134" s="92"/>
      <x:c r="W134" s="94" t="str">
        <x:f>IF(A134="","",IF(AND(F134&lt;&gt;"",COUNT(G134:N134)=8,P134&lt;&gt;"",Q134&lt;&gt;""),"Complete","Incomplete"))</x:f>
      </x:c>
      <x:c r="X134" s="92"/>
    </x:row>
    <x:row r="135">
      <x:c r="A135" s="92"/>
      <x:c r="B135" s="92"/>
      <x:c r="C135" s="92"/>
      <x:c r="D135" s="94" t="str">
        <x:f>IFERROR(VLOOKUP(C135,'01 Staff Master'!$A$6:$M$105,2,FALSE),"")</x:f>
      </x:c>
      <x:c r="E135" s="94" t="str">
        <x:f>IFERROR(VLOOKUP(C135,'01 Staff Master'!$A$6:$M$105,3,FALSE),"")</x:f>
      </x:c>
      <x:c r="F135" s="93"/>
      <x:c r="G135" s="92"/>
      <x:c r="H135" s="92"/>
      <x:c r="I135" s="92"/>
      <x:c r="J135" s="92"/>
      <x:c r="K135" s="92"/>
      <x:c r="L135" s="92"/>
      <x:c r="M135" s="92"/>
      <x:c r="N135" s="92"/>
      <x:c r="O135" s="107" t="str">
        <x:f>IF(COUNT(G135:N135)=0,"",AVERAGE(G135:N135))</x:f>
      </x:c>
      <x:c r="P135" s="92"/>
      <x:c r="Q135" s="92"/>
      <x:c r="R135" s="92"/>
      <x:c r="S135" s="92"/>
      <x:c r="T135" s="92"/>
      <x:c r="U135" s="92"/>
      <x:c r="V135" s="92"/>
      <x:c r="W135" s="94" t="str">
        <x:f>IF(A135="","",IF(AND(F135&lt;&gt;"",COUNT(G135:N135)=8,P135&lt;&gt;"",Q135&lt;&gt;""),"Complete","Incomplete"))</x:f>
      </x:c>
      <x:c r="X135" s="92"/>
    </x:row>
    <x:row r="136">
      <x:c r="A136" s="92"/>
      <x:c r="B136" s="92"/>
      <x:c r="C136" s="92"/>
      <x:c r="D136" s="94" t="str">
        <x:f>IFERROR(VLOOKUP(C136,'01 Staff Master'!$A$6:$M$105,2,FALSE),"")</x:f>
      </x:c>
      <x:c r="E136" s="94" t="str">
        <x:f>IFERROR(VLOOKUP(C136,'01 Staff Master'!$A$6:$M$105,3,FALSE),"")</x:f>
      </x:c>
      <x:c r="F136" s="93"/>
      <x:c r="G136" s="92"/>
      <x:c r="H136" s="92"/>
      <x:c r="I136" s="92"/>
      <x:c r="J136" s="92"/>
      <x:c r="K136" s="92"/>
      <x:c r="L136" s="92"/>
      <x:c r="M136" s="92"/>
      <x:c r="N136" s="92"/>
      <x:c r="O136" s="107" t="str">
        <x:f>IF(COUNT(G136:N136)=0,"",AVERAGE(G136:N136))</x:f>
      </x:c>
      <x:c r="P136" s="92"/>
      <x:c r="Q136" s="92"/>
      <x:c r="R136" s="92"/>
      <x:c r="S136" s="92"/>
      <x:c r="T136" s="92"/>
      <x:c r="U136" s="92"/>
      <x:c r="V136" s="92"/>
      <x:c r="W136" s="94" t="str">
        <x:f>IF(A136="","",IF(AND(F136&lt;&gt;"",COUNT(G136:N136)=8,P136&lt;&gt;"",Q136&lt;&gt;""),"Complete","Incomplete"))</x:f>
      </x:c>
      <x:c r="X136" s="92"/>
    </x:row>
    <x:row r="137">
      <x:c r="A137" s="92"/>
      <x:c r="B137" s="92"/>
      <x:c r="C137" s="92"/>
      <x:c r="D137" s="94" t="str">
        <x:f>IFERROR(VLOOKUP(C137,'01 Staff Master'!$A$6:$M$105,2,FALSE),"")</x:f>
      </x:c>
      <x:c r="E137" s="94" t="str">
        <x:f>IFERROR(VLOOKUP(C137,'01 Staff Master'!$A$6:$M$105,3,FALSE),"")</x:f>
      </x:c>
      <x:c r="F137" s="93"/>
      <x:c r="G137" s="92"/>
      <x:c r="H137" s="92"/>
      <x:c r="I137" s="92"/>
      <x:c r="J137" s="92"/>
      <x:c r="K137" s="92"/>
      <x:c r="L137" s="92"/>
      <x:c r="M137" s="92"/>
      <x:c r="N137" s="92"/>
      <x:c r="O137" s="107" t="str">
        <x:f>IF(COUNT(G137:N137)=0,"",AVERAGE(G137:N137))</x:f>
      </x:c>
      <x:c r="P137" s="92"/>
      <x:c r="Q137" s="92"/>
      <x:c r="R137" s="92"/>
      <x:c r="S137" s="92"/>
      <x:c r="T137" s="92"/>
      <x:c r="U137" s="92"/>
      <x:c r="V137" s="92"/>
      <x:c r="W137" s="94" t="str">
        <x:f>IF(A137="","",IF(AND(F137&lt;&gt;"",COUNT(G137:N137)=8,P137&lt;&gt;"",Q137&lt;&gt;""),"Complete","Incomplete"))</x:f>
      </x:c>
      <x:c r="X137" s="92"/>
    </x:row>
    <x:row r="138">
      <x:c r="A138" s="92"/>
      <x:c r="B138" s="92"/>
      <x:c r="C138" s="92"/>
      <x:c r="D138" s="94" t="str">
        <x:f>IFERROR(VLOOKUP(C138,'01 Staff Master'!$A$6:$M$105,2,FALSE),"")</x:f>
      </x:c>
      <x:c r="E138" s="94" t="str">
        <x:f>IFERROR(VLOOKUP(C138,'01 Staff Master'!$A$6:$M$105,3,FALSE),"")</x:f>
      </x:c>
      <x:c r="F138" s="93"/>
      <x:c r="G138" s="92"/>
      <x:c r="H138" s="92"/>
      <x:c r="I138" s="92"/>
      <x:c r="J138" s="92"/>
      <x:c r="K138" s="92"/>
      <x:c r="L138" s="92"/>
      <x:c r="M138" s="92"/>
      <x:c r="N138" s="92"/>
      <x:c r="O138" s="107" t="str">
        <x:f>IF(COUNT(G138:N138)=0,"",AVERAGE(G138:N138))</x:f>
      </x:c>
      <x:c r="P138" s="92"/>
      <x:c r="Q138" s="92"/>
      <x:c r="R138" s="92"/>
      <x:c r="S138" s="92"/>
      <x:c r="T138" s="92"/>
      <x:c r="U138" s="92"/>
      <x:c r="V138" s="92"/>
      <x:c r="W138" s="94" t="str">
        <x:f>IF(A138="","",IF(AND(F138&lt;&gt;"",COUNT(G138:N138)=8,P138&lt;&gt;"",Q138&lt;&gt;""),"Complete","Incomplete"))</x:f>
      </x:c>
      <x:c r="X138" s="92"/>
    </x:row>
    <x:row r="139">
      <x:c r="A139" s="92"/>
      <x:c r="B139" s="92"/>
      <x:c r="C139" s="92"/>
      <x:c r="D139" s="94" t="str">
        <x:f>IFERROR(VLOOKUP(C139,'01 Staff Master'!$A$6:$M$105,2,FALSE),"")</x:f>
      </x:c>
      <x:c r="E139" s="94" t="str">
        <x:f>IFERROR(VLOOKUP(C139,'01 Staff Master'!$A$6:$M$105,3,FALSE),"")</x:f>
      </x:c>
      <x:c r="F139" s="93"/>
      <x:c r="G139" s="92"/>
      <x:c r="H139" s="92"/>
      <x:c r="I139" s="92"/>
      <x:c r="J139" s="92"/>
      <x:c r="K139" s="92"/>
      <x:c r="L139" s="92"/>
      <x:c r="M139" s="92"/>
      <x:c r="N139" s="92"/>
      <x:c r="O139" s="107" t="str">
        <x:f>IF(COUNT(G139:N139)=0,"",AVERAGE(G139:N139))</x:f>
      </x:c>
      <x:c r="P139" s="92"/>
      <x:c r="Q139" s="92"/>
      <x:c r="R139" s="92"/>
      <x:c r="S139" s="92"/>
      <x:c r="T139" s="92"/>
      <x:c r="U139" s="92"/>
      <x:c r="V139" s="92"/>
      <x:c r="W139" s="94" t="str">
        <x:f>IF(A139="","",IF(AND(F139&lt;&gt;"",COUNT(G139:N139)=8,P139&lt;&gt;"",Q139&lt;&gt;""),"Complete","Incomplete"))</x:f>
      </x:c>
      <x:c r="X139" s="92"/>
    </x:row>
    <x:row r="140">
      <x:c r="A140" s="92"/>
      <x:c r="B140" s="92"/>
      <x:c r="C140" s="92"/>
      <x:c r="D140" s="94" t="str">
        <x:f>IFERROR(VLOOKUP(C140,'01 Staff Master'!$A$6:$M$105,2,FALSE),"")</x:f>
      </x:c>
      <x:c r="E140" s="94" t="str">
        <x:f>IFERROR(VLOOKUP(C140,'01 Staff Master'!$A$6:$M$105,3,FALSE),"")</x:f>
      </x:c>
      <x:c r="F140" s="93"/>
      <x:c r="G140" s="92"/>
      <x:c r="H140" s="92"/>
      <x:c r="I140" s="92"/>
      <x:c r="J140" s="92"/>
      <x:c r="K140" s="92"/>
      <x:c r="L140" s="92"/>
      <x:c r="M140" s="92"/>
      <x:c r="N140" s="92"/>
      <x:c r="O140" s="107" t="str">
        <x:f>IF(COUNT(G140:N140)=0,"",AVERAGE(G140:N140))</x:f>
      </x:c>
      <x:c r="P140" s="92"/>
      <x:c r="Q140" s="92"/>
      <x:c r="R140" s="92"/>
      <x:c r="S140" s="92"/>
      <x:c r="T140" s="92"/>
      <x:c r="U140" s="92"/>
      <x:c r="V140" s="92"/>
      <x:c r="W140" s="94" t="str">
        <x:f>IF(A140="","",IF(AND(F140&lt;&gt;"",COUNT(G140:N140)=8,P140&lt;&gt;"",Q140&lt;&gt;""),"Complete","Incomplete"))</x:f>
      </x:c>
      <x:c r="X140" s="92"/>
    </x:row>
    <x:row r="141">
      <x:c r="A141" s="92"/>
      <x:c r="B141" s="92"/>
      <x:c r="C141" s="92"/>
      <x:c r="D141" s="94" t="str">
        <x:f>IFERROR(VLOOKUP(C141,'01 Staff Master'!$A$6:$M$105,2,FALSE),"")</x:f>
      </x:c>
      <x:c r="E141" s="94" t="str">
        <x:f>IFERROR(VLOOKUP(C141,'01 Staff Master'!$A$6:$M$105,3,FALSE),"")</x:f>
      </x:c>
      <x:c r="F141" s="93"/>
      <x:c r="G141" s="92"/>
      <x:c r="H141" s="92"/>
      <x:c r="I141" s="92"/>
      <x:c r="J141" s="92"/>
      <x:c r="K141" s="92"/>
      <x:c r="L141" s="92"/>
      <x:c r="M141" s="92"/>
      <x:c r="N141" s="92"/>
      <x:c r="O141" s="107" t="str">
        <x:f>IF(COUNT(G141:N141)=0,"",AVERAGE(G141:N141))</x:f>
      </x:c>
      <x:c r="P141" s="92"/>
      <x:c r="Q141" s="92"/>
      <x:c r="R141" s="92"/>
      <x:c r="S141" s="92"/>
      <x:c r="T141" s="92"/>
      <x:c r="U141" s="92"/>
      <x:c r="V141" s="92"/>
      <x:c r="W141" s="94" t="str">
        <x:f>IF(A141="","",IF(AND(F141&lt;&gt;"",COUNT(G141:N141)=8,P141&lt;&gt;"",Q141&lt;&gt;""),"Complete","Incomplete"))</x:f>
      </x:c>
      <x:c r="X141" s="92"/>
    </x:row>
    <x:row r="142">
      <x:c r="A142" s="92"/>
      <x:c r="B142" s="92"/>
      <x:c r="C142" s="92"/>
      <x:c r="D142" s="94" t="str">
        <x:f>IFERROR(VLOOKUP(C142,'01 Staff Master'!$A$6:$M$105,2,FALSE),"")</x:f>
      </x:c>
      <x:c r="E142" s="94" t="str">
        <x:f>IFERROR(VLOOKUP(C142,'01 Staff Master'!$A$6:$M$105,3,FALSE),"")</x:f>
      </x:c>
      <x:c r="F142" s="93"/>
      <x:c r="G142" s="92"/>
      <x:c r="H142" s="92"/>
      <x:c r="I142" s="92"/>
      <x:c r="J142" s="92"/>
      <x:c r="K142" s="92"/>
      <x:c r="L142" s="92"/>
      <x:c r="M142" s="92"/>
      <x:c r="N142" s="92"/>
      <x:c r="O142" s="107" t="str">
        <x:f>IF(COUNT(G142:N142)=0,"",AVERAGE(G142:N142))</x:f>
      </x:c>
      <x:c r="P142" s="92"/>
      <x:c r="Q142" s="92"/>
      <x:c r="R142" s="92"/>
      <x:c r="S142" s="92"/>
      <x:c r="T142" s="92"/>
      <x:c r="U142" s="92"/>
      <x:c r="V142" s="92"/>
      <x:c r="W142" s="94" t="str">
        <x:f>IF(A142="","",IF(AND(F142&lt;&gt;"",COUNT(G142:N142)=8,P142&lt;&gt;"",Q142&lt;&gt;""),"Complete","Incomplete"))</x:f>
      </x:c>
      <x:c r="X142" s="92"/>
    </x:row>
    <x:row r="143">
      <x:c r="A143" s="92"/>
      <x:c r="B143" s="92"/>
      <x:c r="C143" s="92"/>
      <x:c r="D143" s="94" t="str">
        <x:f>IFERROR(VLOOKUP(C143,'01 Staff Master'!$A$6:$M$105,2,FALSE),"")</x:f>
      </x:c>
      <x:c r="E143" s="94" t="str">
        <x:f>IFERROR(VLOOKUP(C143,'01 Staff Master'!$A$6:$M$105,3,FALSE),"")</x:f>
      </x:c>
      <x:c r="F143" s="93"/>
      <x:c r="G143" s="92"/>
      <x:c r="H143" s="92"/>
      <x:c r="I143" s="92"/>
      <x:c r="J143" s="92"/>
      <x:c r="K143" s="92"/>
      <x:c r="L143" s="92"/>
      <x:c r="M143" s="92"/>
      <x:c r="N143" s="92"/>
      <x:c r="O143" s="107" t="str">
        <x:f>IF(COUNT(G143:N143)=0,"",AVERAGE(G143:N143))</x:f>
      </x:c>
      <x:c r="P143" s="92"/>
      <x:c r="Q143" s="92"/>
      <x:c r="R143" s="92"/>
      <x:c r="S143" s="92"/>
      <x:c r="T143" s="92"/>
      <x:c r="U143" s="92"/>
      <x:c r="V143" s="92"/>
      <x:c r="W143" s="94" t="str">
        <x:f>IF(A143="","",IF(AND(F143&lt;&gt;"",COUNT(G143:N143)=8,P143&lt;&gt;"",Q143&lt;&gt;""),"Complete","Incomplete"))</x:f>
      </x:c>
      <x:c r="X143" s="92"/>
    </x:row>
    <x:row r="144">
      <x:c r="A144" s="92"/>
      <x:c r="B144" s="92"/>
      <x:c r="C144" s="92"/>
      <x:c r="D144" s="94" t="str">
        <x:f>IFERROR(VLOOKUP(C144,'01 Staff Master'!$A$6:$M$105,2,FALSE),"")</x:f>
      </x:c>
      <x:c r="E144" s="94" t="str">
        <x:f>IFERROR(VLOOKUP(C144,'01 Staff Master'!$A$6:$M$105,3,FALSE),"")</x:f>
      </x:c>
      <x:c r="F144" s="93"/>
      <x:c r="G144" s="92"/>
      <x:c r="H144" s="92"/>
      <x:c r="I144" s="92"/>
      <x:c r="J144" s="92"/>
      <x:c r="K144" s="92"/>
      <x:c r="L144" s="92"/>
      <x:c r="M144" s="92"/>
      <x:c r="N144" s="92"/>
      <x:c r="O144" s="107" t="str">
        <x:f>IF(COUNT(G144:N144)=0,"",AVERAGE(G144:N144))</x:f>
      </x:c>
      <x:c r="P144" s="92"/>
      <x:c r="Q144" s="92"/>
      <x:c r="R144" s="92"/>
      <x:c r="S144" s="92"/>
      <x:c r="T144" s="92"/>
      <x:c r="U144" s="92"/>
      <x:c r="V144" s="92"/>
      <x:c r="W144" s="94" t="str">
        <x:f>IF(A144="","",IF(AND(F144&lt;&gt;"",COUNT(G144:N144)=8,P144&lt;&gt;"",Q144&lt;&gt;""),"Complete","Incomplete"))</x:f>
      </x:c>
      <x:c r="X144" s="92"/>
    </x:row>
    <x:row r="145">
      <x:c r="A145" s="92"/>
      <x:c r="B145" s="92"/>
      <x:c r="C145" s="92"/>
      <x:c r="D145" s="94" t="str">
        <x:f>IFERROR(VLOOKUP(C145,'01 Staff Master'!$A$6:$M$105,2,FALSE),"")</x:f>
      </x:c>
      <x:c r="E145" s="94" t="str">
        <x:f>IFERROR(VLOOKUP(C145,'01 Staff Master'!$A$6:$M$105,3,FALSE),"")</x:f>
      </x:c>
      <x:c r="F145" s="93"/>
      <x:c r="G145" s="92"/>
      <x:c r="H145" s="92"/>
      <x:c r="I145" s="92"/>
      <x:c r="J145" s="92"/>
      <x:c r="K145" s="92"/>
      <x:c r="L145" s="92"/>
      <x:c r="M145" s="92"/>
      <x:c r="N145" s="92"/>
      <x:c r="O145" s="107" t="str">
        <x:f>IF(COUNT(G145:N145)=0,"",AVERAGE(G145:N145))</x:f>
      </x:c>
      <x:c r="P145" s="92"/>
      <x:c r="Q145" s="92"/>
      <x:c r="R145" s="92"/>
      <x:c r="S145" s="92"/>
      <x:c r="T145" s="92"/>
      <x:c r="U145" s="92"/>
      <x:c r="V145" s="92"/>
      <x:c r="W145" s="94" t="str">
        <x:f>IF(A145="","",IF(AND(F145&lt;&gt;"",COUNT(G145:N145)=8,P145&lt;&gt;"",Q145&lt;&gt;""),"Complete","Incomplete"))</x:f>
      </x:c>
      <x:c r="X145" s="92"/>
    </x:row>
    <x:row r="146">
      <x:c r="A146" s="92"/>
      <x:c r="B146" s="92"/>
      <x:c r="C146" s="92"/>
      <x:c r="D146" s="94" t="str">
        <x:f>IFERROR(VLOOKUP(C146,'01 Staff Master'!$A$6:$M$105,2,FALSE),"")</x:f>
      </x:c>
      <x:c r="E146" s="94" t="str">
        <x:f>IFERROR(VLOOKUP(C146,'01 Staff Master'!$A$6:$M$105,3,FALSE),"")</x:f>
      </x:c>
      <x:c r="F146" s="93"/>
      <x:c r="G146" s="92"/>
      <x:c r="H146" s="92"/>
      <x:c r="I146" s="92"/>
      <x:c r="J146" s="92"/>
      <x:c r="K146" s="92"/>
      <x:c r="L146" s="92"/>
      <x:c r="M146" s="92"/>
      <x:c r="N146" s="92"/>
      <x:c r="O146" s="107" t="str">
        <x:f>IF(COUNT(G146:N146)=0,"",AVERAGE(G146:N146))</x:f>
      </x:c>
      <x:c r="P146" s="92"/>
      <x:c r="Q146" s="92"/>
      <x:c r="R146" s="92"/>
      <x:c r="S146" s="92"/>
      <x:c r="T146" s="92"/>
      <x:c r="U146" s="92"/>
      <x:c r="V146" s="92"/>
      <x:c r="W146" s="94" t="str">
        <x:f>IF(A146="","",IF(AND(F146&lt;&gt;"",COUNT(G146:N146)=8,P146&lt;&gt;"",Q146&lt;&gt;""),"Complete","Incomplete"))</x:f>
      </x:c>
      <x:c r="X146" s="92"/>
    </x:row>
    <x:row r="147">
      <x:c r="A147" s="92"/>
      <x:c r="B147" s="92"/>
      <x:c r="C147" s="92"/>
      <x:c r="D147" s="94" t="str">
        <x:f>IFERROR(VLOOKUP(C147,'01 Staff Master'!$A$6:$M$105,2,FALSE),"")</x:f>
      </x:c>
      <x:c r="E147" s="94" t="str">
        <x:f>IFERROR(VLOOKUP(C147,'01 Staff Master'!$A$6:$M$105,3,FALSE),"")</x:f>
      </x:c>
      <x:c r="F147" s="93"/>
      <x:c r="G147" s="92"/>
      <x:c r="H147" s="92"/>
      <x:c r="I147" s="92"/>
      <x:c r="J147" s="92"/>
      <x:c r="K147" s="92"/>
      <x:c r="L147" s="92"/>
      <x:c r="M147" s="92"/>
      <x:c r="N147" s="92"/>
      <x:c r="O147" s="107" t="str">
        <x:f>IF(COUNT(G147:N147)=0,"",AVERAGE(G147:N147))</x:f>
      </x:c>
      <x:c r="P147" s="92"/>
      <x:c r="Q147" s="92"/>
      <x:c r="R147" s="92"/>
      <x:c r="S147" s="92"/>
      <x:c r="T147" s="92"/>
      <x:c r="U147" s="92"/>
      <x:c r="V147" s="92"/>
      <x:c r="W147" s="94" t="str">
        <x:f>IF(A147="","",IF(AND(F147&lt;&gt;"",COUNT(G147:N147)=8,P147&lt;&gt;"",Q147&lt;&gt;""),"Complete","Incomplete"))</x:f>
      </x:c>
      <x:c r="X147" s="92"/>
    </x:row>
    <x:row r="148">
      <x:c r="A148" s="92"/>
      <x:c r="B148" s="92"/>
      <x:c r="C148" s="92"/>
      <x:c r="D148" s="94" t="str">
        <x:f>IFERROR(VLOOKUP(C148,'01 Staff Master'!$A$6:$M$105,2,FALSE),"")</x:f>
      </x:c>
      <x:c r="E148" s="94" t="str">
        <x:f>IFERROR(VLOOKUP(C148,'01 Staff Master'!$A$6:$M$105,3,FALSE),"")</x:f>
      </x:c>
      <x:c r="F148" s="93"/>
      <x:c r="G148" s="92"/>
      <x:c r="H148" s="92"/>
      <x:c r="I148" s="92"/>
      <x:c r="J148" s="92"/>
      <x:c r="K148" s="92"/>
      <x:c r="L148" s="92"/>
      <x:c r="M148" s="92"/>
      <x:c r="N148" s="92"/>
      <x:c r="O148" s="107" t="str">
        <x:f>IF(COUNT(G148:N148)=0,"",AVERAGE(G148:N148))</x:f>
      </x:c>
      <x:c r="P148" s="92"/>
      <x:c r="Q148" s="92"/>
      <x:c r="R148" s="92"/>
      <x:c r="S148" s="92"/>
      <x:c r="T148" s="92"/>
      <x:c r="U148" s="92"/>
      <x:c r="V148" s="92"/>
      <x:c r="W148" s="94" t="str">
        <x:f>IF(A148="","",IF(AND(F148&lt;&gt;"",COUNT(G148:N148)=8,P148&lt;&gt;"",Q148&lt;&gt;""),"Complete","Incomplete"))</x:f>
      </x:c>
      <x:c r="X148" s="92"/>
    </x:row>
    <x:row r="149">
      <x:c r="A149" s="92"/>
      <x:c r="B149" s="92"/>
      <x:c r="C149" s="92"/>
      <x:c r="D149" s="94" t="str">
        <x:f>IFERROR(VLOOKUP(C149,'01 Staff Master'!$A$6:$M$105,2,FALSE),"")</x:f>
      </x:c>
      <x:c r="E149" s="94" t="str">
        <x:f>IFERROR(VLOOKUP(C149,'01 Staff Master'!$A$6:$M$105,3,FALSE),"")</x:f>
      </x:c>
      <x:c r="F149" s="93"/>
      <x:c r="G149" s="92"/>
      <x:c r="H149" s="92"/>
      <x:c r="I149" s="92"/>
      <x:c r="J149" s="92"/>
      <x:c r="K149" s="92"/>
      <x:c r="L149" s="92"/>
      <x:c r="M149" s="92"/>
      <x:c r="N149" s="92"/>
      <x:c r="O149" s="107" t="str">
        <x:f>IF(COUNT(G149:N149)=0,"",AVERAGE(G149:N149))</x:f>
      </x:c>
      <x:c r="P149" s="92"/>
      <x:c r="Q149" s="92"/>
      <x:c r="R149" s="92"/>
      <x:c r="S149" s="92"/>
      <x:c r="T149" s="92"/>
      <x:c r="U149" s="92"/>
      <x:c r="V149" s="92"/>
      <x:c r="W149" s="94" t="str">
        <x:f>IF(A149="","",IF(AND(F149&lt;&gt;"",COUNT(G149:N149)=8,P149&lt;&gt;"",Q149&lt;&gt;""),"Complete","Incomplete"))</x:f>
      </x:c>
      <x:c r="X149" s="92"/>
    </x:row>
    <x:row r="150">
      <x:c r="A150" s="92"/>
      <x:c r="B150" s="92"/>
      <x:c r="C150" s="92"/>
      <x:c r="D150" s="94" t="str">
        <x:f>IFERROR(VLOOKUP(C150,'01 Staff Master'!$A$6:$M$105,2,FALSE),"")</x:f>
      </x:c>
      <x:c r="E150" s="94" t="str">
        <x:f>IFERROR(VLOOKUP(C150,'01 Staff Master'!$A$6:$M$105,3,FALSE),"")</x:f>
      </x:c>
      <x:c r="F150" s="93"/>
      <x:c r="G150" s="92"/>
      <x:c r="H150" s="92"/>
      <x:c r="I150" s="92"/>
      <x:c r="J150" s="92"/>
      <x:c r="K150" s="92"/>
      <x:c r="L150" s="92"/>
      <x:c r="M150" s="92"/>
      <x:c r="N150" s="92"/>
      <x:c r="O150" s="107" t="str">
        <x:f>IF(COUNT(G150:N150)=0,"",AVERAGE(G150:N150))</x:f>
      </x:c>
      <x:c r="P150" s="92"/>
      <x:c r="Q150" s="92"/>
      <x:c r="R150" s="92"/>
      <x:c r="S150" s="92"/>
      <x:c r="T150" s="92"/>
      <x:c r="U150" s="92"/>
      <x:c r="V150" s="92"/>
      <x:c r="W150" s="94" t="str">
        <x:f>IF(A150="","",IF(AND(F150&lt;&gt;"",COUNT(G150:N150)=8,P150&lt;&gt;"",Q150&lt;&gt;""),"Complete","Incomplete"))</x:f>
      </x:c>
      <x:c r="X150" s="92"/>
    </x:row>
    <x:row r="151">
      <x:c r="A151" s="92"/>
      <x:c r="B151" s="92"/>
      <x:c r="C151" s="92"/>
      <x:c r="D151" s="94" t="str">
        <x:f>IFERROR(VLOOKUP(C151,'01 Staff Master'!$A$6:$M$105,2,FALSE),"")</x:f>
      </x:c>
      <x:c r="E151" s="94" t="str">
        <x:f>IFERROR(VLOOKUP(C151,'01 Staff Master'!$A$6:$M$105,3,FALSE),"")</x:f>
      </x:c>
      <x:c r="F151" s="93"/>
      <x:c r="G151" s="92"/>
      <x:c r="H151" s="92"/>
      <x:c r="I151" s="92"/>
      <x:c r="J151" s="92"/>
      <x:c r="K151" s="92"/>
      <x:c r="L151" s="92"/>
      <x:c r="M151" s="92"/>
      <x:c r="N151" s="92"/>
      <x:c r="O151" s="107" t="str">
        <x:f>IF(COUNT(G151:N151)=0,"",AVERAGE(G151:N151))</x:f>
      </x:c>
      <x:c r="P151" s="92"/>
      <x:c r="Q151" s="92"/>
      <x:c r="R151" s="92"/>
      <x:c r="S151" s="92"/>
      <x:c r="T151" s="92"/>
      <x:c r="U151" s="92"/>
      <x:c r="V151" s="92"/>
      <x:c r="W151" s="94" t="str">
        <x:f>IF(A151="","",IF(AND(F151&lt;&gt;"",COUNT(G151:N151)=8,P151&lt;&gt;"",Q151&lt;&gt;""),"Complete","Incomplete"))</x:f>
      </x:c>
      <x:c r="X151" s="92"/>
    </x:row>
    <x:row r="152">
      <x:c r="A152" s="92"/>
      <x:c r="B152" s="92"/>
      <x:c r="C152" s="92"/>
      <x:c r="D152" s="94" t="str">
        <x:f>IFERROR(VLOOKUP(C152,'01 Staff Master'!$A$6:$M$105,2,FALSE),"")</x:f>
      </x:c>
      <x:c r="E152" s="94" t="str">
        <x:f>IFERROR(VLOOKUP(C152,'01 Staff Master'!$A$6:$M$105,3,FALSE),"")</x:f>
      </x:c>
      <x:c r="F152" s="93"/>
      <x:c r="G152" s="92"/>
      <x:c r="H152" s="92"/>
      <x:c r="I152" s="92"/>
      <x:c r="J152" s="92"/>
      <x:c r="K152" s="92"/>
      <x:c r="L152" s="92"/>
      <x:c r="M152" s="92"/>
      <x:c r="N152" s="92"/>
      <x:c r="O152" s="107" t="str">
        <x:f>IF(COUNT(G152:N152)=0,"",AVERAGE(G152:N152))</x:f>
      </x:c>
      <x:c r="P152" s="92"/>
      <x:c r="Q152" s="92"/>
      <x:c r="R152" s="92"/>
      <x:c r="S152" s="92"/>
      <x:c r="T152" s="92"/>
      <x:c r="U152" s="92"/>
      <x:c r="V152" s="92"/>
      <x:c r="W152" s="94" t="str">
        <x:f>IF(A152="","",IF(AND(F152&lt;&gt;"",COUNT(G152:N152)=8,P152&lt;&gt;"",Q152&lt;&gt;""),"Complete","Incomplete"))</x:f>
      </x:c>
      <x:c r="X152" s="92"/>
    </x:row>
    <x:row r="153">
      <x:c r="A153" s="92"/>
      <x:c r="B153" s="92"/>
      <x:c r="C153" s="92"/>
      <x:c r="D153" s="94" t="str">
        <x:f>IFERROR(VLOOKUP(C153,'01 Staff Master'!$A$6:$M$105,2,FALSE),"")</x:f>
      </x:c>
      <x:c r="E153" s="94" t="str">
        <x:f>IFERROR(VLOOKUP(C153,'01 Staff Master'!$A$6:$M$105,3,FALSE),"")</x:f>
      </x:c>
      <x:c r="F153" s="93"/>
      <x:c r="G153" s="92"/>
      <x:c r="H153" s="92"/>
      <x:c r="I153" s="92"/>
      <x:c r="J153" s="92"/>
      <x:c r="K153" s="92"/>
      <x:c r="L153" s="92"/>
      <x:c r="M153" s="92"/>
      <x:c r="N153" s="92"/>
      <x:c r="O153" s="107" t="str">
        <x:f>IF(COUNT(G153:N153)=0,"",AVERAGE(G153:N153))</x:f>
      </x:c>
      <x:c r="P153" s="92"/>
      <x:c r="Q153" s="92"/>
      <x:c r="R153" s="92"/>
      <x:c r="S153" s="92"/>
      <x:c r="T153" s="92"/>
      <x:c r="U153" s="92"/>
      <x:c r="V153" s="92"/>
      <x:c r="W153" s="94" t="str">
        <x:f>IF(A153="","",IF(AND(F153&lt;&gt;"",COUNT(G153:N153)=8,P153&lt;&gt;"",Q153&lt;&gt;""),"Complete","Incomplete"))</x:f>
      </x:c>
      <x:c r="X153" s="92"/>
    </x:row>
    <x:row r="154">
      <x:c r="A154" s="92"/>
      <x:c r="B154" s="92"/>
      <x:c r="C154" s="92"/>
      <x:c r="D154" s="94" t="str">
        <x:f>IFERROR(VLOOKUP(C154,'01 Staff Master'!$A$6:$M$105,2,FALSE),"")</x:f>
      </x:c>
      <x:c r="E154" s="94" t="str">
        <x:f>IFERROR(VLOOKUP(C154,'01 Staff Master'!$A$6:$M$105,3,FALSE),"")</x:f>
      </x:c>
      <x:c r="F154" s="93"/>
      <x:c r="G154" s="92"/>
      <x:c r="H154" s="92"/>
      <x:c r="I154" s="92"/>
      <x:c r="J154" s="92"/>
      <x:c r="K154" s="92"/>
      <x:c r="L154" s="92"/>
      <x:c r="M154" s="92"/>
      <x:c r="N154" s="92"/>
      <x:c r="O154" s="107" t="str">
        <x:f>IF(COUNT(G154:N154)=0,"",AVERAGE(G154:N154))</x:f>
      </x:c>
      <x:c r="P154" s="92"/>
      <x:c r="Q154" s="92"/>
      <x:c r="R154" s="92"/>
      <x:c r="S154" s="92"/>
      <x:c r="T154" s="92"/>
      <x:c r="U154" s="92"/>
      <x:c r="V154" s="92"/>
      <x:c r="W154" s="94" t="str">
        <x:f>IF(A154="","",IF(AND(F154&lt;&gt;"",COUNT(G154:N154)=8,P154&lt;&gt;"",Q154&lt;&gt;""),"Complete","Incomplete"))</x:f>
      </x:c>
      <x:c r="X154" s="92"/>
    </x:row>
    <x:row r="155">
      <x:c r="A155" s="92"/>
      <x:c r="B155" s="92"/>
      <x:c r="C155" s="92"/>
      <x:c r="D155" s="94" t="str">
        <x:f>IFERROR(VLOOKUP(C155,'01 Staff Master'!$A$6:$M$105,2,FALSE),"")</x:f>
      </x:c>
      <x:c r="E155" s="94" t="str">
        <x:f>IFERROR(VLOOKUP(C155,'01 Staff Master'!$A$6:$M$105,3,FALSE),"")</x:f>
      </x:c>
      <x:c r="F155" s="93"/>
      <x:c r="G155" s="92"/>
      <x:c r="H155" s="92"/>
      <x:c r="I155" s="92"/>
      <x:c r="J155" s="92"/>
      <x:c r="K155" s="92"/>
      <x:c r="L155" s="92"/>
      <x:c r="M155" s="92"/>
      <x:c r="N155" s="92"/>
      <x:c r="O155" s="107" t="str">
        <x:f>IF(COUNT(G155:N155)=0,"",AVERAGE(G155:N155))</x:f>
      </x:c>
      <x:c r="P155" s="92"/>
      <x:c r="Q155" s="92"/>
      <x:c r="R155" s="92"/>
      <x:c r="S155" s="92"/>
      <x:c r="T155" s="92"/>
      <x:c r="U155" s="92"/>
      <x:c r="V155" s="92"/>
      <x:c r="W155" s="94" t="str">
        <x:f>IF(A155="","",IF(AND(F155&lt;&gt;"",COUNT(G155:N155)=8,P155&lt;&gt;"",Q155&lt;&gt;""),"Complete","Incomplete"))</x:f>
      </x:c>
      <x:c r="X155" s="92"/>
    </x:row>
  </x:sheetData>
  <x:mergeCells>
    <x:mergeCell ref="A1:X1"/>
    <x:mergeCell ref="A2:X2"/>
    <x:mergeCell ref="A4:X4"/>
  </x:mergeCells>
  <x:conditionalFormatting sqref="O6:O155">
    <x:cfRule type="colorScale" priority="1">
      <x:colorScale>
        <x:cfvo type="min"/>
        <x:cfvo type="percentile" val="50"/>
        <x:cfvo type="max"/>
        <x:color rgb="FFFCE4D6"/>
        <x:color rgb="FFFFF2CC"/>
        <x:color rgb="FFE2F0D9"/>
      </x:colorScale>
    </x:cfRule>
  </x:conditionalFormatting>
  <x:conditionalFormatting sqref="W6:W155">
    <x:cfRule type="cellIs" dxfId="21" priority="2">
      <x:formula>"Incomplete"</x:formula>
    </x:cfRule>
  </x:conditionalFormatting>
  <x:dataValidations count="3">
    <x:dataValidation operator="between" sqref="G6:N155">
      <x:formula1>1</x:formula1>
      <x:formula2>5</x:formula2>
    </x:dataValidation>
    <x:dataValidation type="list" sqref="S6:S155">
      <x:formula1>"Yes,No"</x:formula1>
    </x:dataValidation>
    <x:dataValidation type="list" sqref="V6:V155">
      <x:formula1>"Pending,Reviewed,Not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3b523ebfcd4867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4" hidden="0" customWidth="1"/>
    <x:col min="4" max="4" width="20" hidden="0" customWidth="1"/>
    <x:col min="5" max="5" width="16" hidden="0" customWidth="1"/>
    <x:col min="6" max="6" width="17" hidden="0" customWidth="1"/>
    <x:col min="7" max="7" width="28" hidden="0" customWidth="1"/>
    <x:col min="8" max="8" width="14" hidden="0" customWidth="1"/>
    <x:col min="9" max="9" width="14" hidden="0" customWidth="1"/>
    <x:col min="10" max="10" width="18" hidden="0" customWidth="1"/>
    <x:col min="11" max="11" width="11" hidden="0" customWidth="1"/>
    <x:col min="12" max="12" width="11" hidden="0" customWidth="1"/>
    <x:col min="13" max="13" width="19" hidden="0" customWidth="1"/>
    <x:col min="14" max="14" width="11" hidden="0" customWidth="1"/>
    <x:col min="15" max="15" width="14" hidden="0" customWidth="1"/>
    <x:col min="16" max="16" width="16" hidden="0" customWidth="1"/>
    <x:col min="17" max="17" width="20" hidden="0" customWidth="1"/>
    <x:col min="18" max="18" width="20" hidden="0" customWidth="1"/>
    <x:col min="19" max="19" width="36" hidden="0" customWidth="1"/>
    <x:col min="20" max="20" width="20" hidden="0" customWidth="1"/>
    <x:col min="21" max="21" width="34" hidden="0" customWidth="1"/>
    <x:col min="22" max="22" width="18" hidden="0" customWidth="1"/>
    <x:col min="23" max="23" width="15" hidden="0" customWidth="1"/>
    <x:col min="24" max="24" width="24" hidden="0" customWidth="1"/>
    <x:col min="25" max="25" width="28" hidden="0" customWidth="1"/>
  </x:cols>
  <x:sheetData>
    <x:row r="1" ht="30" customHeight="1">
      <x:c r="A1" s="70" t="str">
        <x:v>SBTG Post-Training Effectiveness &amp; Reassessment Register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0"/>
      <x:c r="L1" s="70"/>
      <x:c r="M1" s="70"/>
      <x:c r="N1" s="70"/>
      <x:c r="O1" s="70"/>
      <x:c r="P1" s="70"/>
      <x:c r="Q1" s="70"/>
      <x:c r="R1" s="70"/>
      <x:c r="S1" s="70"/>
      <x:c r="T1" s="70"/>
      <x:c r="U1" s="70"/>
      <x:c r="V1" s="70"/>
      <x:c r="W1" s="70"/>
      <x:c r="X1" s="70"/>
      <x:c r="Y1" s="70"/>
    </x:row>
    <x:row r="2" ht="36" customHeight="1">
      <x:c r="A2" s="74" t="str">
        <x:v>Supervisor and assessor complete at 30/60/90 days. Close training only when job application, evidence and the updated skill assessment confirm effectiveness.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  <x:c r="O2" s="74"/>
      <x:c r="P2" s="74"/>
      <x:c r="Q2" s="74"/>
      <x:c r="R2" s="74"/>
      <x:c r="S2" s="74"/>
      <x:c r="T2" s="74"/>
      <x:c r="U2" s="74"/>
      <x:c r="V2" s="74"/>
      <x:c r="W2" s="74"/>
      <x:c r="X2" s="74"/>
      <x:c r="Y2" s="74"/>
    </x:row>
    <x:row r="4" ht="24" customHeight="1">
      <x:c r="A4" s="77" t="str">
        <x:v>WORKPLACE TRANSFER → BUSINESS IMPACT → REASSESSMENT → CLOSURE / FURTHER ACTION</x:v>
      </x:c>
      <x:c r="B4" s="77"/>
      <x:c r="C4" s="77"/>
      <x:c r="D4" s="77"/>
      <x:c r="E4" s="77"/>
      <x:c r="F4" s="77"/>
      <x:c r="G4" s="77"/>
      <x:c r="H4" s="77"/>
      <x:c r="I4" s="77"/>
      <x:c r="J4" s="77"/>
      <x:c r="K4" s="77"/>
      <x:c r="L4" s="77"/>
      <x:c r="M4" s="77"/>
      <x:c r="N4" s="77"/>
      <x:c r="O4" s="77"/>
      <x:c r="P4" s="77"/>
      <x:c r="Q4" s="77"/>
      <x:c r="R4" s="77"/>
      <x:c r="S4" s="77"/>
      <x:c r="T4" s="77"/>
      <x:c r="U4" s="77"/>
      <x:c r="V4" s="77"/>
      <x:c r="W4" s="77"/>
      <x:c r="X4" s="77"/>
      <x:c r="Y4" s="77"/>
    </x:row>
    <x:row r="5" ht="38" customHeight="1">
      <x:c r="A5" s="83" t="str">
        <x:v>Review ID</x:v>
      </x:c>
      <x:c r="B5" s="83" t="str">
        <x:v>Training ID</x:v>
      </x:c>
      <x:c r="C5" s="83" t="str">
        <x:v>Staff ID</x:v>
      </x:c>
      <x:c r="D5" s="83" t="str">
        <x:v>Staff Name</x:v>
      </x:c>
      <x:c r="E5" s="83" t="str">
        <x:v>Department</x:v>
      </x:c>
      <x:c r="F5" s="83" t="str">
        <x:v>Skill ID</x:v>
      </x:c>
      <x:c r="G5" s="83" t="str">
        <x:v>Skill Name</x:v>
      </x:c>
      <x:c r="H5" s="83" t="str">
        <x:v>Review Stage</x:v>
      </x:c>
      <x:c r="I5" s="83" t="str">
        <x:v>Review Date</x:v>
      </x:c>
      <x:c r="J5" s="83" t="str">
        <x:v>Reviewer</x:v>
      </x:c>
      <x:c r="K5" s="83" t="str">
        <x:v>Pre Level</x:v>
      </x:c>
      <x:c r="L5" s="83" t="str">
        <x:v>Target Level</x:v>
      </x:c>
      <x:c r="M5" s="83" t="str">
        <x:v>Post Assessment ID</x:v>
      </x:c>
      <x:c r="N5" s="83" t="str">
        <x:v>Post Level</x:v>
      </x:c>
      <x:c r="O5" s="83" t="str">
        <x:v>Skill Improvement</x:v>
      </x:c>
      <x:c r="P5" s="83" t="str">
        <x:v>Applied at Work (1-5)</x:v>
      </x:c>
      <x:c r="Q5" s="83" t="str">
        <x:v>Behavior / Output Improvement (1-5)</x:v>
      </x:c>
      <x:c r="R5" s="83" t="str">
        <x:v>KPI / Quality / Safety Impact (1-5)</x:v>
      </x:c>
      <x:c r="S5" s="83" t="str">
        <x:v>Evidence / Result</x:v>
      </x:c>
      <x:c r="T5" s="83" t="str">
        <x:v>Effectiveness Outcome</x:v>
      </x:c>
      <x:c r="U5" s="83" t="str">
        <x:v>Further Action</x:v>
      </x:c>
      <x:c r="V5" s="83" t="str">
        <x:v>HOD Verification</x:v>
      </x:c>
      <x:c r="W5" s="83" t="str">
        <x:v>Next Review Due</x:v>
      </x:c>
      <x:c r="X5" s="83" t="str">
        <x:v>Closure Status</x:v>
      </x:c>
      <x:c r="Y5" s="83" t="str">
        <x:v>Notes</x:v>
      </x:c>
    </x:row>
    <x:row r="6">
      <x:c r="A6" s="92"/>
      <x:c r="B6" s="92"/>
      <x:c r="C6" s="92"/>
      <x:c r="D6" s="94" t="str">
        <x:f>IFERROR(VLOOKUP(C6,'01 Staff Master'!$A$6:$M$105,2,FALSE),"")</x:f>
      </x:c>
      <x:c r="E6" s="94" t="str">
        <x:f>IFERROR(VLOOKUP(C6,'01 Staff Master'!$A$6:$M$105,3,FALSE),"")</x:f>
      </x:c>
      <x:c r="F6" s="92"/>
      <x:c r="G6" s="94" t="str">
        <x:f>IFERROR(VLOOKUP(F6,'02 Skill Catalogue'!$A$6:$K$95,4,FALSE),"")</x:f>
      </x:c>
      <x:c r="H6" s="92"/>
      <x:c r="I6" s="93"/>
      <x:c r="J6" s="92"/>
      <x:c r="K6" s="92"/>
      <x:c r="L6" s="92"/>
      <x:c r="M6" s="92"/>
      <x:c r="N6" s="94" t="str">
        <x:f>IFERROR(VLOOKUP(M6,'04 Assessment Log'!$A$6:$AE$155,15,FALSE),"")</x:f>
      </x:c>
      <x:c r="O6" s="94" t="str">
        <x:f>IF(OR(K6="",N6=""),"",N6-K6)</x:f>
      </x:c>
      <x:c r="P6" s="92"/>
      <x:c r="Q6" s="92"/>
      <x:c r="R6" s="92"/>
      <x:c r="S6" s="92"/>
      <x:c r="T6" s="92"/>
      <x:c r="U6" s="92"/>
      <x:c r="V6" s="92"/>
      <x:c r="W6" s="93"/>
      <x:c r="X6" s="94" t="str">
        <x:f>IF(A6="","",IF(V6&lt;&gt;"Verified","Pending HOD Verification",IF(T6="","Pending Review",IF(T6="Not Applicable","Closed — N/A",IF(M6="","Pending Reassessment",IF(AND(T6="Effective",N6&gt;=L6),"Closed — Effective","Further Action Required"))))))</x:f>
      </x:c>
      <x:c r="Y6" s="92"/>
    </x:row>
    <x:row r="7">
      <x:c r="A7" s="92"/>
      <x:c r="B7" s="92"/>
      <x:c r="C7" s="92"/>
      <x:c r="D7" s="94" t="str">
        <x:f>IFERROR(VLOOKUP(C7,'01 Staff Master'!$A$6:$M$105,2,FALSE),"")</x:f>
      </x:c>
      <x:c r="E7" s="94" t="str">
        <x:f>IFERROR(VLOOKUP(C7,'01 Staff Master'!$A$6:$M$105,3,FALSE),"")</x:f>
      </x:c>
      <x:c r="F7" s="92"/>
      <x:c r="G7" s="94" t="str">
        <x:f>IFERROR(VLOOKUP(F7,'02 Skill Catalogue'!$A$6:$K$95,4,FALSE),"")</x:f>
      </x:c>
      <x:c r="H7" s="92"/>
      <x:c r="I7" s="93"/>
      <x:c r="J7" s="92"/>
      <x:c r="K7" s="92"/>
      <x:c r="L7" s="92"/>
      <x:c r="M7" s="92"/>
      <x:c r="N7" s="94" t="str">
        <x:f>IFERROR(VLOOKUP(M7,'04 Assessment Log'!$A$6:$AE$155,15,FALSE),"")</x:f>
      </x:c>
      <x:c r="O7" s="94" t="str">
        <x:f>IF(OR(K7="",N7=""),"",N7-K7)</x:f>
      </x:c>
      <x:c r="P7" s="92"/>
      <x:c r="Q7" s="92"/>
      <x:c r="R7" s="92"/>
      <x:c r="S7" s="92"/>
      <x:c r="T7" s="92"/>
      <x:c r="U7" s="92"/>
      <x:c r="V7" s="92"/>
      <x:c r="W7" s="93"/>
      <x:c r="X7" s="94" t="str">
        <x:f>IF(A7="","",IF(V7&lt;&gt;"Verified","Pending HOD Verification",IF(T7="","Pending Review",IF(T7="Not Applicable","Closed — N/A",IF(M7="","Pending Reassessment",IF(AND(T7="Effective",N7&gt;=L7),"Closed — Effective","Further Action Required"))))))</x:f>
      </x:c>
      <x:c r="Y7" s="92"/>
    </x:row>
    <x:row r="8">
      <x:c r="A8" s="92"/>
      <x:c r="B8" s="92"/>
      <x:c r="C8" s="92"/>
      <x:c r="D8" s="94" t="str">
        <x:f>IFERROR(VLOOKUP(C8,'01 Staff Master'!$A$6:$M$105,2,FALSE),"")</x:f>
      </x:c>
      <x:c r="E8" s="94" t="str">
        <x:f>IFERROR(VLOOKUP(C8,'01 Staff Master'!$A$6:$M$105,3,FALSE),"")</x:f>
      </x:c>
      <x:c r="F8" s="92"/>
      <x:c r="G8" s="94" t="str">
        <x:f>IFERROR(VLOOKUP(F8,'02 Skill Catalogue'!$A$6:$K$95,4,FALSE),"")</x:f>
      </x:c>
      <x:c r="H8" s="92"/>
      <x:c r="I8" s="93"/>
      <x:c r="J8" s="92"/>
      <x:c r="K8" s="92"/>
      <x:c r="L8" s="92"/>
      <x:c r="M8" s="92"/>
      <x:c r="N8" s="94" t="str">
        <x:f>IFERROR(VLOOKUP(M8,'04 Assessment Log'!$A$6:$AE$155,15,FALSE),"")</x:f>
      </x:c>
      <x:c r="O8" s="94" t="str">
        <x:f>IF(OR(K8="",N8=""),"",N8-K8)</x:f>
      </x:c>
      <x:c r="P8" s="92"/>
      <x:c r="Q8" s="92"/>
      <x:c r="R8" s="92"/>
      <x:c r="S8" s="92"/>
      <x:c r="T8" s="92"/>
      <x:c r="U8" s="92"/>
      <x:c r="V8" s="92"/>
      <x:c r="W8" s="93"/>
      <x:c r="X8" s="94" t="str">
        <x:f>IF(A8="","",IF(V8&lt;&gt;"Verified","Pending HOD Verification",IF(T8="","Pending Review",IF(T8="Not Applicable","Closed — N/A",IF(M8="","Pending Reassessment",IF(AND(T8="Effective",N8&gt;=L8),"Closed — Effective","Further Action Required"))))))</x:f>
      </x:c>
      <x:c r="Y8" s="92"/>
    </x:row>
    <x:row r="9">
      <x:c r="A9" s="92"/>
      <x:c r="B9" s="92"/>
      <x:c r="C9" s="92"/>
      <x:c r="D9" s="94" t="str">
        <x:f>IFERROR(VLOOKUP(C9,'01 Staff Master'!$A$6:$M$105,2,FALSE),"")</x:f>
      </x:c>
      <x:c r="E9" s="94" t="str">
        <x:f>IFERROR(VLOOKUP(C9,'01 Staff Master'!$A$6:$M$105,3,FALSE),"")</x:f>
      </x:c>
      <x:c r="F9" s="92"/>
      <x:c r="G9" s="94" t="str">
        <x:f>IFERROR(VLOOKUP(F9,'02 Skill Catalogue'!$A$6:$K$95,4,FALSE),"")</x:f>
      </x:c>
      <x:c r="H9" s="92"/>
      <x:c r="I9" s="93"/>
      <x:c r="J9" s="92"/>
      <x:c r="K9" s="92"/>
      <x:c r="L9" s="92"/>
      <x:c r="M9" s="92"/>
      <x:c r="N9" s="94" t="str">
        <x:f>IFERROR(VLOOKUP(M9,'04 Assessment Log'!$A$6:$AE$155,15,FALSE),"")</x:f>
      </x:c>
      <x:c r="O9" s="94" t="str">
        <x:f>IF(OR(K9="",N9=""),"",N9-K9)</x:f>
      </x:c>
      <x:c r="P9" s="92"/>
      <x:c r="Q9" s="92"/>
      <x:c r="R9" s="92"/>
      <x:c r="S9" s="92"/>
      <x:c r="T9" s="92"/>
      <x:c r="U9" s="92"/>
      <x:c r="V9" s="92"/>
      <x:c r="W9" s="93"/>
      <x:c r="X9" s="94" t="str">
        <x:f>IF(A9="","",IF(V9&lt;&gt;"Verified","Pending HOD Verification",IF(T9="","Pending Review",IF(T9="Not Applicable","Closed — N/A",IF(M9="","Pending Reassessment",IF(AND(T9="Effective",N9&gt;=L9),"Closed — Effective","Further Action Required"))))))</x:f>
      </x:c>
      <x:c r="Y9" s="92"/>
    </x:row>
    <x:row r="10">
      <x:c r="A10" s="92"/>
      <x:c r="B10" s="92"/>
      <x:c r="C10" s="92"/>
      <x:c r="D10" s="94" t="str">
        <x:f>IFERROR(VLOOKUP(C10,'01 Staff Master'!$A$6:$M$105,2,FALSE),"")</x:f>
      </x:c>
      <x:c r="E10" s="94" t="str">
        <x:f>IFERROR(VLOOKUP(C10,'01 Staff Master'!$A$6:$M$105,3,FALSE),"")</x:f>
      </x:c>
      <x:c r="F10" s="92"/>
      <x:c r="G10" s="94" t="str">
        <x:f>IFERROR(VLOOKUP(F10,'02 Skill Catalogue'!$A$6:$K$95,4,FALSE),"")</x:f>
      </x:c>
      <x:c r="H10" s="92"/>
      <x:c r="I10" s="93"/>
      <x:c r="J10" s="92"/>
      <x:c r="K10" s="92"/>
      <x:c r="L10" s="92"/>
      <x:c r="M10" s="92"/>
      <x:c r="N10" s="94" t="str">
        <x:f>IFERROR(VLOOKUP(M10,'04 Assessment Log'!$A$6:$AE$155,15,FALSE),"")</x:f>
      </x:c>
      <x:c r="O10" s="94" t="str">
        <x:f>IF(OR(K10="",N10=""),"",N10-K10)</x:f>
      </x:c>
      <x:c r="P10" s="92"/>
      <x:c r="Q10" s="92"/>
      <x:c r="R10" s="92"/>
      <x:c r="S10" s="92"/>
      <x:c r="T10" s="92"/>
      <x:c r="U10" s="92"/>
      <x:c r="V10" s="92"/>
      <x:c r="W10" s="93"/>
      <x:c r="X10" s="94" t="str">
        <x:f>IF(A10="","",IF(V10&lt;&gt;"Verified","Pending HOD Verification",IF(T10="","Pending Review",IF(T10="Not Applicable","Closed — N/A",IF(M10="","Pending Reassessment",IF(AND(T10="Effective",N10&gt;=L10),"Closed — Effective","Further Action Required"))))))</x:f>
      </x:c>
      <x:c r="Y10" s="92"/>
    </x:row>
    <x:row r="11">
      <x:c r="A11" s="92"/>
      <x:c r="B11" s="92"/>
      <x:c r="C11" s="92"/>
      <x:c r="D11" s="94" t="str">
        <x:f>IFERROR(VLOOKUP(C11,'01 Staff Master'!$A$6:$M$105,2,FALSE),"")</x:f>
      </x:c>
      <x:c r="E11" s="94" t="str">
        <x:f>IFERROR(VLOOKUP(C11,'01 Staff Master'!$A$6:$M$105,3,FALSE),"")</x:f>
      </x:c>
      <x:c r="F11" s="92"/>
      <x:c r="G11" s="94" t="str">
        <x:f>IFERROR(VLOOKUP(F11,'02 Skill Catalogue'!$A$6:$K$95,4,FALSE),"")</x:f>
      </x:c>
      <x:c r="H11" s="92"/>
      <x:c r="I11" s="93"/>
      <x:c r="J11" s="92"/>
      <x:c r="K11" s="92"/>
      <x:c r="L11" s="92"/>
      <x:c r="M11" s="92"/>
      <x:c r="N11" s="94" t="str">
        <x:f>IFERROR(VLOOKUP(M11,'04 Assessment Log'!$A$6:$AE$155,15,FALSE),"")</x:f>
      </x:c>
      <x:c r="O11" s="94" t="str">
        <x:f>IF(OR(K11="",N11=""),"",N11-K11)</x:f>
      </x:c>
      <x:c r="P11" s="92"/>
      <x:c r="Q11" s="92"/>
      <x:c r="R11" s="92"/>
      <x:c r="S11" s="92"/>
      <x:c r="T11" s="92"/>
      <x:c r="U11" s="92"/>
      <x:c r="V11" s="92"/>
      <x:c r="W11" s="93"/>
      <x:c r="X11" s="94" t="str">
        <x:f>IF(A11="","",IF(V11&lt;&gt;"Verified","Pending HOD Verification",IF(T11="","Pending Review",IF(T11="Not Applicable","Closed — N/A",IF(M11="","Pending Reassessment",IF(AND(T11="Effective",N11&gt;=L11),"Closed — Effective","Further Action Required"))))))</x:f>
      </x:c>
      <x:c r="Y11" s="92"/>
    </x:row>
    <x:row r="12">
      <x:c r="A12" s="92"/>
      <x:c r="B12" s="92"/>
      <x:c r="C12" s="92"/>
      <x:c r="D12" s="94" t="str">
        <x:f>IFERROR(VLOOKUP(C12,'01 Staff Master'!$A$6:$M$105,2,FALSE),"")</x:f>
      </x:c>
      <x:c r="E12" s="94" t="str">
        <x:f>IFERROR(VLOOKUP(C12,'01 Staff Master'!$A$6:$M$105,3,FALSE),"")</x:f>
      </x:c>
      <x:c r="F12" s="92"/>
      <x:c r="G12" s="94" t="str">
        <x:f>IFERROR(VLOOKUP(F12,'02 Skill Catalogue'!$A$6:$K$95,4,FALSE),"")</x:f>
      </x:c>
      <x:c r="H12" s="92"/>
      <x:c r="I12" s="93"/>
      <x:c r="J12" s="92"/>
      <x:c r="K12" s="92"/>
      <x:c r="L12" s="92"/>
      <x:c r="M12" s="92"/>
      <x:c r="N12" s="94" t="str">
        <x:f>IFERROR(VLOOKUP(M12,'04 Assessment Log'!$A$6:$AE$155,15,FALSE),"")</x:f>
      </x:c>
      <x:c r="O12" s="94" t="str">
        <x:f>IF(OR(K12="",N12=""),"",N12-K12)</x:f>
      </x:c>
      <x:c r="P12" s="92"/>
      <x:c r="Q12" s="92"/>
      <x:c r="R12" s="92"/>
      <x:c r="S12" s="92"/>
      <x:c r="T12" s="92"/>
      <x:c r="U12" s="92"/>
      <x:c r="V12" s="92"/>
      <x:c r="W12" s="93"/>
      <x:c r="X12" s="94" t="str">
        <x:f>IF(A12="","",IF(V12&lt;&gt;"Verified","Pending HOD Verification",IF(T12="","Pending Review",IF(T12="Not Applicable","Closed — N/A",IF(M12="","Pending Reassessment",IF(AND(T12="Effective",N12&gt;=L12),"Closed — Effective","Further Action Required"))))))</x:f>
      </x:c>
      <x:c r="Y12" s="92"/>
    </x:row>
    <x:row r="13">
      <x:c r="A13" s="92"/>
      <x:c r="B13" s="92"/>
      <x:c r="C13" s="92"/>
      <x:c r="D13" s="94" t="str">
        <x:f>IFERROR(VLOOKUP(C13,'01 Staff Master'!$A$6:$M$105,2,FALSE),"")</x:f>
      </x:c>
      <x:c r="E13" s="94" t="str">
        <x:f>IFERROR(VLOOKUP(C13,'01 Staff Master'!$A$6:$M$105,3,FALSE),"")</x:f>
      </x:c>
      <x:c r="F13" s="92"/>
      <x:c r="G13" s="94" t="str">
        <x:f>IFERROR(VLOOKUP(F13,'02 Skill Catalogue'!$A$6:$K$95,4,FALSE),"")</x:f>
      </x:c>
      <x:c r="H13" s="92"/>
      <x:c r="I13" s="93"/>
      <x:c r="J13" s="92"/>
      <x:c r="K13" s="92"/>
      <x:c r="L13" s="92"/>
      <x:c r="M13" s="92"/>
      <x:c r="N13" s="94" t="str">
        <x:f>IFERROR(VLOOKUP(M13,'04 Assessment Log'!$A$6:$AE$155,15,FALSE),"")</x:f>
      </x:c>
      <x:c r="O13" s="94" t="str">
        <x:f>IF(OR(K13="",N13=""),"",N13-K13)</x:f>
      </x:c>
      <x:c r="P13" s="92"/>
      <x:c r="Q13" s="92"/>
      <x:c r="R13" s="92"/>
      <x:c r="S13" s="92"/>
      <x:c r="T13" s="92"/>
      <x:c r="U13" s="92"/>
      <x:c r="V13" s="92"/>
      <x:c r="W13" s="93"/>
      <x:c r="X13" s="94" t="str">
        <x:f>IF(A13="","",IF(V13&lt;&gt;"Verified","Pending HOD Verification",IF(T13="","Pending Review",IF(T13="Not Applicable","Closed — N/A",IF(M13="","Pending Reassessment",IF(AND(T13="Effective",N13&gt;=L13),"Closed — Effective","Further Action Required"))))))</x:f>
      </x:c>
      <x:c r="Y13" s="92"/>
    </x:row>
    <x:row r="14">
      <x:c r="A14" s="92"/>
      <x:c r="B14" s="92"/>
      <x:c r="C14" s="92"/>
      <x:c r="D14" s="94" t="str">
        <x:f>IFERROR(VLOOKUP(C14,'01 Staff Master'!$A$6:$M$105,2,FALSE),"")</x:f>
      </x:c>
      <x:c r="E14" s="94" t="str">
        <x:f>IFERROR(VLOOKUP(C14,'01 Staff Master'!$A$6:$M$105,3,FALSE),"")</x:f>
      </x:c>
      <x:c r="F14" s="92"/>
      <x:c r="G14" s="94" t="str">
        <x:f>IFERROR(VLOOKUP(F14,'02 Skill Catalogue'!$A$6:$K$95,4,FALSE),"")</x:f>
      </x:c>
      <x:c r="H14" s="92"/>
      <x:c r="I14" s="93"/>
      <x:c r="J14" s="92"/>
      <x:c r="K14" s="92"/>
      <x:c r="L14" s="92"/>
      <x:c r="M14" s="92"/>
      <x:c r="N14" s="94" t="str">
        <x:f>IFERROR(VLOOKUP(M14,'04 Assessment Log'!$A$6:$AE$155,15,FALSE),"")</x:f>
      </x:c>
      <x:c r="O14" s="94" t="str">
        <x:f>IF(OR(K14="",N14=""),"",N14-K14)</x:f>
      </x:c>
      <x:c r="P14" s="92"/>
      <x:c r="Q14" s="92"/>
      <x:c r="R14" s="92"/>
      <x:c r="S14" s="92"/>
      <x:c r="T14" s="92"/>
      <x:c r="U14" s="92"/>
      <x:c r="V14" s="92"/>
      <x:c r="W14" s="93"/>
      <x:c r="X14" s="94" t="str">
        <x:f>IF(A14="","",IF(V14&lt;&gt;"Verified","Pending HOD Verification",IF(T14="","Pending Review",IF(T14="Not Applicable","Closed — N/A",IF(M14="","Pending Reassessment",IF(AND(T14="Effective",N14&gt;=L14),"Closed — Effective","Further Action Required"))))))</x:f>
      </x:c>
      <x:c r="Y14" s="92"/>
    </x:row>
    <x:row r="15">
      <x:c r="A15" s="92"/>
      <x:c r="B15" s="92"/>
      <x:c r="C15" s="92"/>
      <x:c r="D15" s="94" t="str">
        <x:f>IFERROR(VLOOKUP(C15,'01 Staff Master'!$A$6:$M$105,2,FALSE),"")</x:f>
      </x:c>
      <x:c r="E15" s="94" t="str">
        <x:f>IFERROR(VLOOKUP(C15,'01 Staff Master'!$A$6:$M$105,3,FALSE),"")</x:f>
      </x:c>
      <x:c r="F15" s="92"/>
      <x:c r="G15" s="94" t="str">
        <x:f>IFERROR(VLOOKUP(F15,'02 Skill Catalogue'!$A$6:$K$95,4,FALSE),"")</x:f>
      </x:c>
      <x:c r="H15" s="92"/>
      <x:c r="I15" s="93"/>
      <x:c r="J15" s="92"/>
      <x:c r="K15" s="92"/>
      <x:c r="L15" s="92"/>
      <x:c r="M15" s="92"/>
      <x:c r="N15" s="94" t="str">
        <x:f>IFERROR(VLOOKUP(M15,'04 Assessment Log'!$A$6:$AE$155,15,FALSE),"")</x:f>
      </x:c>
      <x:c r="O15" s="94" t="str">
        <x:f>IF(OR(K15="",N15=""),"",N15-K15)</x:f>
      </x:c>
      <x:c r="P15" s="92"/>
      <x:c r="Q15" s="92"/>
      <x:c r="R15" s="92"/>
      <x:c r="S15" s="92"/>
      <x:c r="T15" s="92"/>
      <x:c r="U15" s="92"/>
      <x:c r="V15" s="92"/>
      <x:c r="W15" s="93"/>
      <x:c r="X15" s="94" t="str">
        <x:f>IF(A15="","",IF(V15&lt;&gt;"Verified","Pending HOD Verification",IF(T15="","Pending Review",IF(T15="Not Applicable","Closed — N/A",IF(M15="","Pending Reassessment",IF(AND(T15="Effective",N15&gt;=L15),"Closed — Effective","Further Action Required"))))))</x:f>
      </x:c>
      <x:c r="Y15" s="92"/>
    </x:row>
    <x:row r="16">
      <x:c r="A16" s="92"/>
      <x:c r="B16" s="92"/>
      <x:c r="C16" s="92"/>
      <x:c r="D16" s="94" t="str">
        <x:f>IFERROR(VLOOKUP(C16,'01 Staff Master'!$A$6:$M$105,2,FALSE),"")</x:f>
      </x:c>
      <x:c r="E16" s="94" t="str">
        <x:f>IFERROR(VLOOKUP(C16,'01 Staff Master'!$A$6:$M$105,3,FALSE),"")</x:f>
      </x:c>
      <x:c r="F16" s="92"/>
      <x:c r="G16" s="94" t="str">
        <x:f>IFERROR(VLOOKUP(F16,'02 Skill Catalogue'!$A$6:$K$95,4,FALSE),"")</x:f>
      </x:c>
      <x:c r="H16" s="92"/>
      <x:c r="I16" s="93"/>
      <x:c r="J16" s="92"/>
      <x:c r="K16" s="92"/>
      <x:c r="L16" s="92"/>
      <x:c r="M16" s="92"/>
      <x:c r="N16" s="94" t="str">
        <x:f>IFERROR(VLOOKUP(M16,'04 Assessment Log'!$A$6:$AE$155,15,FALSE),"")</x:f>
      </x:c>
      <x:c r="O16" s="94" t="str">
        <x:f>IF(OR(K16="",N16=""),"",N16-K16)</x:f>
      </x:c>
      <x:c r="P16" s="92"/>
      <x:c r="Q16" s="92"/>
      <x:c r="R16" s="92"/>
      <x:c r="S16" s="92"/>
      <x:c r="T16" s="92"/>
      <x:c r="U16" s="92"/>
      <x:c r="V16" s="92"/>
      <x:c r="W16" s="93"/>
      <x:c r="X16" s="94" t="str">
        <x:f>IF(A16="","",IF(V16&lt;&gt;"Verified","Pending HOD Verification",IF(T16="","Pending Review",IF(T16="Not Applicable","Closed — N/A",IF(M16="","Pending Reassessment",IF(AND(T16="Effective",N16&gt;=L16),"Closed — Effective","Further Action Required"))))))</x:f>
      </x:c>
      <x:c r="Y16" s="92"/>
    </x:row>
    <x:row r="17">
      <x:c r="A17" s="92"/>
      <x:c r="B17" s="92"/>
      <x:c r="C17" s="92"/>
      <x:c r="D17" s="94" t="str">
        <x:f>IFERROR(VLOOKUP(C17,'01 Staff Master'!$A$6:$M$105,2,FALSE),"")</x:f>
      </x:c>
      <x:c r="E17" s="94" t="str">
        <x:f>IFERROR(VLOOKUP(C17,'01 Staff Master'!$A$6:$M$105,3,FALSE),"")</x:f>
      </x:c>
      <x:c r="F17" s="92"/>
      <x:c r="G17" s="94" t="str">
        <x:f>IFERROR(VLOOKUP(F17,'02 Skill Catalogue'!$A$6:$K$95,4,FALSE),"")</x:f>
      </x:c>
      <x:c r="H17" s="92"/>
      <x:c r="I17" s="93"/>
      <x:c r="J17" s="92"/>
      <x:c r="K17" s="92"/>
      <x:c r="L17" s="92"/>
      <x:c r="M17" s="92"/>
      <x:c r="N17" s="94" t="str">
        <x:f>IFERROR(VLOOKUP(M17,'04 Assessment Log'!$A$6:$AE$155,15,FALSE),"")</x:f>
      </x:c>
      <x:c r="O17" s="94" t="str">
        <x:f>IF(OR(K17="",N17=""),"",N17-K17)</x:f>
      </x:c>
      <x:c r="P17" s="92"/>
      <x:c r="Q17" s="92"/>
      <x:c r="R17" s="92"/>
      <x:c r="S17" s="92"/>
      <x:c r="T17" s="92"/>
      <x:c r="U17" s="92"/>
      <x:c r="V17" s="92"/>
      <x:c r="W17" s="93"/>
      <x:c r="X17" s="94" t="str">
        <x:f>IF(A17="","",IF(V17&lt;&gt;"Verified","Pending HOD Verification",IF(T17="","Pending Review",IF(T17="Not Applicable","Closed — N/A",IF(M17="","Pending Reassessment",IF(AND(T17="Effective",N17&gt;=L17),"Closed — Effective","Further Action Required"))))))</x:f>
      </x:c>
      <x:c r="Y17" s="92"/>
    </x:row>
    <x:row r="18">
      <x:c r="A18" s="92"/>
      <x:c r="B18" s="92"/>
      <x:c r="C18" s="92"/>
      <x:c r="D18" s="94" t="str">
        <x:f>IFERROR(VLOOKUP(C18,'01 Staff Master'!$A$6:$M$105,2,FALSE),"")</x:f>
      </x:c>
      <x:c r="E18" s="94" t="str">
        <x:f>IFERROR(VLOOKUP(C18,'01 Staff Master'!$A$6:$M$105,3,FALSE),"")</x:f>
      </x:c>
      <x:c r="F18" s="92"/>
      <x:c r="G18" s="94" t="str">
        <x:f>IFERROR(VLOOKUP(F18,'02 Skill Catalogue'!$A$6:$K$95,4,FALSE),"")</x:f>
      </x:c>
      <x:c r="H18" s="92"/>
      <x:c r="I18" s="93"/>
      <x:c r="J18" s="92"/>
      <x:c r="K18" s="92"/>
      <x:c r="L18" s="92"/>
      <x:c r="M18" s="92"/>
      <x:c r="N18" s="94" t="str">
        <x:f>IFERROR(VLOOKUP(M18,'04 Assessment Log'!$A$6:$AE$155,15,FALSE),"")</x:f>
      </x:c>
      <x:c r="O18" s="94" t="str">
        <x:f>IF(OR(K18="",N18=""),"",N18-K18)</x:f>
      </x:c>
      <x:c r="P18" s="92"/>
      <x:c r="Q18" s="92"/>
      <x:c r="R18" s="92"/>
      <x:c r="S18" s="92"/>
      <x:c r="T18" s="92"/>
      <x:c r="U18" s="92"/>
      <x:c r="V18" s="92"/>
      <x:c r="W18" s="93"/>
      <x:c r="X18" s="94" t="str">
        <x:f>IF(A18="","",IF(V18&lt;&gt;"Verified","Pending HOD Verification",IF(T18="","Pending Review",IF(T18="Not Applicable","Closed — N/A",IF(M18="","Pending Reassessment",IF(AND(T18="Effective",N18&gt;=L18),"Closed — Effective","Further Action Required"))))))</x:f>
      </x:c>
      <x:c r="Y18" s="92"/>
    </x:row>
    <x:row r="19">
      <x:c r="A19" s="92"/>
      <x:c r="B19" s="92"/>
      <x:c r="C19" s="92"/>
      <x:c r="D19" s="94" t="str">
        <x:f>IFERROR(VLOOKUP(C19,'01 Staff Master'!$A$6:$M$105,2,FALSE),"")</x:f>
      </x:c>
      <x:c r="E19" s="94" t="str">
        <x:f>IFERROR(VLOOKUP(C19,'01 Staff Master'!$A$6:$M$105,3,FALSE),"")</x:f>
      </x:c>
      <x:c r="F19" s="92"/>
      <x:c r="G19" s="94" t="str">
        <x:f>IFERROR(VLOOKUP(F19,'02 Skill Catalogue'!$A$6:$K$95,4,FALSE),"")</x:f>
      </x:c>
      <x:c r="H19" s="92"/>
      <x:c r="I19" s="93"/>
      <x:c r="J19" s="92"/>
      <x:c r="K19" s="92"/>
      <x:c r="L19" s="92"/>
      <x:c r="M19" s="92"/>
      <x:c r="N19" s="94" t="str">
        <x:f>IFERROR(VLOOKUP(M19,'04 Assessment Log'!$A$6:$AE$155,15,FALSE),"")</x:f>
      </x:c>
      <x:c r="O19" s="94" t="str">
        <x:f>IF(OR(K19="",N19=""),"",N19-K19)</x:f>
      </x:c>
      <x:c r="P19" s="92"/>
      <x:c r="Q19" s="92"/>
      <x:c r="R19" s="92"/>
      <x:c r="S19" s="92"/>
      <x:c r="T19" s="92"/>
      <x:c r="U19" s="92"/>
      <x:c r="V19" s="92"/>
      <x:c r="W19" s="93"/>
      <x:c r="X19" s="94" t="str">
        <x:f>IF(A19="","",IF(V19&lt;&gt;"Verified","Pending HOD Verification",IF(T19="","Pending Review",IF(T19="Not Applicable","Closed — N/A",IF(M19="","Pending Reassessment",IF(AND(T19="Effective",N19&gt;=L19),"Closed — Effective","Further Action Required"))))))</x:f>
      </x:c>
      <x:c r="Y19" s="92"/>
    </x:row>
    <x:row r="20">
      <x:c r="A20" s="92"/>
      <x:c r="B20" s="92"/>
      <x:c r="C20" s="92"/>
      <x:c r="D20" s="94" t="str">
        <x:f>IFERROR(VLOOKUP(C20,'01 Staff Master'!$A$6:$M$105,2,FALSE),"")</x:f>
      </x:c>
      <x:c r="E20" s="94" t="str">
        <x:f>IFERROR(VLOOKUP(C20,'01 Staff Master'!$A$6:$M$105,3,FALSE),"")</x:f>
      </x:c>
      <x:c r="F20" s="92"/>
      <x:c r="G20" s="94" t="str">
        <x:f>IFERROR(VLOOKUP(F20,'02 Skill Catalogue'!$A$6:$K$95,4,FALSE),"")</x:f>
      </x:c>
      <x:c r="H20" s="92"/>
      <x:c r="I20" s="93"/>
      <x:c r="J20" s="92"/>
      <x:c r="K20" s="92"/>
      <x:c r="L20" s="92"/>
      <x:c r="M20" s="92"/>
      <x:c r="N20" s="94" t="str">
        <x:f>IFERROR(VLOOKUP(M20,'04 Assessment Log'!$A$6:$AE$155,15,FALSE),"")</x:f>
      </x:c>
      <x:c r="O20" s="94" t="str">
        <x:f>IF(OR(K20="",N20=""),"",N20-K20)</x:f>
      </x:c>
      <x:c r="P20" s="92"/>
      <x:c r="Q20" s="92"/>
      <x:c r="R20" s="92"/>
      <x:c r="S20" s="92"/>
      <x:c r="T20" s="92"/>
      <x:c r="U20" s="92"/>
      <x:c r="V20" s="92"/>
      <x:c r="W20" s="93"/>
      <x:c r="X20" s="94" t="str">
        <x:f>IF(A20="","",IF(V20&lt;&gt;"Verified","Pending HOD Verification",IF(T20="","Pending Review",IF(T20="Not Applicable","Closed — N/A",IF(M20="","Pending Reassessment",IF(AND(T20="Effective",N20&gt;=L20),"Closed — Effective","Further Action Required"))))))</x:f>
      </x:c>
      <x:c r="Y20" s="92"/>
    </x:row>
    <x:row r="21">
      <x:c r="A21" s="92"/>
      <x:c r="B21" s="92"/>
      <x:c r="C21" s="92"/>
      <x:c r="D21" s="94" t="str">
        <x:f>IFERROR(VLOOKUP(C21,'01 Staff Master'!$A$6:$M$105,2,FALSE),"")</x:f>
      </x:c>
      <x:c r="E21" s="94" t="str">
        <x:f>IFERROR(VLOOKUP(C21,'01 Staff Master'!$A$6:$M$105,3,FALSE),"")</x:f>
      </x:c>
      <x:c r="F21" s="92"/>
      <x:c r="G21" s="94" t="str">
        <x:f>IFERROR(VLOOKUP(F21,'02 Skill Catalogue'!$A$6:$K$95,4,FALSE),"")</x:f>
      </x:c>
      <x:c r="H21" s="92"/>
      <x:c r="I21" s="93"/>
      <x:c r="J21" s="92"/>
      <x:c r="K21" s="92"/>
      <x:c r="L21" s="92"/>
      <x:c r="M21" s="92"/>
      <x:c r="N21" s="94" t="str">
        <x:f>IFERROR(VLOOKUP(M21,'04 Assessment Log'!$A$6:$AE$155,15,FALSE),"")</x:f>
      </x:c>
      <x:c r="O21" s="94" t="str">
        <x:f>IF(OR(K21="",N21=""),"",N21-K21)</x:f>
      </x:c>
      <x:c r="P21" s="92"/>
      <x:c r="Q21" s="92"/>
      <x:c r="R21" s="92"/>
      <x:c r="S21" s="92"/>
      <x:c r="T21" s="92"/>
      <x:c r="U21" s="92"/>
      <x:c r="V21" s="92"/>
      <x:c r="W21" s="93"/>
      <x:c r="X21" s="94" t="str">
        <x:f>IF(A21="","",IF(V21&lt;&gt;"Verified","Pending HOD Verification",IF(T21="","Pending Review",IF(T21="Not Applicable","Closed — N/A",IF(M21="","Pending Reassessment",IF(AND(T21="Effective",N21&gt;=L21),"Closed — Effective","Further Action Required"))))))</x:f>
      </x:c>
      <x:c r="Y21" s="92"/>
    </x:row>
    <x:row r="22">
      <x:c r="A22" s="92"/>
      <x:c r="B22" s="92"/>
      <x:c r="C22" s="92"/>
      <x:c r="D22" s="94" t="str">
        <x:f>IFERROR(VLOOKUP(C22,'01 Staff Master'!$A$6:$M$105,2,FALSE),"")</x:f>
      </x:c>
      <x:c r="E22" s="94" t="str">
        <x:f>IFERROR(VLOOKUP(C22,'01 Staff Master'!$A$6:$M$105,3,FALSE),"")</x:f>
      </x:c>
      <x:c r="F22" s="92"/>
      <x:c r="G22" s="94" t="str">
        <x:f>IFERROR(VLOOKUP(F22,'02 Skill Catalogue'!$A$6:$K$95,4,FALSE),"")</x:f>
      </x:c>
      <x:c r="H22" s="92"/>
      <x:c r="I22" s="93"/>
      <x:c r="J22" s="92"/>
      <x:c r="K22" s="92"/>
      <x:c r="L22" s="92"/>
      <x:c r="M22" s="92"/>
      <x:c r="N22" s="94" t="str">
        <x:f>IFERROR(VLOOKUP(M22,'04 Assessment Log'!$A$6:$AE$155,15,FALSE),"")</x:f>
      </x:c>
      <x:c r="O22" s="94" t="str">
        <x:f>IF(OR(K22="",N22=""),"",N22-K22)</x:f>
      </x:c>
      <x:c r="P22" s="92"/>
      <x:c r="Q22" s="92"/>
      <x:c r="R22" s="92"/>
      <x:c r="S22" s="92"/>
      <x:c r="T22" s="92"/>
      <x:c r="U22" s="92"/>
      <x:c r="V22" s="92"/>
      <x:c r="W22" s="93"/>
      <x:c r="X22" s="94" t="str">
        <x:f>IF(A22="","",IF(V22&lt;&gt;"Verified","Pending HOD Verification",IF(T22="","Pending Review",IF(T22="Not Applicable","Closed — N/A",IF(M22="","Pending Reassessment",IF(AND(T22="Effective",N22&gt;=L22),"Closed — Effective","Further Action Required"))))))</x:f>
      </x:c>
      <x:c r="Y22" s="92"/>
    </x:row>
    <x:row r="23">
      <x:c r="A23" s="92"/>
      <x:c r="B23" s="92"/>
      <x:c r="C23" s="92"/>
      <x:c r="D23" s="94" t="str">
        <x:f>IFERROR(VLOOKUP(C23,'01 Staff Master'!$A$6:$M$105,2,FALSE),"")</x:f>
      </x:c>
      <x:c r="E23" s="94" t="str">
        <x:f>IFERROR(VLOOKUP(C23,'01 Staff Master'!$A$6:$M$105,3,FALSE),"")</x:f>
      </x:c>
      <x:c r="F23" s="92"/>
      <x:c r="G23" s="94" t="str">
        <x:f>IFERROR(VLOOKUP(F23,'02 Skill Catalogue'!$A$6:$K$95,4,FALSE),"")</x:f>
      </x:c>
      <x:c r="H23" s="92"/>
      <x:c r="I23" s="93"/>
      <x:c r="J23" s="92"/>
      <x:c r="K23" s="92"/>
      <x:c r="L23" s="92"/>
      <x:c r="M23" s="92"/>
      <x:c r="N23" s="94" t="str">
        <x:f>IFERROR(VLOOKUP(M23,'04 Assessment Log'!$A$6:$AE$155,15,FALSE),"")</x:f>
      </x:c>
      <x:c r="O23" s="94" t="str">
        <x:f>IF(OR(K23="",N23=""),"",N23-K23)</x:f>
      </x:c>
      <x:c r="P23" s="92"/>
      <x:c r="Q23" s="92"/>
      <x:c r="R23" s="92"/>
      <x:c r="S23" s="92"/>
      <x:c r="T23" s="92"/>
      <x:c r="U23" s="92"/>
      <x:c r="V23" s="92"/>
      <x:c r="W23" s="93"/>
      <x:c r="X23" s="94" t="str">
        <x:f>IF(A23="","",IF(V23&lt;&gt;"Verified","Pending HOD Verification",IF(T23="","Pending Review",IF(T23="Not Applicable","Closed — N/A",IF(M23="","Pending Reassessment",IF(AND(T23="Effective",N23&gt;=L23),"Closed — Effective","Further Action Required"))))))</x:f>
      </x:c>
      <x:c r="Y23" s="92"/>
    </x:row>
    <x:row r="24">
      <x:c r="A24" s="92"/>
      <x:c r="B24" s="92"/>
      <x:c r="C24" s="92"/>
      <x:c r="D24" s="94" t="str">
        <x:f>IFERROR(VLOOKUP(C24,'01 Staff Master'!$A$6:$M$105,2,FALSE),"")</x:f>
      </x:c>
      <x:c r="E24" s="94" t="str">
        <x:f>IFERROR(VLOOKUP(C24,'01 Staff Master'!$A$6:$M$105,3,FALSE),"")</x:f>
      </x:c>
      <x:c r="F24" s="92"/>
      <x:c r="G24" s="94" t="str">
        <x:f>IFERROR(VLOOKUP(F24,'02 Skill Catalogue'!$A$6:$K$95,4,FALSE),"")</x:f>
      </x:c>
      <x:c r="H24" s="92"/>
      <x:c r="I24" s="93"/>
      <x:c r="J24" s="92"/>
      <x:c r="K24" s="92"/>
      <x:c r="L24" s="92"/>
      <x:c r="M24" s="92"/>
      <x:c r="N24" s="94" t="str">
        <x:f>IFERROR(VLOOKUP(M24,'04 Assessment Log'!$A$6:$AE$155,15,FALSE),"")</x:f>
      </x:c>
      <x:c r="O24" s="94" t="str">
        <x:f>IF(OR(K24="",N24=""),"",N24-K24)</x:f>
      </x:c>
      <x:c r="P24" s="92"/>
      <x:c r="Q24" s="92"/>
      <x:c r="R24" s="92"/>
      <x:c r="S24" s="92"/>
      <x:c r="T24" s="92"/>
      <x:c r="U24" s="92"/>
      <x:c r="V24" s="92"/>
      <x:c r="W24" s="93"/>
      <x:c r="X24" s="94" t="str">
        <x:f>IF(A24="","",IF(V24&lt;&gt;"Verified","Pending HOD Verification",IF(T24="","Pending Review",IF(T24="Not Applicable","Closed — N/A",IF(M24="","Pending Reassessment",IF(AND(T24="Effective",N24&gt;=L24),"Closed — Effective","Further Action Required"))))))</x:f>
      </x:c>
      <x:c r="Y24" s="92"/>
    </x:row>
    <x:row r="25">
      <x:c r="A25" s="92"/>
      <x:c r="B25" s="92"/>
      <x:c r="C25" s="92"/>
      <x:c r="D25" s="94" t="str">
        <x:f>IFERROR(VLOOKUP(C25,'01 Staff Master'!$A$6:$M$105,2,FALSE),"")</x:f>
      </x:c>
      <x:c r="E25" s="94" t="str">
        <x:f>IFERROR(VLOOKUP(C25,'01 Staff Master'!$A$6:$M$105,3,FALSE),"")</x:f>
      </x:c>
      <x:c r="F25" s="92"/>
      <x:c r="G25" s="94" t="str">
        <x:f>IFERROR(VLOOKUP(F25,'02 Skill Catalogue'!$A$6:$K$95,4,FALSE),"")</x:f>
      </x:c>
      <x:c r="H25" s="92"/>
      <x:c r="I25" s="93"/>
      <x:c r="J25" s="92"/>
      <x:c r="K25" s="92"/>
      <x:c r="L25" s="92"/>
      <x:c r="M25" s="92"/>
      <x:c r="N25" s="94" t="str">
        <x:f>IFERROR(VLOOKUP(M25,'04 Assessment Log'!$A$6:$AE$155,15,FALSE),"")</x:f>
      </x:c>
      <x:c r="O25" s="94" t="str">
        <x:f>IF(OR(K25="",N25=""),"",N25-K25)</x:f>
      </x:c>
      <x:c r="P25" s="92"/>
      <x:c r="Q25" s="92"/>
      <x:c r="R25" s="92"/>
      <x:c r="S25" s="92"/>
      <x:c r="T25" s="92"/>
      <x:c r="U25" s="92"/>
      <x:c r="V25" s="92"/>
      <x:c r="W25" s="93"/>
      <x:c r="X25" s="94" t="str">
        <x:f>IF(A25="","",IF(V25&lt;&gt;"Verified","Pending HOD Verification",IF(T25="","Pending Review",IF(T25="Not Applicable","Closed — N/A",IF(M25="","Pending Reassessment",IF(AND(T25="Effective",N25&gt;=L25),"Closed — Effective","Further Action Required"))))))</x:f>
      </x:c>
      <x:c r="Y25" s="92"/>
    </x:row>
    <x:row r="26">
      <x:c r="A26" s="92"/>
      <x:c r="B26" s="92"/>
      <x:c r="C26" s="92"/>
      <x:c r="D26" s="94" t="str">
        <x:f>IFERROR(VLOOKUP(C26,'01 Staff Master'!$A$6:$M$105,2,FALSE),"")</x:f>
      </x:c>
      <x:c r="E26" s="94" t="str">
        <x:f>IFERROR(VLOOKUP(C26,'01 Staff Master'!$A$6:$M$105,3,FALSE),"")</x:f>
      </x:c>
      <x:c r="F26" s="92"/>
      <x:c r="G26" s="94" t="str">
        <x:f>IFERROR(VLOOKUP(F26,'02 Skill Catalogue'!$A$6:$K$95,4,FALSE),"")</x:f>
      </x:c>
      <x:c r="H26" s="92"/>
      <x:c r="I26" s="93"/>
      <x:c r="J26" s="92"/>
      <x:c r="K26" s="92"/>
      <x:c r="L26" s="92"/>
      <x:c r="M26" s="92"/>
      <x:c r="N26" s="94" t="str">
        <x:f>IFERROR(VLOOKUP(M26,'04 Assessment Log'!$A$6:$AE$155,15,FALSE),"")</x:f>
      </x:c>
      <x:c r="O26" s="94" t="str">
        <x:f>IF(OR(K26="",N26=""),"",N26-K26)</x:f>
      </x:c>
      <x:c r="P26" s="92"/>
      <x:c r="Q26" s="92"/>
      <x:c r="R26" s="92"/>
      <x:c r="S26" s="92"/>
      <x:c r="T26" s="92"/>
      <x:c r="U26" s="92"/>
      <x:c r="V26" s="92"/>
      <x:c r="W26" s="93"/>
      <x:c r="X26" s="94" t="str">
        <x:f>IF(A26="","",IF(V26&lt;&gt;"Verified","Pending HOD Verification",IF(T26="","Pending Review",IF(T26="Not Applicable","Closed — N/A",IF(M26="","Pending Reassessment",IF(AND(T26="Effective",N26&gt;=L26),"Closed — Effective","Further Action Required"))))))</x:f>
      </x:c>
      <x:c r="Y26" s="92"/>
    </x:row>
    <x:row r="27">
      <x:c r="A27" s="92"/>
      <x:c r="B27" s="92"/>
      <x:c r="C27" s="92"/>
      <x:c r="D27" s="94" t="str">
        <x:f>IFERROR(VLOOKUP(C27,'01 Staff Master'!$A$6:$M$105,2,FALSE),"")</x:f>
      </x:c>
      <x:c r="E27" s="94" t="str">
        <x:f>IFERROR(VLOOKUP(C27,'01 Staff Master'!$A$6:$M$105,3,FALSE),"")</x:f>
      </x:c>
      <x:c r="F27" s="92"/>
      <x:c r="G27" s="94" t="str">
        <x:f>IFERROR(VLOOKUP(F27,'02 Skill Catalogue'!$A$6:$K$95,4,FALSE),"")</x:f>
      </x:c>
      <x:c r="H27" s="92"/>
      <x:c r="I27" s="93"/>
      <x:c r="J27" s="92"/>
      <x:c r="K27" s="92"/>
      <x:c r="L27" s="92"/>
      <x:c r="M27" s="92"/>
      <x:c r="N27" s="94" t="str">
        <x:f>IFERROR(VLOOKUP(M27,'04 Assessment Log'!$A$6:$AE$155,15,FALSE),"")</x:f>
      </x:c>
      <x:c r="O27" s="94" t="str">
        <x:f>IF(OR(K27="",N27=""),"",N27-K27)</x:f>
      </x:c>
      <x:c r="P27" s="92"/>
      <x:c r="Q27" s="92"/>
      <x:c r="R27" s="92"/>
      <x:c r="S27" s="92"/>
      <x:c r="T27" s="92"/>
      <x:c r="U27" s="92"/>
      <x:c r="V27" s="92"/>
      <x:c r="W27" s="93"/>
      <x:c r="X27" s="94" t="str">
        <x:f>IF(A27="","",IF(V27&lt;&gt;"Verified","Pending HOD Verification",IF(T27="","Pending Review",IF(T27="Not Applicable","Closed — N/A",IF(M27="","Pending Reassessment",IF(AND(T27="Effective",N27&gt;=L27),"Closed — Effective","Further Action Required"))))))</x:f>
      </x:c>
      <x:c r="Y27" s="92"/>
    </x:row>
    <x:row r="28">
      <x:c r="A28" s="92"/>
      <x:c r="B28" s="92"/>
      <x:c r="C28" s="92"/>
      <x:c r="D28" s="94" t="str">
        <x:f>IFERROR(VLOOKUP(C28,'01 Staff Master'!$A$6:$M$105,2,FALSE),"")</x:f>
      </x:c>
      <x:c r="E28" s="94" t="str">
        <x:f>IFERROR(VLOOKUP(C28,'01 Staff Master'!$A$6:$M$105,3,FALSE),"")</x:f>
      </x:c>
      <x:c r="F28" s="92"/>
      <x:c r="G28" s="94" t="str">
        <x:f>IFERROR(VLOOKUP(F28,'02 Skill Catalogue'!$A$6:$K$95,4,FALSE),"")</x:f>
      </x:c>
      <x:c r="H28" s="92"/>
      <x:c r="I28" s="93"/>
      <x:c r="J28" s="92"/>
      <x:c r="K28" s="92"/>
      <x:c r="L28" s="92"/>
      <x:c r="M28" s="92"/>
      <x:c r="N28" s="94" t="str">
        <x:f>IFERROR(VLOOKUP(M28,'04 Assessment Log'!$A$6:$AE$155,15,FALSE),"")</x:f>
      </x:c>
      <x:c r="O28" s="94" t="str">
        <x:f>IF(OR(K28="",N28=""),"",N28-K28)</x:f>
      </x:c>
      <x:c r="P28" s="92"/>
      <x:c r="Q28" s="92"/>
      <x:c r="R28" s="92"/>
      <x:c r="S28" s="92"/>
      <x:c r="T28" s="92"/>
      <x:c r="U28" s="92"/>
      <x:c r="V28" s="92"/>
      <x:c r="W28" s="93"/>
      <x:c r="X28" s="94" t="str">
        <x:f>IF(A28="","",IF(V28&lt;&gt;"Verified","Pending HOD Verification",IF(T28="","Pending Review",IF(T28="Not Applicable","Closed — N/A",IF(M28="","Pending Reassessment",IF(AND(T28="Effective",N28&gt;=L28),"Closed — Effective","Further Action Required"))))))</x:f>
      </x:c>
      <x:c r="Y28" s="92"/>
    </x:row>
    <x:row r="29">
      <x:c r="A29" s="92"/>
      <x:c r="B29" s="92"/>
      <x:c r="C29" s="92"/>
      <x:c r="D29" s="94" t="str">
        <x:f>IFERROR(VLOOKUP(C29,'01 Staff Master'!$A$6:$M$105,2,FALSE),"")</x:f>
      </x:c>
      <x:c r="E29" s="94" t="str">
        <x:f>IFERROR(VLOOKUP(C29,'01 Staff Master'!$A$6:$M$105,3,FALSE),"")</x:f>
      </x:c>
      <x:c r="F29" s="92"/>
      <x:c r="G29" s="94" t="str">
        <x:f>IFERROR(VLOOKUP(F29,'02 Skill Catalogue'!$A$6:$K$95,4,FALSE),"")</x:f>
      </x:c>
      <x:c r="H29" s="92"/>
      <x:c r="I29" s="93"/>
      <x:c r="J29" s="92"/>
      <x:c r="K29" s="92"/>
      <x:c r="L29" s="92"/>
      <x:c r="M29" s="92"/>
      <x:c r="N29" s="94" t="str">
        <x:f>IFERROR(VLOOKUP(M29,'04 Assessment Log'!$A$6:$AE$155,15,FALSE),"")</x:f>
      </x:c>
      <x:c r="O29" s="94" t="str">
        <x:f>IF(OR(K29="",N29=""),"",N29-K29)</x:f>
      </x:c>
      <x:c r="P29" s="92"/>
      <x:c r="Q29" s="92"/>
      <x:c r="R29" s="92"/>
      <x:c r="S29" s="92"/>
      <x:c r="T29" s="92"/>
      <x:c r="U29" s="92"/>
      <x:c r="V29" s="92"/>
      <x:c r="W29" s="93"/>
      <x:c r="X29" s="94" t="str">
        <x:f>IF(A29="","",IF(V29&lt;&gt;"Verified","Pending HOD Verification",IF(T29="","Pending Review",IF(T29="Not Applicable","Closed — N/A",IF(M29="","Pending Reassessment",IF(AND(T29="Effective",N29&gt;=L29),"Closed — Effective","Further Action Required"))))))</x:f>
      </x:c>
      <x:c r="Y29" s="92"/>
    </x:row>
    <x:row r="30">
      <x:c r="A30" s="92"/>
      <x:c r="B30" s="92"/>
      <x:c r="C30" s="92"/>
      <x:c r="D30" s="94" t="str">
        <x:f>IFERROR(VLOOKUP(C30,'01 Staff Master'!$A$6:$M$105,2,FALSE),"")</x:f>
      </x:c>
      <x:c r="E30" s="94" t="str">
        <x:f>IFERROR(VLOOKUP(C30,'01 Staff Master'!$A$6:$M$105,3,FALSE),"")</x:f>
      </x:c>
      <x:c r="F30" s="92"/>
      <x:c r="G30" s="94" t="str">
        <x:f>IFERROR(VLOOKUP(F30,'02 Skill Catalogue'!$A$6:$K$95,4,FALSE),"")</x:f>
      </x:c>
      <x:c r="H30" s="92"/>
      <x:c r="I30" s="93"/>
      <x:c r="J30" s="92"/>
      <x:c r="K30" s="92"/>
      <x:c r="L30" s="92"/>
      <x:c r="M30" s="92"/>
      <x:c r="N30" s="94" t="str">
        <x:f>IFERROR(VLOOKUP(M30,'04 Assessment Log'!$A$6:$AE$155,15,FALSE),"")</x:f>
      </x:c>
      <x:c r="O30" s="94" t="str">
        <x:f>IF(OR(K30="",N30=""),"",N30-K30)</x:f>
      </x:c>
      <x:c r="P30" s="92"/>
      <x:c r="Q30" s="92"/>
      <x:c r="R30" s="92"/>
      <x:c r="S30" s="92"/>
      <x:c r="T30" s="92"/>
      <x:c r="U30" s="92"/>
      <x:c r="V30" s="92"/>
      <x:c r="W30" s="93"/>
      <x:c r="X30" s="94" t="str">
        <x:f>IF(A30="","",IF(V30&lt;&gt;"Verified","Pending HOD Verification",IF(T30="","Pending Review",IF(T30="Not Applicable","Closed — N/A",IF(M30="","Pending Reassessment",IF(AND(T30="Effective",N30&gt;=L30),"Closed — Effective","Further Action Required"))))))</x:f>
      </x:c>
      <x:c r="Y30" s="92"/>
    </x:row>
    <x:row r="31">
      <x:c r="A31" s="92"/>
      <x:c r="B31" s="92"/>
      <x:c r="C31" s="92"/>
      <x:c r="D31" s="94" t="str">
        <x:f>IFERROR(VLOOKUP(C31,'01 Staff Master'!$A$6:$M$105,2,FALSE),"")</x:f>
      </x:c>
      <x:c r="E31" s="94" t="str">
        <x:f>IFERROR(VLOOKUP(C31,'01 Staff Master'!$A$6:$M$105,3,FALSE),"")</x:f>
      </x:c>
      <x:c r="F31" s="92"/>
      <x:c r="G31" s="94" t="str">
        <x:f>IFERROR(VLOOKUP(F31,'02 Skill Catalogue'!$A$6:$K$95,4,FALSE),"")</x:f>
      </x:c>
      <x:c r="H31" s="92"/>
      <x:c r="I31" s="93"/>
      <x:c r="J31" s="92"/>
      <x:c r="K31" s="92"/>
      <x:c r="L31" s="92"/>
      <x:c r="M31" s="92"/>
      <x:c r="N31" s="94" t="str">
        <x:f>IFERROR(VLOOKUP(M31,'04 Assessment Log'!$A$6:$AE$155,15,FALSE),"")</x:f>
      </x:c>
      <x:c r="O31" s="94" t="str">
        <x:f>IF(OR(K31="",N31=""),"",N31-K31)</x:f>
      </x:c>
      <x:c r="P31" s="92"/>
      <x:c r="Q31" s="92"/>
      <x:c r="R31" s="92"/>
      <x:c r="S31" s="92"/>
      <x:c r="T31" s="92"/>
      <x:c r="U31" s="92"/>
      <x:c r="V31" s="92"/>
      <x:c r="W31" s="93"/>
      <x:c r="X31" s="94" t="str">
        <x:f>IF(A31="","",IF(V31&lt;&gt;"Verified","Pending HOD Verification",IF(T31="","Pending Review",IF(T31="Not Applicable","Closed — N/A",IF(M31="","Pending Reassessment",IF(AND(T31="Effective",N31&gt;=L31),"Closed — Effective","Further Action Required"))))))</x:f>
      </x:c>
      <x:c r="Y31" s="92"/>
    </x:row>
    <x:row r="32">
      <x:c r="A32" s="92"/>
      <x:c r="B32" s="92"/>
      <x:c r="C32" s="92"/>
      <x:c r="D32" s="94" t="str">
        <x:f>IFERROR(VLOOKUP(C32,'01 Staff Master'!$A$6:$M$105,2,FALSE),"")</x:f>
      </x:c>
      <x:c r="E32" s="94" t="str">
        <x:f>IFERROR(VLOOKUP(C32,'01 Staff Master'!$A$6:$M$105,3,FALSE),"")</x:f>
      </x:c>
      <x:c r="F32" s="92"/>
      <x:c r="G32" s="94" t="str">
        <x:f>IFERROR(VLOOKUP(F32,'02 Skill Catalogue'!$A$6:$K$95,4,FALSE),"")</x:f>
      </x:c>
      <x:c r="H32" s="92"/>
      <x:c r="I32" s="93"/>
      <x:c r="J32" s="92"/>
      <x:c r="K32" s="92"/>
      <x:c r="L32" s="92"/>
      <x:c r="M32" s="92"/>
      <x:c r="N32" s="94" t="str">
        <x:f>IFERROR(VLOOKUP(M32,'04 Assessment Log'!$A$6:$AE$155,15,FALSE),"")</x:f>
      </x:c>
      <x:c r="O32" s="94" t="str">
        <x:f>IF(OR(K32="",N32=""),"",N32-K32)</x:f>
      </x:c>
      <x:c r="P32" s="92"/>
      <x:c r="Q32" s="92"/>
      <x:c r="R32" s="92"/>
      <x:c r="S32" s="92"/>
      <x:c r="T32" s="92"/>
      <x:c r="U32" s="92"/>
      <x:c r="V32" s="92"/>
      <x:c r="W32" s="93"/>
      <x:c r="X32" s="94" t="str">
        <x:f>IF(A32="","",IF(V32&lt;&gt;"Verified","Pending HOD Verification",IF(T32="","Pending Review",IF(T32="Not Applicable","Closed — N/A",IF(M32="","Pending Reassessment",IF(AND(T32="Effective",N32&gt;=L32),"Closed — Effective","Further Action Required"))))))</x:f>
      </x:c>
      <x:c r="Y32" s="92"/>
    </x:row>
    <x:row r="33">
      <x:c r="A33" s="92"/>
      <x:c r="B33" s="92"/>
      <x:c r="C33" s="92"/>
      <x:c r="D33" s="94" t="str">
        <x:f>IFERROR(VLOOKUP(C33,'01 Staff Master'!$A$6:$M$105,2,FALSE),"")</x:f>
      </x:c>
      <x:c r="E33" s="94" t="str">
        <x:f>IFERROR(VLOOKUP(C33,'01 Staff Master'!$A$6:$M$105,3,FALSE),"")</x:f>
      </x:c>
      <x:c r="F33" s="92"/>
      <x:c r="G33" s="94" t="str">
        <x:f>IFERROR(VLOOKUP(F33,'02 Skill Catalogue'!$A$6:$K$95,4,FALSE),"")</x:f>
      </x:c>
      <x:c r="H33" s="92"/>
      <x:c r="I33" s="93"/>
      <x:c r="J33" s="92"/>
      <x:c r="K33" s="92"/>
      <x:c r="L33" s="92"/>
      <x:c r="M33" s="92"/>
      <x:c r="N33" s="94" t="str">
        <x:f>IFERROR(VLOOKUP(M33,'04 Assessment Log'!$A$6:$AE$155,15,FALSE),"")</x:f>
      </x:c>
      <x:c r="O33" s="94" t="str">
        <x:f>IF(OR(K33="",N33=""),"",N33-K33)</x:f>
      </x:c>
      <x:c r="P33" s="92"/>
      <x:c r="Q33" s="92"/>
      <x:c r="R33" s="92"/>
      <x:c r="S33" s="92"/>
      <x:c r="T33" s="92"/>
      <x:c r="U33" s="92"/>
      <x:c r="V33" s="92"/>
      <x:c r="W33" s="93"/>
      <x:c r="X33" s="94" t="str">
        <x:f>IF(A33="","",IF(V33&lt;&gt;"Verified","Pending HOD Verification",IF(T33="","Pending Review",IF(T33="Not Applicable","Closed — N/A",IF(M33="","Pending Reassessment",IF(AND(T33="Effective",N33&gt;=L33),"Closed — Effective","Further Action Required"))))))</x:f>
      </x:c>
      <x:c r="Y33" s="92"/>
    </x:row>
    <x:row r="34">
      <x:c r="A34" s="92"/>
      <x:c r="B34" s="92"/>
      <x:c r="C34" s="92"/>
      <x:c r="D34" s="94" t="str">
        <x:f>IFERROR(VLOOKUP(C34,'01 Staff Master'!$A$6:$M$105,2,FALSE),"")</x:f>
      </x:c>
      <x:c r="E34" s="94" t="str">
        <x:f>IFERROR(VLOOKUP(C34,'01 Staff Master'!$A$6:$M$105,3,FALSE),"")</x:f>
      </x:c>
      <x:c r="F34" s="92"/>
      <x:c r="G34" s="94" t="str">
        <x:f>IFERROR(VLOOKUP(F34,'02 Skill Catalogue'!$A$6:$K$95,4,FALSE),"")</x:f>
      </x:c>
      <x:c r="H34" s="92"/>
      <x:c r="I34" s="93"/>
      <x:c r="J34" s="92"/>
      <x:c r="K34" s="92"/>
      <x:c r="L34" s="92"/>
      <x:c r="M34" s="92"/>
      <x:c r="N34" s="94" t="str">
        <x:f>IFERROR(VLOOKUP(M34,'04 Assessment Log'!$A$6:$AE$155,15,FALSE),"")</x:f>
      </x:c>
      <x:c r="O34" s="94" t="str">
        <x:f>IF(OR(K34="",N34=""),"",N34-K34)</x:f>
      </x:c>
      <x:c r="P34" s="92"/>
      <x:c r="Q34" s="92"/>
      <x:c r="R34" s="92"/>
      <x:c r="S34" s="92"/>
      <x:c r="T34" s="92"/>
      <x:c r="U34" s="92"/>
      <x:c r="V34" s="92"/>
      <x:c r="W34" s="93"/>
      <x:c r="X34" s="94" t="str">
        <x:f>IF(A34="","",IF(V34&lt;&gt;"Verified","Pending HOD Verification",IF(T34="","Pending Review",IF(T34="Not Applicable","Closed — N/A",IF(M34="","Pending Reassessment",IF(AND(T34="Effective",N34&gt;=L34),"Closed — Effective","Further Action Required"))))))</x:f>
      </x:c>
      <x:c r="Y34" s="92"/>
    </x:row>
    <x:row r="35">
      <x:c r="A35" s="92"/>
      <x:c r="B35" s="92"/>
      <x:c r="C35" s="92"/>
      <x:c r="D35" s="94" t="str">
        <x:f>IFERROR(VLOOKUP(C35,'01 Staff Master'!$A$6:$M$105,2,FALSE),"")</x:f>
      </x:c>
      <x:c r="E35" s="94" t="str">
        <x:f>IFERROR(VLOOKUP(C35,'01 Staff Master'!$A$6:$M$105,3,FALSE),"")</x:f>
      </x:c>
      <x:c r="F35" s="92"/>
      <x:c r="G35" s="94" t="str">
        <x:f>IFERROR(VLOOKUP(F35,'02 Skill Catalogue'!$A$6:$K$95,4,FALSE),"")</x:f>
      </x:c>
      <x:c r="H35" s="92"/>
      <x:c r="I35" s="93"/>
      <x:c r="J35" s="92"/>
      <x:c r="K35" s="92"/>
      <x:c r="L35" s="92"/>
      <x:c r="M35" s="92"/>
      <x:c r="N35" s="94" t="str">
        <x:f>IFERROR(VLOOKUP(M35,'04 Assessment Log'!$A$6:$AE$155,15,FALSE),"")</x:f>
      </x:c>
      <x:c r="O35" s="94" t="str">
        <x:f>IF(OR(K35="",N35=""),"",N35-K35)</x:f>
      </x:c>
      <x:c r="P35" s="92"/>
      <x:c r="Q35" s="92"/>
      <x:c r="R35" s="92"/>
      <x:c r="S35" s="92"/>
      <x:c r="T35" s="92"/>
      <x:c r="U35" s="92"/>
      <x:c r="V35" s="92"/>
      <x:c r="W35" s="93"/>
      <x:c r="X35" s="94" t="str">
        <x:f>IF(A35="","",IF(V35&lt;&gt;"Verified","Pending HOD Verification",IF(T35="","Pending Review",IF(T35="Not Applicable","Closed — N/A",IF(M35="","Pending Reassessment",IF(AND(T35="Effective",N35&gt;=L35),"Closed — Effective","Further Action Required"))))))</x:f>
      </x:c>
      <x:c r="Y35" s="92"/>
    </x:row>
    <x:row r="36">
      <x:c r="A36" s="92"/>
      <x:c r="B36" s="92"/>
      <x:c r="C36" s="92"/>
      <x:c r="D36" s="94" t="str">
        <x:f>IFERROR(VLOOKUP(C36,'01 Staff Master'!$A$6:$M$105,2,FALSE),"")</x:f>
      </x:c>
      <x:c r="E36" s="94" t="str">
        <x:f>IFERROR(VLOOKUP(C36,'01 Staff Master'!$A$6:$M$105,3,FALSE),"")</x:f>
      </x:c>
      <x:c r="F36" s="92"/>
      <x:c r="G36" s="94" t="str">
        <x:f>IFERROR(VLOOKUP(F36,'02 Skill Catalogue'!$A$6:$K$95,4,FALSE),"")</x:f>
      </x:c>
      <x:c r="H36" s="92"/>
      <x:c r="I36" s="93"/>
      <x:c r="J36" s="92"/>
      <x:c r="K36" s="92"/>
      <x:c r="L36" s="92"/>
      <x:c r="M36" s="92"/>
      <x:c r="N36" s="94" t="str">
        <x:f>IFERROR(VLOOKUP(M36,'04 Assessment Log'!$A$6:$AE$155,15,FALSE),"")</x:f>
      </x:c>
      <x:c r="O36" s="94" t="str">
        <x:f>IF(OR(K36="",N36=""),"",N36-K36)</x:f>
      </x:c>
      <x:c r="P36" s="92"/>
      <x:c r="Q36" s="92"/>
      <x:c r="R36" s="92"/>
      <x:c r="S36" s="92"/>
      <x:c r="T36" s="92"/>
      <x:c r="U36" s="92"/>
      <x:c r="V36" s="92"/>
      <x:c r="W36" s="93"/>
      <x:c r="X36" s="94" t="str">
        <x:f>IF(A36="","",IF(V36&lt;&gt;"Verified","Pending HOD Verification",IF(T36="","Pending Review",IF(T36="Not Applicable","Closed — N/A",IF(M36="","Pending Reassessment",IF(AND(T36="Effective",N36&gt;=L36),"Closed — Effective","Further Action Required"))))))</x:f>
      </x:c>
      <x:c r="Y36" s="92"/>
    </x:row>
    <x:row r="37">
      <x:c r="A37" s="92"/>
      <x:c r="B37" s="92"/>
      <x:c r="C37" s="92"/>
      <x:c r="D37" s="94" t="str">
        <x:f>IFERROR(VLOOKUP(C37,'01 Staff Master'!$A$6:$M$105,2,FALSE),"")</x:f>
      </x:c>
      <x:c r="E37" s="94" t="str">
        <x:f>IFERROR(VLOOKUP(C37,'01 Staff Master'!$A$6:$M$105,3,FALSE),"")</x:f>
      </x:c>
      <x:c r="F37" s="92"/>
      <x:c r="G37" s="94" t="str">
        <x:f>IFERROR(VLOOKUP(F37,'02 Skill Catalogue'!$A$6:$K$95,4,FALSE),"")</x:f>
      </x:c>
      <x:c r="H37" s="92"/>
      <x:c r="I37" s="93"/>
      <x:c r="J37" s="92"/>
      <x:c r="K37" s="92"/>
      <x:c r="L37" s="92"/>
      <x:c r="M37" s="92"/>
      <x:c r="N37" s="94" t="str">
        <x:f>IFERROR(VLOOKUP(M37,'04 Assessment Log'!$A$6:$AE$155,15,FALSE),"")</x:f>
      </x:c>
      <x:c r="O37" s="94" t="str">
        <x:f>IF(OR(K37="",N37=""),"",N37-K37)</x:f>
      </x:c>
      <x:c r="P37" s="92"/>
      <x:c r="Q37" s="92"/>
      <x:c r="R37" s="92"/>
      <x:c r="S37" s="92"/>
      <x:c r="T37" s="92"/>
      <x:c r="U37" s="92"/>
      <x:c r="V37" s="92"/>
      <x:c r="W37" s="93"/>
      <x:c r="X37" s="94" t="str">
        <x:f>IF(A37="","",IF(V37&lt;&gt;"Verified","Pending HOD Verification",IF(T37="","Pending Review",IF(T37="Not Applicable","Closed — N/A",IF(M37="","Pending Reassessment",IF(AND(T37="Effective",N37&gt;=L37),"Closed — Effective","Further Action Required"))))))</x:f>
      </x:c>
      <x:c r="Y37" s="92"/>
    </x:row>
    <x:row r="38">
      <x:c r="A38" s="92"/>
      <x:c r="B38" s="92"/>
      <x:c r="C38" s="92"/>
      <x:c r="D38" s="94" t="str">
        <x:f>IFERROR(VLOOKUP(C38,'01 Staff Master'!$A$6:$M$105,2,FALSE),"")</x:f>
      </x:c>
      <x:c r="E38" s="94" t="str">
        <x:f>IFERROR(VLOOKUP(C38,'01 Staff Master'!$A$6:$M$105,3,FALSE),"")</x:f>
      </x:c>
      <x:c r="F38" s="92"/>
      <x:c r="G38" s="94" t="str">
        <x:f>IFERROR(VLOOKUP(F38,'02 Skill Catalogue'!$A$6:$K$95,4,FALSE),"")</x:f>
      </x:c>
      <x:c r="H38" s="92"/>
      <x:c r="I38" s="93"/>
      <x:c r="J38" s="92"/>
      <x:c r="K38" s="92"/>
      <x:c r="L38" s="92"/>
      <x:c r="M38" s="92"/>
      <x:c r="N38" s="94" t="str">
        <x:f>IFERROR(VLOOKUP(M38,'04 Assessment Log'!$A$6:$AE$155,15,FALSE),"")</x:f>
      </x:c>
      <x:c r="O38" s="94" t="str">
        <x:f>IF(OR(K38="",N38=""),"",N38-K38)</x:f>
      </x:c>
      <x:c r="P38" s="92"/>
      <x:c r="Q38" s="92"/>
      <x:c r="R38" s="92"/>
      <x:c r="S38" s="92"/>
      <x:c r="T38" s="92"/>
      <x:c r="U38" s="92"/>
      <x:c r="V38" s="92"/>
      <x:c r="W38" s="93"/>
      <x:c r="X38" s="94" t="str">
        <x:f>IF(A38="","",IF(V38&lt;&gt;"Verified","Pending HOD Verification",IF(T38="","Pending Review",IF(T38="Not Applicable","Closed — N/A",IF(M38="","Pending Reassessment",IF(AND(T38="Effective",N38&gt;=L38),"Closed — Effective","Further Action Required"))))))</x:f>
      </x:c>
      <x:c r="Y38" s="92"/>
    </x:row>
    <x:row r="39">
      <x:c r="A39" s="92"/>
      <x:c r="B39" s="92"/>
      <x:c r="C39" s="92"/>
      <x:c r="D39" s="94" t="str">
        <x:f>IFERROR(VLOOKUP(C39,'01 Staff Master'!$A$6:$M$105,2,FALSE),"")</x:f>
      </x:c>
      <x:c r="E39" s="94" t="str">
        <x:f>IFERROR(VLOOKUP(C39,'01 Staff Master'!$A$6:$M$105,3,FALSE),"")</x:f>
      </x:c>
      <x:c r="F39" s="92"/>
      <x:c r="G39" s="94" t="str">
        <x:f>IFERROR(VLOOKUP(F39,'02 Skill Catalogue'!$A$6:$K$95,4,FALSE),"")</x:f>
      </x:c>
      <x:c r="H39" s="92"/>
      <x:c r="I39" s="93"/>
      <x:c r="J39" s="92"/>
      <x:c r="K39" s="92"/>
      <x:c r="L39" s="92"/>
      <x:c r="M39" s="92"/>
      <x:c r="N39" s="94" t="str">
        <x:f>IFERROR(VLOOKUP(M39,'04 Assessment Log'!$A$6:$AE$155,15,FALSE),"")</x:f>
      </x:c>
      <x:c r="O39" s="94" t="str">
        <x:f>IF(OR(K39="",N39=""),"",N39-K39)</x:f>
      </x:c>
      <x:c r="P39" s="92"/>
      <x:c r="Q39" s="92"/>
      <x:c r="R39" s="92"/>
      <x:c r="S39" s="92"/>
      <x:c r="T39" s="92"/>
      <x:c r="U39" s="92"/>
      <x:c r="V39" s="92"/>
      <x:c r="W39" s="93"/>
      <x:c r="X39" s="94" t="str">
        <x:f>IF(A39="","",IF(V39&lt;&gt;"Verified","Pending HOD Verification",IF(T39="","Pending Review",IF(T39="Not Applicable","Closed — N/A",IF(M39="","Pending Reassessment",IF(AND(T39="Effective",N39&gt;=L39),"Closed — Effective","Further Action Required"))))))</x:f>
      </x:c>
      <x:c r="Y39" s="92"/>
    </x:row>
    <x:row r="40">
      <x:c r="A40" s="92"/>
      <x:c r="B40" s="92"/>
      <x:c r="C40" s="92"/>
      <x:c r="D40" s="94" t="str">
        <x:f>IFERROR(VLOOKUP(C40,'01 Staff Master'!$A$6:$M$105,2,FALSE),"")</x:f>
      </x:c>
      <x:c r="E40" s="94" t="str">
        <x:f>IFERROR(VLOOKUP(C40,'01 Staff Master'!$A$6:$M$105,3,FALSE),"")</x:f>
      </x:c>
      <x:c r="F40" s="92"/>
      <x:c r="G40" s="94" t="str">
        <x:f>IFERROR(VLOOKUP(F40,'02 Skill Catalogue'!$A$6:$K$95,4,FALSE),"")</x:f>
      </x:c>
      <x:c r="H40" s="92"/>
      <x:c r="I40" s="93"/>
      <x:c r="J40" s="92"/>
      <x:c r="K40" s="92"/>
      <x:c r="L40" s="92"/>
      <x:c r="M40" s="92"/>
      <x:c r="N40" s="94" t="str">
        <x:f>IFERROR(VLOOKUP(M40,'04 Assessment Log'!$A$6:$AE$155,15,FALSE),"")</x:f>
      </x:c>
      <x:c r="O40" s="94" t="str">
        <x:f>IF(OR(K40="",N40=""),"",N40-K40)</x:f>
      </x:c>
      <x:c r="P40" s="92"/>
      <x:c r="Q40" s="92"/>
      <x:c r="R40" s="92"/>
      <x:c r="S40" s="92"/>
      <x:c r="T40" s="92"/>
      <x:c r="U40" s="92"/>
      <x:c r="V40" s="92"/>
      <x:c r="W40" s="93"/>
      <x:c r="X40" s="94" t="str">
        <x:f>IF(A40="","",IF(V40&lt;&gt;"Verified","Pending HOD Verification",IF(T40="","Pending Review",IF(T40="Not Applicable","Closed — N/A",IF(M40="","Pending Reassessment",IF(AND(T40="Effective",N40&gt;=L40),"Closed — Effective","Further Action Required"))))))</x:f>
      </x:c>
      <x:c r="Y40" s="92"/>
    </x:row>
    <x:row r="41">
      <x:c r="A41" s="92"/>
      <x:c r="B41" s="92"/>
      <x:c r="C41" s="92"/>
      <x:c r="D41" s="94" t="str">
        <x:f>IFERROR(VLOOKUP(C41,'01 Staff Master'!$A$6:$M$105,2,FALSE),"")</x:f>
      </x:c>
      <x:c r="E41" s="94" t="str">
        <x:f>IFERROR(VLOOKUP(C41,'01 Staff Master'!$A$6:$M$105,3,FALSE),"")</x:f>
      </x:c>
      <x:c r="F41" s="92"/>
      <x:c r="G41" s="94" t="str">
        <x:f>IFERROR(VLOOKUP(F41,'02 Skill Catalogue'!$A$6:$K$95,4,FALSE),"")</x:f>
      </x:c>
      <x:c r="H41" s="92"/>
      <x:c r="I41" s="93"/>
      <x:c r="J41" s="92"/>
      <x:c r="K41" s="92"/>
      <x:c r="L41" s="92"/>
      <x:c r="M41" s="92"/>
      <x:c r="N41" s="94" t="str">
        <x:f>IFERROR(VLOOKUP(M41,'04 Assessment Log'!$A$6:$AE$155,15,FALSE),"")</x:f>
      </x:c>
      <x:c r="O41" s="94" t="str">
        <x:f>IF(OR(K41="",N41=""),"",N41-K41)</x:f>
      </x:c>
      <x:c r="P41" s="92"/>
      <x:c r="Q41" s="92"/>
      <x:c r="R41" s="92"/>
      <x:c r="S41" s="92"/>
      <x:c r="T41" s="92"/>
      <x:c r="U41" s="92"/>
      <x:c r="V41" s="92"/>
      <x:c r="W41" s="93"/>
      <x:c r="X41" s="94" t="str">
        <x:f>IF(A41="","",IF(V41&lt;&gt;"Verified","Pending HOD Verification",IF(T41="","Pending Review",IF(T41="Not Applicable","Closed — N/A",IF(M41="","Pending Reassessment",IF(AND(T41="Effective",N41&gt;=L41),"Closed — Effective","Further Action Required"))))))</x:f>
      </x:c>
      <x:c r="Y41" s="92"/>
    </x:row>
    <x:row r="42">
      <x:c r="A42" s="92"/>
      <x:c r="B42" s="92"/>
      <x:c r="C42" s="92"/>
      <x:c r="D42" s="94" t="str">
        <x:f>IFERROR(VLOOKUP(C42,'01 Staff Master'!$A$6:$M$105,2,FALSE),"")</x:f>
      </x:c>
      <x:c r="E42" s="94" t="str">
        <x:f>IFERROR(VLOOKUP(C42,'01 Staff Master'!$A$6:$M$105,3,FALSE),"")</x:f>
      </x:c>
      <x:c r="F42" s="92"/>
      <x:c r="G42" s="94" t="str">
        <x:f>IFERROR(VLOOKUP(F42,'02 Skill Catalogue'!$A$6:$K$95,4,FALSE),"")</x:f>
      </x:c>
      <x:c r="H42" s="92"/>
      <x:c r="I42" s="93"/>
      <x:c r="J42" s="92"/>
      <x:c r="K42" s="92"/>
      <x:c r="L42" s="92"/>
      <x:c r="M42" s="92"/>
      <x:c r="N42" s="94" t="str">
        <x:f>IFERROR(VLOOKUP(M42,'04 Assessment Log'!$A$6:$AE$155,15,FALSE),"")</x:f>
      </x:c>
      <x:c r="O42" s="94" t="str">
        <x:f>IF(OR(K42="",N42=""),"",N42-K42)</x:f>
      </x:c>
      <x:c r="P42" s="92"/>
      <x:c r="Q42" s="92"/>
      <x:c r="R42" s="92"/>
      <x:c r="S42" s="92"/>
      <x:c r="T42" s="92"/>
      <x:c r="U42" s="92"/>
      <x:c r="V42" s="92"/>
      <x:c r="W42" s="93"/>
      <x:c r="X42" s="94" t="str">
        <x:f>IF(A42="","",IF(V42&lt;&gt;"Verified","Pending HOD Verification",IF(T42="","Pending Review",IF(T42="Not Applicable","Closed — N/A",IF(M42="","Pending Reassessment",IF(AND(T42="Effective",N42&gt;=L42),"Closed — Effective","Further Action Required"))))))</x:f>
      </x:c>
      <x:c r="Y42" s="92"/>
    </x:row>
    <x:row r="43">
      <x:c r="A43" s="92"/>
      <x:c r="B43" s="92"/>
      <x:c r="C43" s="92"/>
      <x:c r="D43" s="94" t="str">
        <x:f>IFERROR(VLOOKUP(C43,'01 Staff Master'!$A$6:$M$105,2,FALSE),"")</x:f>
      </x:c>
      <x:c r="E43" s="94" t="str">
        <x:f>IFERROR(VLOOKUP(C43,'01 Staff Master'!$A$6:$M$105,3,FALSE),"")</x:f>
      </x:c>
      <x:c r="F43" s="92"/>
      <x:c r="G43" s="94" t="str">
        <x:f>IFERROR(VLOOKUP(F43,'02 Skill Catalogue'!$A$6:$K$95,4,FALSE),"")</x:f>
      </x:c>
      <x:c r="H43" s="92"/>
      <x:c r="I43" s="93"/>
      <x:c r="J43" s="92"/>
      <x:c r="K43" s="92"/>
      <x:c r="L43" s="92"/>
      <x:c r="M43" s="92"/>
      <x:c r="N43" s="94" t="str">
        <x:f>IFERROR(VLOOKUP(M43,'04 Assessment Log'!$A$6:$AE$155,15,FALSE),"")</x:f>
      </x:c>
      <x:c r="O43" s="94" t="str">
        <x:f>IF(OR(K43="",N43=""),"",N43-K43)</x:f>
      </x:c>
      <x:c r="P43" s="92"/>
      <x:c r="Q43" s="92"/>
      <x:c r="R43" s="92"/>
      <x:c r="S43" s="92"/>
      <x:c r="T43" s="92"/>
      <x:c r="U43" s="92"/>
      <x:c r="V43" s="92"/>
      <x:c r="W43" s="93"/>
      <x:c r="X43" s="94" t="str">
        <x:f>IF(A43="","",IF(V43&lt;&gt;"Verified","Pending HOD Verification",IF(T43="","Pending Review",IF(T43="Not Applicable","Closed — N/A",IF(M43="","Pending Reassessment",IF(AND(T43="Effective",N43&gt;=L43),"Closed — Effective","Further Action Required"))))))</x:f>
      </x:c>
      <x:c r="Y43" s="92"/>
    </x:row>
    <x:row r="44">
      <x:c r="A44" s="92"/>
      <x:c r="B44" s="92"/>
      <x:c r="C44" s="92"/>
      <x:c r="D44" s="94" t="str">
        <x:f>IFERROR(VLOOKUP(C44,'01 Staff Master'!$A$6:$M$105,2,FALSE),"")</x:f>
      </x:c>
      <x:c r="E44" s="94" t="str">
        <x:f>IFERROR(VLOOKUP(C44,'01 Staff Master'!$A$6:$M$105,3,FALSE),"")</x:f>
      </x:c>
      <x:c r="F44" s="92"/>
      <x:c r="G44" s="94" t="str">
        <x:f>IFERROR(VLOOKUP(F44,'02 Skill Catalogue'!$A$6:$K$95,4,FALSE),"")</x:f>
      </x:c>
      <x:c r="H44" s="92"/>
      <x:c r="I44" s="93"/>
      <x:c r="J44" s="92"/>
      <x:c r="K44" s="92"/>
      <x:c r="L44" s="92"/>
      <x:c r="M44" s="92"/>
      <x:c r="N44" s="94" t="str">
        <x:f>IFERROR(VLOOKUP(M44,'04 Assessment Log'!$A$6:$AE$155,15,FALSE),"")</x:f>
      </x:c>
      <x:c r="O44" s="94" t="str">
        <x:f>IF(OR(K44="",N44=""),"",N44-K44)</x:f>
      </x:c>
      <x:c r="P44" s="92"/>
      <x:c r="Q44" s="92"/>
      <x:c r="R44" s="92"/>
      <x:c r="S44" s="92"/>
      <x:c r="T44" s="92"/>
      <x:c r="U44" s="92"/>
      <x:c r="V44" s="92"/>
      <x:c r="W44" s="93"/>
      <x:c r="X44" s="94" t="str">
        <x:f>IF(A44="","",IF(V44&lt;&gt;"Verified","Pending HOD Verification",IF(T44="","Pending Review",IF(T44="Not Applicable","Closed — N/A",IF(M44="","Pending Reassessment",IF(AND(T44="Effective",N44&gt;=L44),"Closed — Effective","Further Action Required"))))))</x:f>
      </x:c>
      <x:c r="Y44" s="92"/>
    </x:row>
    <x:row r="45">
      <x:c r="A45" s="92"/>
      <x:c r="B45" s="92"/>
      <x:c r="C45" s="92"/>
      <x:c r="D45" s="94" t="str">
        <x:f>IFERROR(VLOOKUP(C45,'01 Staff Master'!$A$6:$M$105,2,FALSE),"")</x:f>
      </x:c>
      <x:c r="E45" s="94" t="str">
        <x:f>IFERROR(VLOOKUP(C45,'01 Staff Master'!$A$6:$M$105,3,FALSE),"")</x:f>
      </x:c>
      <x:c r="F45" s="92"/>
      <x:c r="G45" s="94" t="str">
        <x:f>IFERROR(VLOOKUP(F45,'02 Skill Catalogue'!$A$6:$K$95,4,FALSE),"")</x:f>
      </x:c>
      <x:c r="H45" s="92"/>
      <x:c r="I45" s="93"/>
      <x:c r="J45" s="92"/>
      <x:c r="K45" s="92"/>
      <x:c r="L45" s="92"/>
      <x:c r="M45" s="92"/>
      <x:c r="N45" s="94" t="str">
        <x:f>IFERROR(VLOOKUP(M45,'04 Assessment Log'!$A$6:$AE$155,15,FALSE),"")</x:f>
      </x:c>
      <x:c r="O45" s="94" t="str">
        <x:f>IF(OR(K45="",N45=""),"",N45-K45)</x:f>
      </x:c>
      <x:c r="P45" s="92"/>
      <x:c r="Q45" s="92"/>
      <x:c r="R45" s="92"/>
      <x:c r="S45" s="92"/>
      <x:c r="T45" s="92"/>
      <x:c r="U45" s="92"/>
      <x:c r="V45" s="92"/>
      <x:c r="W45" s="93"/>
      <x:c r="X45" s="94" t="str">
        <x:f>IF(A45="","",IF(V45&lt;&gt;"Verified","Pending HOD Verification",IF(T45="","Pending Review",IF(T45="Not Applicable","Closed — N/A",IF(M45="","Pending Reassessment",IF(AND(T45="Effective",N45&gt;=L45),"Closed — Effective","Further Action Required"))))))</x:f>
      </x:c>
      <x:c r="Y45" s="92"/>
    </x:row>
    <x:row r="46">
      <x:c r="A46" s="92"/>
      <x:c r="B46" s="92"/>
      <x:c r="C46" s="92"/>
      <x:c r="D46" s="94" t="str">
        <x:f>IFERROR(VLOOKUP(C46,'01 Staff Master'!$A$6:$M$105,2,FALSE),"")</x:f>
      </x:c>
      <x:c r="E46" s="94" t="str">
        <x:f>IFERROR(VLOOKUP(C46,'01 Staff Master'!$A$6:$M$105,3,FALSE),"")</x:f>
      </x:c>
      <x:c r="F46" s="92"/>
      <x:c r="G46" s="94" t="str">
        <x:f>IFERROR(VLOOKUP(F46,'02 Skill Catalogue'!$A$6:$K$95,4,FALSE),"")</x:f>
      </x:c>
      <x:c r="H46" s="92"/>
      <x:c r="I46" s="93"/>
      <x:c r="J46" s="92"/>
      <x:c r="K46" s="92"/>
      <x:c r="L46" s="92"/>
      <x:c r="M46" s="92"/>
      <x:c r="N46" s="94" t="str">
        <x:f>IFERROR(VLOOKUP(M46,'04 Assessment Log'!$A$6:$AE$155,15,FALSE),"")</x:f>
      </x:c>
      <x:c r="O46" s="94" t="str">
        <x:f>IF(OR(K46="",N46=""),"",N46-K46)</x:f>
      </x:c>
      <x:c r="P46" s="92"/>
      <x:c r="Q46" s="92"/>
      <x:c r="R46" s="92"/>
      <x:c r="S46" s="92"/>
      <x:c r="T46" s="92"/>
      <x:c r="U46" s="92"/>
      <x:c r="V46" s="92"/>
      <x:c r="W46" s="93"/>
      <x:c r="X46" s="94" t="str">
        <x:f>IF(A46="","",IF(V46&lt;&gt;"Verified","Pending HOD Verification",IF(T46="","Pending Review",IF(T46="Not Applicable","Closed — N/A",IF(M46="","Pending Reassessment",IF(AND(T46="Effective",N46&gt;=L46),"Closed — Effective","Further Action Required"))))))</x:f>
      </x:c>
      <x:c r="Y46" s="92"/>
    </x:row>
    <x:row r="47">
      <x:c r="A47" s="92"/>
      <x:c r="B47" s="92"/>
      <x:c r="C47" s="92"/>
      <x:c r="D47" s="94" t="str">
        <x:f>IFERROR(VLOOKUP(C47,'01 Staff Master'!$A$6:$M$105,2,FALSE),"")</x:f>
      </x:c>
      <x:c r="E47" s="94" t="str">
        <x:f>IFERROR(VLOOKUP(C47,'01 Staff Master'!$A$6:$M$105,3,FALSE),"")</x:f>
      </x:c>
      <x:c r="F47" s="92"/>
      <x:c r="G47" s="94" t="str">
        <x:f>IFERROR(VLOOKUP(F47,'02 Skill Catalogue'!$A$6:$K$95,4,FALSE),"")</x:f>
      </x:c>
      <x:c r="H47" s="92"/>
      <x:c r="I47" s="93"/>
      <x:c r="J47" s="92"/>
      <x:c r="K47" s="92"/>
      <x:c r="L47" s="92"/>
      <x:c r="M47" s="92"/>
      <x:c r="N47" s="94" t="str">
        <x:f>IFERROR(VLOOKUP(M47,'04 Assessment Log'!$A$6:$AE$155,15,FALSE),"")</x:f>
      </x:c>
      <x:c r="O47" s="94" t="str">
        <x:f>IF(OR(K47="",N47=""),"",N47-K47)</x:f>
      </x:c>
      <x:c r="P47" s="92"/>
      <x:c r="Q47" s="92"/>
      <x:c r="R47" s="92"/>
      <x:c r="S47" s="92"/>
      <x:c r="T47" s="92"/>
      <x:c r="U47" s="92"/>
      <x:c r="V47" s="92"/>
      <x:c r="W47" s="93"/>
      <x:c r="X47" s="94" t="str">
        <x:f>IF(A47="","",IF(V47&lt;&gt;"Verified","Pending HOD Verification",IF(T47="","Pending Review",IF(T47="Not Applicable","Closed — N/A",IF(M47="","Pending Reassessment",IF(AND(T47="Effective",N47&gt;=L47),"Closed — Effective","Further Action Required"))))))</x:f>
      </x:c>
      <x:c r="Y47" s="92"/>
    </x:row>
    <x:row r="48">
      <x:c r="A48" s="92"/>
      <x:c r="B48" s="92"/>
      <x:c r="C48" s="92"/>
      <x:c r="D48" s="94" t="str">
        <x:f>IFERROR(VLOOKUP(C48,'01 Staff Master'!$A$6:$M$105,2,FALSE),"")</x:f>
      </x:c>
      <x:c r="E48" s="94" t="str">
        <x:f>IFERROR(VLOOKUP(C48,'01 Staff Master'!$A$6:$M$105,3,FALSE),"")</x:f>
      </x:c>
      <x:c r="F48" s="92"/>
      <x:c r="G48" s="94" t="str">
        <x:f>IFERROR(VLOOKUP(F48,'02 Skill Catalogue'!$A$6:$K$95,4,FALSE),"")</x:f>
      </x:c>
      <x:c r="H48" s="92"/>
      <x:c r="I48" s="93"/>
      <x:c r="J48" s="92"/>
      <x:c r="K48" s="92"/>
      <x:c r="L48" s="92"/>
      <x:c r="M48" s="92"/>
      <x:c r="N48" s="94" t="str">
        <x:f>IFERROR(VLOOKUP(M48,'04 Assessment Log'!$A$6:$AE$155,15,FALSE),"")</x:f>
      </x:c>
      <x:c r="O48" s="94" t="str">
        <x:f>IF(OR(K48="",N48=""),"",N48-K48)</x:f>
      </x:c>
      <x:c r="P48" s="92"/>
      <x:c r="Q48" s="92"/>
      <x:c r="R48" s="92"/>
      <x:c r="S48" s="92"/>
      <x:c r="T48" s="92"/>
      <x:c r="U48" s="92"/>
      <x:c r="V48" s="92"/>
      <x:c r="W48" s="93"/>
      <x:c r="X48" s="94" t="str">
        <x:f>IF(A48="","",IF(V48&lt;&gt;"Verified","Pending HOD Verification",IF(T48="","Pending Review",IF(T48="Not Applicable","Closed — N/A",IF(M48="","Pending Reassessment",IF(AND(T48="Effective",N48&gt;=L48),"Closed — Effective","Further Action Required"))))))</x:f>
      </x:c>
      <x:c r="Y48" s="92"/>
    </x:row>
    <x:row r="49">
      <x:c r="A49" s="92"/>
      <x:c r="B49" s="92"/>
      <x:c r="C49" s="92"/>
      <x:c r="D49" s="94" t="str">
        <x:f>IFERROR(VLOOKUP(C49,'01 Staff Master'!$A$6:$M$105,2,FALSE),"")</x:f>
      </x:c>
      <x:c r="E49" s="94" t="str">
        <x:f>IFERROR(VLOOKUP(C49,'01 Staff Master'!$A$6:$M$105,3,FALSE),"")</x:f>
      </x:c>
      <x:c r="F49" s="92"/>
      <x:c r="G49" s="94" t="str">
        <x:f>IFERROR(VLOOKUP(F49,'02 Skill Catalogue'!$A$6:$K$95,4,FALSE),"")</x:f>
      </x:c>
      <x:c r="H49" s="92"/>
      <x:c r="I49" s="93"/>
      <x:c r="J49" s="92"/>
      <x:c r="K49" s="92"/>
      <x:c r="L49" s="92"/>
      <x:c r="M49" s="92"/>
      <x:c r="N49" s="94" t="str">
        <x:f>IFERROR(VLOOKUP(M49,'04 Assessment Log'!$A$6:$AE$155,15,FALSE),"")</x:f>
      </x:c>
      <x:c r="O49" s="94" t="str">
        <x:f>IF(OR(K49="",N49=""),"",N49-K49)</x:f>
      </x:c>
      <x:c r="P49" s="92"/>
      <x:c r="Q49" s="92"/>
      <x:c r="R49" s="92"/>
      <x:c r="S49" s="92"/>
      <x:c r="T49" s="92"/>
      <x:c r="U49" s="92"/>
      <x:c r="V49" s="92"/>
      <x:c r="W49" s="93"/>
      <x:c r="X49" s="94" t="str">
        <x:f>IF(A49="","",IF(V49&lt;&gt;"Verified","Pending HOD Verification",IF(T49="","Pending Review",IF(T49="Not Applicable","Closed — N/A",IF(M49="","Pending Reassessment",IF(AND(T49="Effective",N49&gt;=L49),"Closed — Effective","Further Action Required"))))))</x:f>
      </x:c>
      <x:c r="Y49" s="92"/>
    </x:row>
    <x:row r="50">
      <x:c r="A50" s="92"/>
      <x:c r="B50" s="92"/>
      <x:c r="C50" s="92"/>
      <x:c r="D50" s="94" t="str">
        <x:f>IFERROR(VLOOKUP(C50,'01 Staff Master'!$A$6:$M$105,2,FALSE),"")</x:f>
      </x:c>
      <x:c r="E50" s="94" t="str">
        <x:f>IFERROR(VLOOKUP(C50,'01 Staff Master'!$A$6:$M$105,3,FALSE),"")</x:f>
      </x:c>
      <x:c r="F50" s="92"/>
      <x:c r="G50" s="94" t="str">
        <x:f>IFERROR(VLOOKUP(F50,'02 Skill Catalogue'!$A$6:$K$95,4,FALSE),"")</x:f>
      </x:c>
      <x:c r="H50" s="92"/>
      <x:c r="I50" s="93"/>
      <x:c r="J50" s="92"/>
      <x:c r="K50" s="92"/>
      <x:c r="L50" s="92"/>
      <x:c r="M50" s="92"/>
      <x:c r="N50" s="94" t="str">
        <x:f>IFERROR(VLOOKUP(M50,'04 Assessment Log'!$A$6:$AE$155,15,FALSE),"")</x:f>
      </x:c>
      <x:c r="O50" s="94" t="str">
        <x:f>IF(OR(K50="",N50=""),"",N50-K50)</x:f>
      </x:c>
      <x:c r="P50" s="92"/>
      <x:c r="Q50" s="92"/>
      <x:c r="R50" s="92"/>
      <x:c r="S50" s="92"/>
      <x:c r="T50" s="92"/>
      <x:c r="U50" s="92"/>
      <x:c r="V50" s="92"/>
      <x:c r="W50" s="93"/>
      <x:c r="X50" s="94" t="str">
        <x:f>IF(A50="","",IF(V50&lt;&gt;"Verified","Pending HOD Verification",IF(T50="","Pending Review",IF(T50="Not Applicable","Closed — N/A",IF(M50="","Pending Reassessment",IF(AND(T50="Effective",N50&gt;=L50),"Closed — Effective","Further Action Required"))))))</x:f>
      </x:c>
      <x:c r="Y50" s="92"/>
    </x:row>
    <x:row r="51">
      <x:c r="A51" s="92"/>
      <x:c r="B51" s="92"/>
      <x:c r="C51" s="92"/>
      <x:c r="D51" s="94" t="str">
        <x:f>IFERROR(VLOOKUP(C51,'01 Staff Master'!$A$6:$M$105,2,FALSE),"")</x:f>
      </x:c>
      <x:c r="E51" s="94" t="str">
        <x:f>IFERROR(VLOOKUP(C51,'01 Staff Master'!$A$6:$M$105,3,FALSE),"")</x:f>
      </x:c>
      <x:c r="F51" s="92"/>
      <x:c r="G51" s="94" t="str">
        <x:f>IFERROR(VLOOKUP(F51,'02 Skill Catalogue'!$A$6:$K$95,4,FALSE),"")</x:f>
      </x:c>
      <x:c r="H51" s="92"/>
      <x:c r="I51" s="93"/>
      <x:c r="J51" s="92"/>
      <x:c r="K51" s="92"/>
      <x:c r="L51" s="92"/>
      <x:c r="M51" s="92"/>
      <x:c r="N51" s="94" t="str">
        <x:f>IFERROR(VLOOKUP(M51,'04 Assessment Log'!$A$6:$AE$155,15,FALSE),"")</x:f>
      </x:c>
      <x:c r="O51" s="94" t="str">
        <x:f>IF(OR(K51="",N51=""),"",N51-K51)</x:f>
      </x:c>
      <x:c r="P51" s="92"/>
      <x:c r="Q51" s="92"/>
      <x:c r="R51" s="92"/>
      <x:c r="S51" s="92"/>
      <x:c r="T51" s="92"/>
      <x:c r="U51" s="92"/>
      <x:c r="V51" s="92"/>
      <x:c r="W51" s="93"/>
      <x:c r="X51" s="94" t="str">
        <x:f>IF(A51="","",IF(V51&lt;&gt;"Verified","Pending HOD Verification",IF(T51="","Pending Review",IF(T51="Not Applicable","Closed — N/A",IF(M51="","Pending Reassessment",IF(AND(T51="Effective",N51&gt;=L51),"Closed — Effective","Further Action Required"))))))</x:f>
      </x:c>
      <x:c r="Y51" s="92"/>
    </x:row>
    <x:row r="52">
      <x:c r="A52" s="92"/>
      <x:c r="B52" s="92"/>
      <x:c r="C52" s="92"/>
      <x:c r="D52" s="94" t="str">
        <x:f>IFERROR(VLOOKUP(C52,'01 Staff Master'!$A$6:$M$105,2,FALSE),"")</x:f>
      </x:c>
      <x:c r="E52" s="94" t="str">
        <x:f>IFERROR(VLOOKUP(C52,'01 Staff Master'!$A$6:$M$105,3,FALSE),"")</x:f>
      </x:c>
      <x:c r="F52" s="92"/>
      <x:c r="G52" s="94" t="str">
        <x:f>IFERROR(VLOOKUP(F52,'02 Skill Catalogue'!$A$6:$K$95,4,FALSE),"")</x:f>
      </x:c>
      <x:c r="H52" s="92"/>
      <x:c r="I52" s="93"/>
      <x:c r="J52" s="92"/>
      <x:c r="K52" s="92"/>
      <x:c r="L52" s="92"/>
      <x:c r="M52" s="92"/>
      <x:c r="N52" s="94" t="str">
        <x:f>IFERROR(VLOOKUP(M52,'04 Assessment Log'!$A$6:$AE$155,15,FALSE),"")</x:f>
      </x:c>
      <x:c r="O52" s="94" t="str">
        <x:f>IF(OR(K52="",N52=""),"",N52-K52)</x:f>
      </x:c>
      <x:c r="P52" s="92"/>
      <x:c r="Q52" s="92"/>
      <x:c r="R52" s="92"/>
      <x:c r="S52" s="92"/>
      <x:c r="T52" s="92"/>
      <x:c r="U52" s="92"/>
      <x:c r="V52" s="92"/>
      <x:c r="W52" s="93"/>
      <x:c r="X52" s="94" t="str">
        <x:f>IF(A52="","",IF(V52&lt;&gt;"Verified","Pending HOD Verification",IF(T52="","Pending Review",IF(T52="Not Applicable","Closed — N/A",IF(M52="","Pending Reassessment",IF(AND(T52="Effective",N52&gt;=L52),"Closed — Effective","Further Action Required"))))))</x:f>
      </x:c>
      <x:c r="Y52" s="92"/>
    </x:row>
    <x:row r="53">
      <x:c r="A53" s="92"/>
      <x:c r="B53" s="92"/>
      <x:c r="C53" s="92"/>
      <x:c r="D53" s="94" t="str">
        <x:f>IFERROR(VLOOKUP(C53,'01 Staff Master'!$A$6:$M$105,2,FALSE),"")</x:f>
      </x:c>
      <x:c r="E53" s="94" t="str">
        <x:f>IFERROR(VLOOKUP(C53,'01 Staff Master'!$A$6:$M$105,3,FALSE),"")</x:f>
      </x:c>
      <x:c r="F53" s="92"/>
      <x:c r="G53" s="94" t="str">
        <x:f>IFERROR(VLOOKUP(F53,'02 Skill Catalogue'!$A$6:$K$95,4,FALSE),"")</x:f>
      </x:c>
      <x:c r="H53" s="92"/>
      <x:c r="I53" s="93"/>
      <x:c r="J53" s="92"/>
      <x:c r="K53" s="92"/>
      <x:c r="L53" s="92"/>
      <x:c r="M53" s="92"/>
      <x:c r="N53" s="94" t="str">
        <x:f>IFERROR(VLOOKUP(M53,'04 Assessment Log'!$A$6:$AE$155,15,FALSE),"")</x:f>
      </x:c>
      <x:c r="O53" s="94" t="str">
        <x:f>IF(OR(K53="",N53=""),"",N53-K53)</x:f>
      </x:c>
      <x:c r="P53" s="92"/>
      <x:c r="Q53" s="92"/>
      <x:c r="R53" s="92"/>
      <x:c r="S53" s="92"/>
      <x:c r="T53" s="92"/>
      <x:c r="U53" s="92"/>
      <x:c r="V53" s="92"/>
      <x:c r="W53" s="93"/>
      <x:c r="X53" s="94" t="str">
        <x:f>IF(A53="","",IF(V53&lt;&gt;"Verified","Pending HOD Verification",IF(T53="","Pending Review",IF(T53="Not Applicable","Closed — N/A",IF(M53="","Pending Reassessment",IF(AND(T53="Effective",N53&gt;=L53),"Closed — Effective","Further Action Required"))))))</x:f>
      </x:c>
      <x:c r="Y53" s="92"/>
    </x:row>
    <x:row r="54">
      <x:c r="A54" s="92"/>
      <x:c r="B54" s="92"/>
      <x:c r="C54" s="92"/>
      <x:c r="D54" s="94" t="str">
        <x:f>IFERROR(VLOOKUP(C54,'01 Staff Master'!$A$6:$M$105,2,FALSE),"")</x:f>
      </x:c>
      <x:c r="E54" s="94" t="str">
        <x:f>IFERROR(VLOOKUP(C54,'01 Staff Master'!$A$6:$M$105,3,FALSE),"")</x:f>
      </x:c>
      <x:c r="F54" s="92"/>
      <x:c r="G54" s="94" t="str">
        <x:f>IFERROR(VLOOKUP(F54,'02 Skill Catalogue'!$A$6:$K$95,4,FALSE),"")</x:f>
      </x:c>
      <x:c r="H54" s="92"/>
      <x:c r="I54" s="93"/>
      <x:c r="J54" s="92"/>
      <x:c r="K54" s="92"/>
      <x:c r="L54" s="92"/>
      <x:c r="M54" s="92"/>
      <x:c r="N54" s="94" t="str">
        <x:f>IFERROR(VLOOKUP(M54,'04 Assessment Log'!$A$6:$AE$155,15,FALSE),"")</x:f>
      </x:c>
      <x:c r="O54" s="94" t="str">
        <x:f>IF(OR(K54="",N54=""),"",N54-K54)</x:f>
      </x:c>
      <x:c r="P54" s="92"/>
      <x:c r="Q54" s="92"/>
      <x:c r="R54" s="92"/>
      <x:c r="S54" s="92"/>
      <x:c r="T54" s="92"/>
      <x:c r="U54" s="92"/>
      <x:c r="V54" s="92"/>
      <x:c r="W54" s="93"/>
      <x:c r="X54" s="94" t="str">
        <x:f>IF(A54="","",IF(V54&lt;&gt;"Verified","Pending HOD Verification",IF(T54="","Pending Review",IF(T54="Not Applicable","Closed — N/A",IF(M54="","Pending Reassessment",IF(AND(T54="Effective",N54&gt;=L54),"Closed — Effective","Further Action Required"))))))</x:f>
      </x:c>
      <x:c r="Y54" s="92"/>
    </x:row>
    <x:row r="55">
      <x:c r="A55" s="92"/>
      <x:c r="B55" s="92"/>
      <x:c r="C55" s="92"/>
      <x:c r="D55" s="94" t="str">
        <x:f>IFERROR(VLOOKUP(C55,'01 Staff Master'!$A$6:$M$105,2,FALSE),"")</x:f>
      </x:c>
      <x:c r="E55" s="94" t="str">
        <x:f>IFERROR(VLOOKUP(C55,'01 Staff Master'!$A$6:$M$105,3,FALSE),"")</x:f>
      </x:c>
      <x:c r="F55" s="92"/>
      <x:c r="G55" s="94" t="str">
        <x:f>IFERROR(VLOOKUP(F55,'02 Skill Catalogue'!$A$6:$K$95,4,FALSE),"")</x:f>
      </x:c>
      <x:c r="H55" s="92"/>
      <x:c r="I55" s="93"/>
      <x:c r="J55" s="92"/>
      <x:c r="K55" s="92"/>
      <x:c r="L55" s="92"/>
      <x:c r="M55" s="92"/>
      <x:c r="N55" s="94" t="str">
        <x:f>IFERROR(VLOOKUP(M55,'04 Assessment Log'!$A$6:$AE$155,15,FALSE),"")</x:f>
      </x:c>
      <x:c r="O55" s="94" t="str">
        <x:f>IF(OR(K55="",N55=""),"",N55-K55)</x:f>
      </x:c>
      <x:c r="P55" s="92"/>
      <x:c r="Q55" s="92"/>
      <x:c r="R55" s="92"/>
      <x:c r="S55" s="92"/>
      <x:c r="T55" s="92"/>
      <x:c r="U55" s="92"/>
      <x:c r="V55" s="92"/>
      <x:c r="W55" s="93"/>
      <x:c r="X55" s="94" t="str">
        <x:f>IF(A55="","",IF(V55&lt;&gt;"Verified","Pending HOD Verification",IF(T55="","Pending Review",IF(T55="Not Applicable","Closed — N/A",IF(M55="","Pending Reassessment",IF(AND(T55="Effective",N55&gt;=L55),"Closed — Effective","Further Action Required"))))))</x:f>
      </x:c>
      <x:c r="Y55" s="92"/>
    </x:row>
    <x:row r="56">
      <x:c r="A56" s="92"/>
      <x:c r="B56" s="92"/>
      <x:c r="C56" s="92"/>
      <x:c r="D56" s="94" t="str">
        <x:f>IFERROR(VLOOKUP(C56,'01 Staff Master'!$A$6:$M$105,2,FALSE),"")</x:f>
      </x:c>
      <x:c r="E56" s="94" t="str">
        <x:f>IFERROR(VLOOKUP(C56,'01 Staff Master'!$A$6:$M$105,3,FALSE),"")</x:f>
      </x:c>
      <x:c r="F56" s="92"/>
      <x:c r="G56" s="94" t="str">
        <x:f>IFERROR(VLOOKUP(F56,'02 Skill Catalogue'!$A$6:$K$95,4,FALSE),"")</x:f>
      </x:c>
      <x:c r="H56" s="92"/>
      <x:c r="I56" s="93"/>
      <x:c r="J56" s="92"/>
      <x:c r="K56" s="92"/>
      <x:c r="L56" s="92"/>
      <x:c r="M56" s="92"/>
      <x:c r="N56" s="94" t="str">
        <x:f>IFERROR(VLOOKUP(M56,'04 Assessment Log'!$A$6:$AE$155,15,FALSE),"")</x:f>
      </x:c>
      <x:c r="O56" s="94" t="str">
        <x:f>IF(OR(K56="",N56=""),"",N56-K56)</x:f>
      </x:c>
      <x:c r="P56" s="92"/>
      <x:c r="Q56" s="92"/>
      <x:c r="R56" s="92"/>
      <x:c r="S56" s="92"/>
      <x:c r="T56" s="92"/>
      <x:c r="U56" s="92"/>
      <x:c r="V56" s="92"/>
      <x:c r="W56" s="93"/>
      <x:c r="X56" s="94" t="str">
        <x:f>IF(A56="","",IF(V56&lt;&gt;"Verified","Pending HOD Verification",IF(T56="","Pending Review",IF(T56="Not Applicable","Closed — N/A",IF(M56="","Pending Reassessment",IF(AND(T56="Effective",N56&gt;=L56),"Closed — Effective","Further Action Required"))))))</x:f>
      </x:c>
      <x:c r="Y56" s="92"/>
    </x:row>
    <x:row r="57">
      <x:c r="A57" s="92"/>
      <x:c r="B57" s="92"/>
      <x:c r="C57" s="92"/>
      <x:c r="D57" s="94" t="str">
        <x:f>IFERROR(VLOOKUP(C57,'01 Staff Master'!$A$6:$M$105,2,FALSE),"")</x:f>
      </x:c>
      <x:c r="E57" s="94" t="str">
        <x:f>IFERROR(VLOOKUP(C57,'01 Staff Master'!$A$6:$M$105,3,FALSE),"")</x:f>
      </x:c>
      <x:c r="F57" s="92"/>
      <x:c r="G57" s="94" t="str">
        <x:f>IFERROR(VLOOKUP(F57,'02 Skill Catalogue'!$A$6:$K$95,4,FALSE),"")</x:f>
      </x:c>
      <x:c r="H57" s="92"/>
      <x:c r="I57" s="93"/>
      <x:c r="J57" s="92"/>
      <x:c r="K57" s="92"/>
      <x:c r="L57" s="92"/>
      <x:c r="M57" s="92"/>
      <x:c r="N57" s="94" t="str">
        <x:f>IFERROR(VLOOKUP(M57,'04 Assessment Log'!$A$6:$AE$155,15,FALSE),"")</x:f>
      </x:c>
      <x:c r="O57" s="94" t="str">
        <x:f>IF(OR(K57="",N57=""),"",N57-K57)</x:f>
      </x:c>
      <x:c r="P57" s="92"/>
      <x:c r="Q57" s="92"/>
      <x:c r="R57" s="92"/>
      <x:c r="S57" s="92"/>
      <x:c r="T57" s="92"/>
      <x:c r="U57" s="92"/>
      <x:c r="V57" s="92"/>
      <x:c r="W57" s="93"/>
      <x:c r="X57" s="94" t="str">
        <x:f>IF(A57="","",IF(V57&lt;&gt;"Verified","Pending HOD Verification",IF(T57="","Pending Review",IF(T57="Not Applicable","Closed — N/A",IF(M57="","Pending Reassessment",IF(AND(T57="Effective",N57&gt;=L57),"Closed — Effective","Further Action Required"))))))</x:f>
      </x:c>
      <x:c r="Y57" s="92"/>
    </x:row>
    <x:row r="58">
      <x:c r="A58" s="92"/>
      <x:c r="B58" s="92"/>
      <x:c r="C58" s="92"/>
      <x:c r="D58" s="94" t="str">
        <x:f>IFERROR(VLOOKUP(C58,'01 Staff Master'!$A$6:$M$105,2,FALSE),"")</x:f>
      </x:c>
      <x:c r="E58" s="94" t="str">
        <x:f>IFERROR(VLOOKUP(C58,'01 Staff Master'!$A$6:$M$105,3,FALSE),"")</x:f>
      </x:c>
      <x:c r="F58" s="92"/>
      <x:c r="G58" s="94" t="str">
        <x:f>IFERROR(VLOOKUP(F58,'02 Skill Catalogue'!$A$6:$K$95,4,FALSE),"")</x:f>
      </x:c>
      <x:c r="H58" s="92"/>
      <x:c r="I58" s="93"/>
      <x:c r="J58" s="92"/>
      <x:c r="K58" s="92"/>
      <x:c r="L58" s="92"/>
      <x:c r="M58" s="92"/>
      <x:c r="N58" s="94" t="str">
        <x:f>IFERROR(VLOOKUP(M58,'04 Assessment Log'!$A$6:$AE$155,15,FALSE),"")</x:f>
      </x:c>
      <x:c r="O58" s="94" t="str">
        <x:f>IF(OR(K58="",N58=""),"",N58-K58)</x:f>
      </x:c>
      <x:c r="P58" s="92"/>
      <x:c r="Q58" s="92"/>
      <x:c r="R58" s="92"/>
      <x:c r="S58" s="92"/>
      <x:c r="T58" s="92"/>
      <x:c r="U58" s="92"/>
      <x:c r="V58" s="92"/>
      <x:c r="W58" s="93"/>
      <x:c r="X58" s="94" t="str">
        <x:f>IF(A58="","",IF(V58&lt;&gt;"Verified","Pending HOD Verification",IF(T58="","Pending Review",IF(T58="Not Applicable","Closed — N/A",IF(M58="","Pending Reassessment",IF(AND(T58="Effective",N58&gt;=L58),"Closed — Effective","Further Action Required"))))))</x:f>
      </x:c>
      <x:c r="Y58" s="92"/>
    </x:row>
    <x:row r="59">
      <x:c r="A59" s="92"/>
      <x:c r="B59" s="92"/>
      <x:c r="C59" s="92"/>
      <x:c r="D59" s="94" t="str">
        <x:f>IFERROR(VLOOKUP(C59,'01 Staff Master'!$A$6:$M$105,2,FALSE),"")</x:f>
      </x:c>
      <x:c r="E59" s="94" t="str">
        <x:f>IFERROR(VLOOKUP(C59,'01 Staff Master'!$A$6:$M$105,3,FALSE),"")</x:f>
      </x:c>
      <x:c r="F59" s="92"/>
      <x:c r="G59" s="94" t="str">
        <x:f>IFERROR(VLOOKUP(F59,'02 Skill Catalogue'!$A$6:$K$95,4,FALSE),"")</x:f>
      </x:c>
      <x:c r="H59" s="92"/>
      <x:c r="I59" s="93"/>
      <x:c r="J59" s="92"/>
      <x:c r="K59" s="92"/>
      <x:c r="L59" s="92"/>
      <x:c r="M59" s="92"/>
      <x:c r="N59" s="94" t="str">
        <x:f>IFERROR(VLOOKUP(M59,'04 Assessment Log'!$A$6:$AE$155,15,FALSE),"")</x:f>
      </x:c>
      <x:c r="O59" s="94" t="str">
        <x:f>IF(OR(K59="",N59=""),"",N59-K59)</x:f>
      </x:c>
      <x:c r="P59" s="92"/>
      <x:c r="Q59" s="92"/>
      <x:c r="R59" s="92"/>
      <x:c r="S59" s="92"/>
      <x:c r="T59" s="92"/>
      <x:c r="U59" s="92"/>
      <x:c r="V59" s="92"/>
      <x:c r="W59" s="93"/>
      <x:c r="X59" s="94" t="str">
        <x:f>IF(A59="","",IF(V59&lt;&gt;"Verified","Pending HOD Verification",IF(T59="","Pending Review",IF(T59="Not Applicable","Closed — N/A",IF(M59="","Pending Reassessment",IF(AND(T59="Effective",N59&gt;=L59),"Closed — Effective","Further Action Required"))))))</x:f>
      </x:c>
      <x:c r="Y59" s="92"/>
    </x:row>
    <x:row r="60">
      <x:c r="A60" s="92"/>
      <x:c r="B60" s="92"/>
      <x:c r="C60" s="92"/>
      <x:c r="D60" s="94" t="str">
        <x:f>IFERROR(VLOOKUP(C60,'01 Staff Master'!$A$6:$M$105,2,FALSE),"")</x:f>
      </x:c>
      <x:c r="E60" s="94" t="str">
        <x:f>IFERROR(VLOOKUP(C60,'01 Staff Master'!$A$6:$M$105,3,FALSE),"")</x:f>
      </x:c>
      <x:c r="F60" s="92"/>
      <x:c r="G60" s="94" t="str">
        <x:f>IFERROR(VLOOKUP(F60,'02 Skill Catalogue'!$A$6:$K$95,4,FALSE),"")</x:f>
      </x:c>
      <x:c r="H60" s="92"/>
      <x:c r="I60" s="93"/>
      <x:c r="J60" s="92"/>
      <x:c r="K60" s="92"/>
      <x:c r="L60" s="92"/>
      <x:c r="M60" s="92"/>
      <x:c r="N60" s="94" t="str">
        <x:f>IFERROR(VLOOKUP(M60,'04 Assessment Log'!$A$6:$AE$155,15,FALSE),"")</x:f>
      </x:c>
      <x:c r="O60" s="94" t="str">
        <x:f>IF(OR(K60="",N60=""),"",N60-K60)</x:f>
      </x:c>
      <x:c r="P60" s="92"/>
      <x:c r="Q60" s="92"/>
      <x:c r="R60" s="92"/>
      <x:c r="S60" s="92"/>
      <x:c r="T60" s="92"/>
      <x:c r="U60" s="92"/>
      <x:c r="V60" s="92"/>
      <x:c r="W60" s="93"/>
      <x:c r="X60" s="94" t="str">
        <x:f>IF(A60="","",IF(V60&lt;&gt;"Verified","Pending HOD Verification",IF(T60="","Pending Review",IF(T60="Not Applicable","Closed — N/A",IF(M60="","Pending Reassessment",IF(AND(T60="Effective",N60&gt;=L60),"Closed — Effective","Further Action Required"))))))</x:f>
      </x:c>
      <x:c r="Y60" s="92"/>
    </x:row>
    <x:row r="61">
      <x:c r="A61" s="92"/>
      <x:c r="B61" s="92"/>
      <x:c r="C61" s="92"/>
      <x:c r="D61" s="94" t="str">
        <x:f>IFERROR(VLOOKUP(C61,'01 Staff Master'!$A$6:$M$105,2,FALSE),"")</x:f>
      </x:c>
      <x:c r="E61" s="94" t="str">
        <x:f>IFERROR(VLOOKUP(C61,'01 Staff Master'!$A$6:$M$105,3,FALSE),"")</x:f>
      </x:c>
      <x:c r="F61" s="92"/>
      <x:c r="G61" s="94" t="str">
        <x:f>IFERROR(VLOOKUP(F61,'02 Skill Catalogue'!$A$6:$K$95,4,FALSE),"")</x:f>
      </x:c>
      <x:c r="H61" s="92"/>
      <x:c r="I61" s="93"/>
      <x:c r="J61" s="92"/>
      <x:c r="K61" s="92"/>
      <x:c r="L61" s="92"/>
      <x:c r="M61" s="92"/>
      <x:c r="N61" s="94" t="str">
        <x:f>IFERROR(VLOOKUP(M61,'04 Assessment Log'!$A$6:$AE$155,15,FALSE),"")</x:f>
      </x:c>
      <x:c r="O61" s="94" t="str">
        <x:f>IF(OR(K61="",N61=""),"",N61-K61)</x:f>
      </x:c>
      <x:c r="P61" s="92"/>
      <x:c r="Q61" s="92"/>
      <x:c r="R61" s="92"/>
      <x:c r="S61" s="92"/>
      <x:c r="T61" s="92"/>
      <x:c r="U61" s="92"/>
      <x:c r="V61" s="92"/>
      <x:c r="W61" s="93"/>
      <x:c r="X61" s="94" t="str">
        <x:f>IF(A61="","",IF(V61&lt;&gt;"Verified","Pending HOD Verification",IF(T61="","Pending Review",IF(T61="Not Applicable","Closed — N/A",IF(M61="","Pending Reassessment",IF(AND(T61="Effective",N61&gt;=L61),"Closed — Effective","Further Action Required"))))))</x:f>
      </x:c>
      <x:c r="Y61" s="92"/>
    </x:row>
    <x:row r="62">
      <x:c r="A62" s="92"/>
      <x:c r="B62" s="92"/>
      <x:c r="C62" s="92"/>
      <x:c r="D62" s="94" t="str">
        <x:f>IFERROR(VLOOKUP(C62,'01 Staff Master'!$A$6:$M$105,2,FALSE),"")</x:f>
      </x:c>
      <x:c r="E62" s="94" t="str">
        <x:f>IFERROR(VLOOKUP(C62,'01 Staff Master'!$A$6:$M$105,3,FALSE),"")</x:f>
      </x:c>
      <x:c r="F62" s="92"/>
      <x:c r="G62" s="94" t="str">
        <x:f>IFERROR(VLOOKUP(F62,'02 Skill Catalogue'!$A$6:$K$95,4,FALSE),"")</x:f>
      </x:c>
      <x:c r="H62" s="92"/>
      <x:c r="I62" s="93"/>
      <x:c r="J62" s="92"/>
      <x:c r="K62" s="92"/>
      <x:c r="L62" s="92"/>
      <x:c r="M62" s="92"/>
      <x:c r="N62" s="94" t="str">
        <x:f>IFERROR(VLOOKUP(M62,'04 Assessment Log'!$A$6:$AE$155,15,FALSE),"")</x:f>
      </x:c>
      <x:c r="O62" s="94" t="str">
        <x:f>IF(OR(K62="",N62=""),"",N62-K62)</x:f>
      </x:c>
      <x:c r="P62" s="92"/>
      <x:c r="Q62" s="92"/>
      <x:c r="R62" s="92"/>
      <x:c r="S62" s="92"/>
      <x:c r="T62" s="92"/>
      <x:c r="U62" s="92"/>
      <x:c r="V62" s="92"/>
      <x:c r="W62" s="93"/>
      <x:c r="X62" s="94" t="str">
        <x:f>IF(A62="","",IF(V62&lt;&gt;"Verified","Pending HOD Verification",IF(T62="","Pending Review",IF(T62="Not Applicable","Closed — N/A",IF(M62="","Pending Reassessment",IF(AND(T62="Effective",N62&gt;=L62),"Closed — Effective","Further Action Required"))))))</x:f>
      </x:c>
      <x:c r="Y62" s="92"/>
    </x:row>
    <x:row r="63">
      <x:c r="A63" s="92"/>
      <x:c r="B63" s="92"/>
      <x:c r="C63" s="92"/>
      <x:c r="D63" s="94" t="str">
        <x:f>IFERROR(VLOOKUP(C63,'01 Staff Master'!$A$6:$M$105,2,FALSE),"")</x:f>
      </x:c>
      <x:c r="E63" s="94" t="str">
        <x:f>IFERROR(VLOOKUP(C63,'01 Staff Master'!$A$6:$M$105,3,FALSE),"")</x:f>
      </x:c>
      <x:c r="F63" s="92"/>
      <x:c r="G63" s="94" t="str">
        <x:f>IFERROR(VLOOKUP(F63,'02 Skill Catalogue'!$A$6:$K$95,4,FALSE),"")</x:f>
      </x:c>
      <x:c r="H63" s="92"/>
      <x:c r="I63" s="93"/>
      <x:c r="J63" s="92"/>
      <x:c r="K63" s="92"/>
      <x:c r="L63" s="92"/>
      <x:c r="M63" s="92"/>
      <x:c r="N63" s="94" t="str">
        <x:f>IFERROR(VLOOKUP(M63,'04 Assessment Log'!$A$6:$AE$155,15,FALSE),"")</x:f>
      </x:c>
      <x:c r="O63" s="94" t="str">
        <x:f>IF(OR(K63="",N63=""),"",N63-K63)</x:f>
      </x:c>
      <x:c r="P63" s="92"/>
      <x:c r="Q63" s="92"/>
      <x:c r="R63" s="92"/>
      <x:c r="S63" s="92"/>
      <x:c r="T63" s="92"/>
      <x:c r="U63" s="92"/>
      <x:c r="V63" s="92"/>
      <x:c r="W63" s="93"/>
      <x:c r="X63" s="94" t="str">
        <x:f>IF(A63="","",IF(V63&lt;&gt;"Verified","Pending HOD Verification",IF(T63="","Pending Review",IF(T63="Not Applicable","Closed — N/A",IF(M63="","Pending Reassessment",IF(AND(T63="Effective",N63&gt;=L63),"Closed — Effective","Further Action Required"))))))</x:f>
      </x:c>
      <x:c r="Y63" s="92"/>
    </x:row>
    <x:row r="64">
      <x:c r="A64" s="92"/>
      <x:c r="B64" s="92"/>
      <x:c r="C64" s="92"/>
      <x:c r="D64" s="94" t="str">
        <x:f>IFERROR(VLOOKUP(C64,'01 Staff Master'!$A$6:$M$105,2,FALSE),"")</x:f>
      </x:c>
      <x:c r="E64" s="94" t="str">
        <x:f>IFERROR(VLOOKUP(C64,'01 Staff Master'!$A$6:$M$105,3,FALSE),"")</x:f>
      </x:c>
      <x:c r="F64" s="92"/>
      <x:c r="G64" s="94" t="str">
        <x:f>IFERROR(VLOOKUP(F64,'02 Skill Catalogue'!$A$6:$K$95,4,FALSE),"")</x:f>
      </x:c>
      <x:c r="H64" s="92"/>
      <x:c r="I64" s="93"/>
      <x:c r="J64" s="92"/>
      <x:c r="K64" s="92"/>
      <x:c r="L64" s="92"/>
      <x:c r="M64" s="92"/>
      <x:c r="N64" s="94" t="str">
        <x:f>IFERROR(VLOOKUP(M64,'04 Assessment Log'!$A$6:$AE$155,15,FALSE),"")</x:f>
      </x:c>
      <x:c r="O64" s="94" t="str">
        <x:f>IF(OR(K64="",N64=""),"",N64-K64)</x:f>
      </x:c>
      <x:c r="P64" s="92"/>
      <x:c r="Q64" s="92"/>
      <x:c r="R64" s="92"/>
      <x:c r="S64" s="92"/>
      <x:c r="T64" s="92"/>
      <x:c r="U64" s="92"/>
      <x:c r="V64" s="92"/>
      <x:c r="W64" s="93"/>
      <x:c r="X64" s="94" t="str">
        <x:f>IF(A64="","",IF(V64&lt;&gt;"Verified","Pending HOD Verification",IF(T64="","Pending Review",IF(T64="Not Applicable","Closed — N/A",IF(M64="","Pending Reassessment",IF(AND(T64="Effective",N64&gt;=L64),"Closed — Effective","Further Action Required"))))))</x:f>
      </x:c>
      <x:c r="Y64" s="92"/>
    </x:row>
    <x:row r="65">
      <x:c r="A65" s="92"/>
      <x:c r="B65" s="92"/>
      <x:c r="C65" s="92"/>
      <x:c r="D65" s="94" t="str">
        <x:f>IFERROR(VLOOKUP(C65,'01 Staff Master'!$A$6:$M$105,2,FALSE),"")</x:f>
      </x:c>
      <x:c r="E65" s="94" t="str">
        <x:f>IFERROR(VLOOKUP(C65,'01 Staff Master'!$A$6:$M$105,3,FALSE),"")</x:f>
      </x:c>
      <x:c r="F65" s="92"/>
      <x:c r="G65" s="94" t="str">
        <x:f>IFERROR(VLOOKUP(F65,'02 Skill Catalogue'!$A$6:$K$95,4,FALSE),"")</x:f>
      </x:c>
      <x:c r="H65" s="92"/>
      <x:c r="I65" s="93"/>
      <x:c r="J65" s="92"/>
      <x:c r="K65" s="92"/>
      <x:c r="L65" s="92"/>
      <x:c r="M65" s="92"/>
      <x:c r="N65" s="94" t="str">
        <x:f>IFERROR(VLOOKUP(M65,'04 Assessment Log'!$A$6:$AE$155,15,FALSE),"")</x:f>
      </x:c>
      <x:c r="O65" s="94" t="str">
        <x:f>IF(OR(K65="",N65=""),"",N65-K65)</x:f>
      </x:c>
      <x:c r="P65" s="92"/>
      <x:c r="Q65" s="92"/>
      <x:c r="R65" s="92"/>
      <x:c r="S65" s="92"/>
      <x:c r="T65" s="92"/>
      <x:c r="U65" s="92"/>
      <x:c r="V65" s="92"/>
      <x:c r="W65" s="93"/>
      <x:c r="X65" s="94" t="str">
        <x:f>IF(A65="","",IF(V65&lt;&gt;"Verified","Pending HOD Verification",IF(T65="","Pending Review",IF(T65="Not Applicable","Closed — N/A",IF(M65="","Pending Reassessment",IF(AND(T65="Effective",N65&gt;=L65),"Closed — Effective","Further Action Required"))))))</x:f>
      </x:c>
      <x:c r="Y65" s="92"/>
    </x:row>
    <x:row r="66">
      <x:c r="A66" s="92"/>
      <x:c r="B66" s="92"/>
      <x:c r="C66" s="92"/>
      <x:c r="D66" s="94" t="str">
        <x:f>IFERROR(VLOOKUP(C66,'01 Staff Master'!$A$6:$M$105,2,FALSE),"")</x:f>
      </x:c>
      <x:c r="E66" s="94" t="str">
        <x:f>IFERROR(VLOOKUP(C66,'01 Staff Master'!$A$6:$M$105,3,FALSE),"")</x:f>
      </x:c>
      <x:c r="F66" s="92"/>
      <x:c r="G66" s="94" t="str">
        <x:f>IFERROR(VLOOKUP(F66,'02 Skill Catalogue'!$A$6:$K$95,4,FALSE),"")</x:f>
      </x:c>
      <x:c r="H66" s="92"/>
      <x:c r="I66" s="93"/>
      <x:c r="J66" s="92"/>
      <x:c r="K66" s="92"/>
      <x:c r="L66" s="92"/>
      <x:c r="M66" s="92"/>
      <x:c r="N66" s="94" t="str">
        <x:f>IFERROR(VLOOKUP(M66,'04 Assessment Log'!$A$6:$AE$155,15,FALSE),"")</x:f>
      </x:c>
      <x:c r="O66" s="94" t="str">
        <x:f>IF(OR(K66="",N66=""),"",N66-K66)</x:f>
      </x:c>
      <x:c r="P66" s="92"/>
      <x:c r="Q66" s="92"/>
      <x:c r="R66" s="92"/>
      <x:c r="S66" s="92"/>
      <x:c r="T66" s="92"/>
      <x:c r="U66" s="92"/>
      <x:c r="V66" s="92"/>
      <x:c r="W66" s="93"/>
      <x:c r="X66" s="94" t="str">
        <x:f>IF(A66="","",IF(V66&lt;&gt;"Verified","Pending HOD Verification",IF(T66="","Pending Review",IF(T66="Not Applicable","Closed — N/A",IF(M66="","Pending Reassessment",IF(AND(T66="Effective",N66&gt;=L66),"Closed — Effective","Further Action Required"))))))</x:f>
      </x:c>
      <x:c r="Y66" s="92"/>
    </x:row>
    <x:row r="67">
      <x:c r="A67" s="92"/>
      <x:c r="B67" s="92"/>
      <x:c r="C67" s="92"/>
      <x:c r="D67" s="94" t="str">
        <x:f>IFERROR(VLOOKUP(C67,'01 Staff Master'!$A$6:$M$105,2,FALSE),"")</x:f>
      </x:c>
      <x:c r="E67" s="94" t="str">
        <x:f>IFERROR(VLOOKUP(C67,'01 Staff Master'!$A$6:$M$105,3,FALSE),"")</x:f>
      </x:c>
      <x:c r="F67" s="92"/>
      <x:c r="G67" s="94" t="str">
        <x:f>IFERROR(VLOOKUP(F67,'02 Skill Catalogue'!$A$6:$K$95,4,FALSE),"")</x:f>
      </x:c>
      <x:c r="H67" s="92"/>
      <x:c r="I67" s="93"/>
      <x:c r="J67" s="92"/>
      <x:c r="K67" s="92"/>
      <x:c r="L67" s="92"/>
      <x:c r="M67" s="92"/>
      <x:c r="N67" s="94" t="str">
        <x:f>IFERROR(VLOOKUP(M67,'04 Assessment Log'!$A$6:$AE$155,15,FALSE),"")</x:f>
      </x:c>
      <x:c r="O67" s="94" t="str">
        <x:f>IF(OR(K67="",N67=""),"",N67-K67)</x:f>
      </x:c>
      <x:c r="P67" s="92"/>
      <x:c r="Q67" s="92"/>
      <x:c r="R67" s="92"/>
      <x:c r="S67" s="92"/>
      <x:c r="T67" s="92"/>
      <x:c r="U67" s="92"/>
      <x:c r="V67" s="92"/>
      <x:c r="W67" s="93"/>
      <x:c r="X67" s="94" t="str">
        <x:f>IF(A67="","",IF(V67&lt;&gt;"Verified","Pending HOD Verification",IF(T67="","Pending Review",IF(T67="Not Applicable","Closed — N/A",IF(M67="","Pending Reassessment",IF(AND(T67="Effective",N67&gt;=L67),"Closed — Effective","Further Action Required"))))))</x:f>
      </x:c>
      <x:c r="Y67" s="92"/>
    </x:row>
    <x:row r="68">
      <x:c r="A68" s="92"/>
      <x:c r="B68" s="92"/>
      <x:c r="C68" s="92"/>
      <x:c r="D68" s="94" t="str">
        <x:f>IFERROR(VLOOKUP(C68,'01 Staff Master'!$A$6:$M$105,2,FALSE),"")</x:f>
      </x:c>
      <x:c r="E68" s="94" t="str">
        <x:f>IFERROR(VLOOKUP(C68,'01 Staff Master'!$A$6:$M$105,3,FALSE),"")</x:f>
      </x:c>
      <x:c r="F68" s="92"/>
      <x:c r="G68" s="94" t="str">
        <x:f>IFERROR(VLOOKUP(F68,'02 Skill Catalogue'!$A$6:$K$95,4,FALSE),"")</x:f>
      </x:c>
      <x:c r="H68" s="92"/>
      <x:c r="I68" s="93"/>
      <x:c r="J68" s="92"/>
      <x:c r="K68" s="92"/>
      <x:c r="L68" s="92"/>
      <x:c r="M68" s="92"/>
      <x:c r="N68" s="94" t="str">
        <x:f>IFERROR(VLOOKUP(M68,'04 Assessment Log'!$A$6:$AE$155,15,FALSE),"")</x:f>
      </x:c>
      <x:c r="O68" s="94" t="str">
        <x:f>IF(OR(K68="",N68=""),"",N68-K68)</x:f>
      </x:c>
      <x:c r="P68" s="92"/>
      <x:c r="Q68" s="92"/>
      <x:c r="R68" s="92"/>
      <x:c r="S68" s="92"/>
      <x:c r="T68" s="92"/>
      <x:c r="U68" s="92"/>
      <x:c r="V68" s="92"/>
      <x:c r="W68" s="93"/>
      <x:c r="X68" s="94" t="str">
        <x:f>IF(A68="","",IF(V68&lt;&gt;"Verified","Pending HOD Verification",IF(T68="","Pending Review",IF(T68="Not Applicable","Closed — N/A",IF(M68="","Pending Reassessment",IF(AND(T68="Effective",N68&gt;=L68),"Closed — Effective","Further Action Required"))))))</x:f>
      </x:c>
      <x:c r="Y68" s="92"/>
    </x:row>
    <x:row r="69">
      <x:c r="A69" s="92"/>
      <x:c r="B69" s="92"/>
      <x:c r="C69" s="92"/>
      <x:c r="D69" s="94" t="str">
        <x:f>IFERROR(VLOOKUP(C69,'01 Staff Master'!$A$6:$M$105,2,FALSE),"")</x:f>
      </x:c>
      <x:c r="E69" s="94" t="str">
        <x:f>IFERROR(VLOOKUP(C69,'01 Staff Master'!$A$6:$M$105,3,FALSE),"")</x:f>
      </x:c>
      <x:c r="F69" s="92"/>
      <x:c r="G69" s="94" t="str">
        <x:f>IFERROR(VLOOKUP(F69,'02 Skill Catalogue'!$A$6:$K$95,4,FALSE),"")</x:f>
      </x:c>
      <x:c r="H69" s="92"/>
      <x:c r="I69" s="93"/>
      <x:c r="J69" s="92"/>
      <x:c r="K69" s="92"/>
      <x:c r="L69" s="92"/>
      <x:c r="M69" s="92"/>
      <x:c r="N69" s="94" t="str">
        <x:f>IFERROR(VLOOKUP(M69,'04 Assessment Log'!$A$6:$AE$155,15,FALSE),"")</x:f>
      </x:c>
      <x:c r="O69" s="94" t="str">
        <x:f>IF(OR(K69="",N69=""),"",N69-K69)</x:f>
      </x:c>
      <x:c r="P69" s="92"/>
      <x:c r="Q69" s="92"/>
      <x:c r="R69" s="92"/>
      <x:c r="S69" s="92"/>
      <x:c r="T69" s="92"/>
      <x:c r="U69" s="92"/>
      <x:c r="V69" s="92"/>
      <x:c r="W69" s="93"/>
      <x:c r="X69" s="94" t="str">
        <x:f>IF(A69="","",IF(V69&lt;&gt;"Verified","Pending HOD Verification",IF(T69="","Pending Review",IF(T69="Not Applicable","Closed — N/A",IF(M69="","Pending Reassessment",IF(AND(T69="Effective",N69&gt;=L69),"Closed — Effective","Further Action Required"))))))</x:f>
      </x:c>
      <x:c r="Y69" s="92"/>
    </x:row>
    <x:row r="70">
      <x:c r="A70" s="92"/>
      <x:c r="B70" s="92"/>
      <x:c r="C70" s="92"/>
      <x:c r="D70" s="94" t="str">
        <x:f>IFERROR(VLOOKUP(C70,'01 Staff Master'!$A$6:$M$105,2,FALSE),"")</x:f>
      </x:c>
      <x:c r="E70" s="94" t="str">
        <x:f>IFERROR(VLOOKUP(C70,'01 Staff Master'!$A$6:$M$105,3,FALSE),"")</x:f>
      </x:c>
      <x:c r="F70" s="92"/>
      <x:c r="G70" s="94" t="str">
        <x:f>IFERROR(VLOOKUP(F70,'02 Skill Catalogue'!$A$6:$K$95,4,FALSE),"")</x:f>
      </x:c>
      <x:c r="H70" s="92"/>
      <x:c r="I70" s="93"/>
      <x:c r="J70" s="92"/>
      <x:c r="K70" s="92"/>
      <x:c r="L70" s="92"/>
      <x:c r="M70" s="92"/>
      <x:c r="N70" s="94" t="str">
        <x:f>IFERROR(VLOOKUP(M70,'04 Assessment Log'!$A$6:$AE$155,15,FALSE),"")</x:f>
      </x:c>
      <x:c r="O70" s="94" t="str">
        <x:f>IF(OR(K70="",N70=""),"",N70-K70)</x:f>
      </x:c>
      <x:c r="P70" s="92"/>
      <x:c r="Q70" s="92"/>
      <x:c r="R70" s="92"/>
      <x:c r="S70" s="92"/>
      <x:c r="T70" s="92"/>
      <x:c r="U70" s="92"/>
      <x:c r="V70" s="92"/>
      <x:c r="W70" s="93"/>
      <x:c r="X70" s="94" t="str">
        <x:f>IF(A70="","",IF(V70&lt;&gt;"Verified","Pending HOD Verification",IF(T70="","Pending Review",IF(T70="Not Applicable","Closed — N/A",IF(M70="","Pending Reassessment",IF(AND(T70="Effective",N70&gt;=L70),"Closed — Effective","Further Action Required"))))))</x:f>
      </x:c>
      <x:c r="Y70" s="92"/>
    </x:row>
    <x:row r="71">
      <x:c r="A71" s="92"/>
      <x:c r="B71" s="92"/>
      <x:c r="C71" s="92"/>
      <x:c r="D71" s="94" t="str">
        <x:f>IFERROR(VLOOKUP(C71,'01 Staff Master'!$A$6:$M$105,2,FALSE),"")</x:f>
      </x:c>
      <x:c r="E71" s="94" t="str">
        <x:f>IFERROR(VLOOKUP(C71,'01 Staff Master'!$A$6:$M$105,3,FALSE),"")</x:f>
      </x:c>
      <x:c r="F71" s="92"/>
      <x:c r="G71" s="94" t="str">
        <x:f>IFERROR(VLOOKUP(F71,'02 Skill Catalogue'!$A$6:$K$95,4,FALSE),"")</x:f>
      </x:c>
      <x:c r="H71" s="92"/>
      <x:c r="I71" s="93"/>
      <x:c r="J71" s="92"/>
      <x:c r="K71" s="92"/>
      <x:c r="L71" s="92"/>
      <x:c r="M71" s="92"/>
      <x:c r="N71" s="94" t="str">
        <x:f>IFERROR(VLOOKUP(M71,'04 Assessment Log'!$A$6:$AE$155,15,FALSE),"")</x:f>
      </x:c>
      <x:c r="O71" s="94" t="str">
        <x:f>IF(OR(K71="",N71=""),"",N71-K71)</x:f>
      </x:c>
      <x:c r="P71" s="92"/>
      <x:c r="Q71" s="92"/>
      <x:c r="R71" s="92"/>
      <x:c r="S71" s="92"/>
      <x:c r="T71" s="92"/>
      <x:c r="U71" s="92"/>
      <x:c r="V71" s="92"/>
      <x:c r="W71" s="93"/>
      <x:c r="X71" s="94" t="str">
        <x:f>IF(A71="","",IF(V71&lt;&gt;"Verified","Pending HOD Verification",IF(T71="","Pending Review",IF(T71="Not Applicable","Closed — N/A",IF(M71="","Pending Reassessment",IF(AND(T71="Effective",N71&gt;=L71),"Closed — Effective","Further Action Required"))))))</x:f>
      </x:c>
      <x:c r="Y71" s="92"/>
    </x:row>
    <x:row r="72">
      <x:c r="A72" s="92"/>
      <x:c r="B72" s="92"/>
      <x:c r="C72" s="92"/>
      <x:c r="D72" s="94" t="str">
        <x:f>IFERROR(VLOOKUP(C72,'01 Staff Master'!$A$6:$M$105,2,FALSE),"")</x:f>
      </x:c>
      <x:c r="E72" s="94" t="str">
        <x:f>IFERROR(VLOOKUP(C72,'01 Staff Master'!$A$6:$M$105,3,FALSE),"")</x:f>
      </x:c>
      <x:c r="F72" s="92"/>
      <x:c r="G72" s="94" t="str">
        <x:f>IFERROR(VLOOKUP(F72,'02 Skill Catalogue'!$A$6:$K$95,4,FALSE),"")</x:f>
      </x:c>
      <x:c r="H72" s="92"/>
      <x:c r="I72" s="93"/>
      <x:c r="J72" s="92"/>
      <x:c r="K72" s="92"/>
      <x:c r="L72" s="92"/>
      <x:c r="M72" s="92"/>
      <x:c r="N72" s="94" t="str">
        <x:f>IFERROR(VLOOKUP(M72,'04 Assessment Log'!$A$6:$AE$155,15,FALSE),"")</x:f>
      </x:c>
      <x:c r="O72" s="94" t="str">
        <x:f>IF(OR(K72="",N72=""),"",N72-K72)</x:f>
      </x:c>
      <x:c r="P72" s="92"/>
      <x:c r="Q72" s="92"/>
      <x:c r="R72" s="92"/>
      <x:c r="S72" s="92"/>
      <x:c r="T72" s="92"/>
      <x:c r="U72" s="92"/>
      <x:c r="V72" s="92"/>
      <x:c r="W72" s="93"/>
      <x:c r="X72" s="94" t="str">
        <x:f>IF(A72="","",IF(V72&lt;&gt;"Verified","Pending HOD Verification",IF(T72="","Pending Review",IF(T72="Not Applicable","Closed — N/A",IF(M72="","Pending Reassessment",IF(AND(T72="Effective",N72&gt;=L72),"Closed — Effective","Further Action Required"))))))</x:f>
      </x:c>
      <x:c r="Y72" s="92"/>
    </x:row>
    <x:row r="73">
      <x:c r="A73" s="92"/>
      <x:c r="B73" s="92"/>
      <x:c r="C73" s="92"/>
      <x:c r="D73" s="94" t="str">
        <x:f>IFERROR(VLOOKUP(C73,'01 Staff Master'!$A$6:$M$105,2,FALSE),"")</x:f>
      </x:c>
      <x:c r="E73" s="94" t="str">
        <x:f>IFERROR(VLOOKUP(C73,'01 Staff Master'!$A$6:$M$105,3,FALSE),"")</x:f>
      </x:c>
      <x:c r="F73" s="92"/>
      <x:c r="G73" s="94" t="str">
        <x:f>IFERROR(VLOOKUP(F73,'02 Skill Catalogue'!$A$6:$K$95,4,FALSE),"")</x:f>
      </x:c>
      <x:c r="H73" s="92"/>
      <x:c r="I73" s="93"/>
      <x:c r="J73" s="92"/>
      <x:c r="K73" s="92"/>
      <x:c r="L73" s="92"/>
      <x:c r="M73" s="92"/>
      <x:c r="N73" s="94" t="str">
        <x:f>IFERROR(VLOOKUP(M73,'04 Assessment Log'!$A$6:$AE$155,15,FALSE),"")</x:f>
      </x:c>
      <x:c r="O73" s="94" t="str">
        <x:f>IF(OR(K73="",N73=""),"",N73-K73)</x:f>
      </x:c>
      <x:c r="P73" s="92"/>
      <x:c r="Q73" s="92"/>
      <x:c r="R73" s="92"/>
      <x:c r="S73" s="92"/>
      <x:c r="T73" s="92"/>
      <x:c r="U73" s="92"/>
      <x:c r="V73" s="92"/>
      <x:c r="W73" s="93"/>
      <x:c r="X73" s="94" t="str">
        <x:f>IF(A73="","",IF(V73&lt;&gt;"Verified","Pending HOD Verification",IF(T73="","Pending Review",IF(T73="Not Applicable","Closed — N/A",IF(M73="","Pending Reassessment",IF(AND(T73="Effective",N73&gt;=L73),"Closed — Effective","Further Action Required"))))))</x:f>
      </x:c>
      <x:c r="Y73" s="92"/>
    </x:row>
    <x:row r="74">
      <x:c r="A74" s="92"/>
      <x:c r="B74" s="92"/>
      <x:c r="C74" s="92"/>
      <x:c r="D74" s="94" t="str">
        <x:f>IFERROR(VLOOKUP(C74,'01 Staff Master'!$A$6:$M$105,2,FALSE),"")</x:f>
      </x:c>
      <x:c r="E74" s="94" t="str">
        <x:f>IFERROR(VLOOKUP(C74,'01 Staff Master'!$A$6:$M$105,3,FALSE),"")</x:f>
      </x:c>
      <x:c r="F74" s="92"/>
      <x:c r="G74" s="94" t="str">
        <x:f>IFERROR(VLOOKUP(F74,'02 Skill Catalogue'!$A$6:$K$95,4,FALSE),"")</x:f>
      </x:c>
      <x:c r="H74" s="92"/>
      <x:c r="I74" s="93"/>
      <x:c r="J74" s="92"/>
      <x:c r="K74" s="92"/>
      <x:c r="L74" s="92"/>
      <x:c r="M74" s="92"/>
      <x:c r="N74" s="94" t="str">
        <x:f>IFERROR(VLOOKUP(M74,'04 Assessment Log'!$A$6:$AE$155,15,FALSE),"")</x:f>
      </x:c>
      <x:c r="O74" s="94" t="str">
        <x:f>IF(OR(K74="",N74=""),"",N74-K74)</x:f>
      </x:c>
      <x:c r="P74" s="92"/>
      <x:c r="Q74" s="92"/>
      <x:c r="R74" s="92"/>
      <x:c r="S74" s="92"/>
      <x:c r="T74" s="92"/>
      <x:c r="U74" s="92"/>
      <x:c r="V74" s="92"/>
      <x:c r="W74" s="93"/>
      <x:c r="X74" s="94" t="str">
        <x:f>IF(A74="","",IF(V74&lt;&gt;"Verified","Pending HOD Verification",IF(T74="","Pending Review",IF(T74="Not Applicable","Closed — N/A",IF(M74="","Pending Reassessment",IF(AND(T74="Effective",N74&gt;=L74),"Closed — Effective","Further Action Required"))))))</x:f>
      </x:c>
      <x:c r="Y74" s="92"/>
    </x:row>
    <x:row r="75">
      <x:c r="A75" s="92"/>
      <x:c r="B75" s="92"/>
      <x:c r="C75" s="92"/>
      <x:c r="D75" s="94" t="str">
        <x:f>IFERROR(VLOOKUP(C75,'01 Staff Master'!$A$6:$M$105,2,FALSE),"")</x:f>
      </x:c>
      <x:c r="E75" s="94" t="str">
        <x:f>IFERROR(VLOOKUP(C75,'01 Staff Master'!$A$6:$M$105,3,FALSE),"")</x:f>
      </x:c>
      <x:c r="F75" s="92"/>
      <x:c r="G75" s="94" t="str">
        <x:f>IFERROR(VLOOKUP(F75,'02 Skill Catalogue'!$A$6:$K$95,4,FALSE),"")</x:f>
      </x:c>
      <x:c r="H75" s="92"/>
      <x:c r="I75" s="93"/>
      <x:c r="J75" s="92"/>
      <x:c r="K75" s="92"/>
      <x:c r="L75" s="92"/>
      <x:c r="M75" s="92"/>
      <x:c r="N75" s="94" t="str">
        <x:f>IFERROR(VLOOKUP(M75,'04 Assessment Log'!$A$6:$AE$155,15,FALSE),"")</x:f>
      </x:c>
      <x:c r="O75" s="94" t="str">
        <x:f>IF(OR(K75="",N75=""),"",N75-K75)</x:f>
      </x:c>
      <x:c r="P75" s="92"/>
      <x:c r="Q75" s="92"/>
      <x:c r="R75" s="92"/>
      <x:c r="S75" s="92"/>
      <x:c r="T75" s="92"/>
      <x:c r="U75" s="92"/>
      <x:c r="V75" s="92"/>
      <x:c r="W75" s="93"/>
      <x:c r="X75" s="94" t="str">
        <x:f>IF(A75="","",IF(V75&lt;&gt;"Verified","Pending HOD Verification",IF(T75="","Pending Review",IF(T75="Not Applicable","Closed — N/A",IF(M75="","Pending Reassessment",IF(AND(T75="Effective",N75&gt;=L75),"Closed — Effective","Further Action Required"))))))</x:f>
      </x:c>
      <x:c r="Y75" s="92"/>
    </x:row>
    <x:row r="76">
      <x:c r="A76" s="92"/>
      <x:c r="B76" s="92"/>
      <x:c r="C76" s="92"/>
      <x:c r="D76" s="94" t="str">
        <x:f>IFERROR(VLOOKUP(C76,'01 Staff Master'!$A$6:$M$105,2,FALSE),"")</x:f>
      </x:c>
      <x:c r="E76" s="94" t="str">
        <x:f>IFERROR(VLOOKUP(C76,'01 Staff Master'!$A$6:$M$105,3,FALSE),"")</x:f>
      </x:c>
      <x:c r="F76" s="92"/>
      <x:c r="G76" s="94" t="str">
        <x:f>IFERROR(VLOOKUP(F76,'02 Skill Catalogue'!$A$6:$K$95,4,FALSE),"")</x:f>
      </x:c>
      <x:c r="H76" s="92"/>
      <x:c r="I76" s="93"/>
      <x:c r="J76" s="92"/>
      <x:c r="K76" s="92"/>
      <x:c r="L76" s="92"/>
      <x:c r="M76" s="92"/>
      <x:c r="N76" s="94" t="str">
        <x:f>IFERROR(VLOOKUP(M76,'04 Assessment Log'!$A$6:$AE$155,15,FALSE),"")</x:f>
      </x:c>
      <x:c r="O76" s="94" t="str">
        <x:f>IF(OR(K76="",N76=""),"",N76-K76)</x:f>
      </x:c>
      <x:c r="P76" s="92"/>
      <x:c r="Q76" s="92"/>
      <x:c r="R76" s="92"/>
      <x:c r="S76" s="92"/>
      <x:c r="T76" s="92"/>
      <x:c r="U76" s="92"/>
      <x:c r="V76" s="92"/>
      <x:c r="W76" s="93"/>
      <x:c r="X76" s="94" t="str">
        <x:f>IF(A76="","",IF(V76&lt;&gt;"Verified","Pending HOD Verification",IF(T76="","Pending Review",IF(T76="Not Applicable","Closed — N/A",IF(M76="","Pending Reassessment",IF(AND(T76="Effective",N76&gt;=L76),"Closed — Effective","Further Action Required"))))))</x:f>
      </x:c>
      <x:c r="Y76" s="92"/>
    </x:row>
    <x:row r="77">
      <x:c r="A77" s="92"/>
      <x:c r="B77" s="92"/>
      <x:c r="C77" s="92"/>
      <x:c r="D77" s="94" t="str">
        <x:f>IFERROR(VLOOKUP(C77,'01 Staff Master'!$A$6:$M$105,2,FALSE),"")</x:f>
      </x:c>
      <x:c r="E77" s="94" t="str">
        <x:f>IFERROR(VLOOKUP(C77,'01 Staff Master'!$A$6:$M$105,3,FALSE),"")</x:f>
      </x:c>
      <x:c r="F77" s="92"/>
      <x:c r="G77" s="94" t="str">
        <x:f>IFERROR(VLOOKUP(F77,'02 Skill Catalogue'!$A$6:$K$95,4,FALSE),"")</x:f>
      </x:c>
      <x:c r="H77" s="92"/>
      <x:c r="I77" s="93"/>
      <x:c r="J77" s="92"/>
      <x:c r="K77" s="92"/>
      <x:c r="L77" s="92"/>
      <x:c r="M77" s="92"/>
      <x:c r="N77" s="94" t="str">
        <x:f>IFERROR(VLOOKUP(M77,'04 Assessment Log'!$A$6:$AE$155,15,FALSE),"")</x:f>
      </x:c>
      <x:c r="O77" s="94" t="str">
        <x:f>IF(OR(K77="",N77=""),"",N77-K77)</x:f>
      </x:c>
      <x:c r="P77" s="92"/>
      <x:c r="Q77" s="92"/>
      <x:c r="R77" s="92"/>
      <x:c r="S77" s="92"/>
      <x:c r="T77" s="92"/>
      <x:c r="U77" s="92"/>
      <x:c r="V77" s="92"/>
      <x:c r="W77" s="93"/>
      <x:c r="X77" s="94" t="str">
        <x:f>IF(A77="","",IF(V77&lt;&gt;"Verified","Pending HOD Verification",IF(T77="","Pending Review",IF(T77="Not Applicable","Closed — N/A",IF(M77="","Pending Reassessment",IF(AND(T77="Effective",N77&gt;=L77),"Closed — Effective","Further Action Required"))))))</x:f>
      </x:c>
      <x:c r="Y77" s="92"/>
    </x:row>
    <x:row r="78">
      <x:c r="A78" s="92"/>
      <x:c r="B78" s="92"/>
      <x:c r="C78" s="92"/>
      <x:c r="D78" s="94" t="str">
        <x:f>IFERROR(VLOOKUP(C78,'01 Staff Master'!$A$6:$M$105,2,FALSE),"")</x:f>
      </x:c>
      <x:c r="E78" s="94" t="str">
        <x:f>IFERROR(VLOOKUP(C78,'01 Staff Master'!$A$6:$M$105,3,FALSE),"")</x:f>
      </x:c>
      <x:c r="F78" s="92"/>
      <x:c r="G78" s="94" t="str">
        <x:f>IFERROR(VLOOKUP(F78,'02 Skill Catalogue'!$A$6:$K$95,4,FALSE),"")</x:f>
      </x:c>
      <x:c r="H78" s="92"/>
      <x:c r="I78" s="93"/>
      <x:c r="J78" s="92"/>
      <x:c r="K78" s="92"/>
      <x:c r="L78" s="92"/>
      <x:c r="M78" s="92"/>
      <x:c r="N78" s="94" t="str">
        <x:f>IFERROR(VLOOKUP(M78,'04 Assessment Log'!$A$6:$AE$155,15,FALSE),"")</x:f>
      </x:c>
      <x:c r="O78" s="94" t="str">
        <x:f>IF(OR(K78="",N78=""),"",N78-K78)</x:f>
      </x:c>
      <x:c r="P78" s="92"/>
      <x:c r="Q78" s="92"/>
      <x:c r="R78" s="92"/>
      <x:c r="S78" s="92"/>
      <x:c r="T78" s="92"/>
      <x:c r="U78" s="92"/>
      <x:c r="V78" s="92"/>
      <x:c r="W78" s="93"/>
      <x:c r="X78" s="94" t="str">
        <x:f>IF(A78="","",IF(V78&lt;&gt;"Verified","Pending HOD Verification",IF(T78="","Pending Review",IF(T78="Not Applicable","Closed — N/A",IF(M78="","Pending Reassessment",IF(AND(T78="Effective",N78&gt;=L78),"Closed — Effective","Further Action Required"))))))</x:f>
      </x:c>
      <x:c r="Y78" s="92"/>
    </x:row>
    <x:row r="79">
      <x:c r="A79" s="92"/>
      <x:c r="B79" s="92"/>
      <x:c r="C79" s="92"/>
      <x:c r="D79" s="94" t="str">
        <x:f>IFERROR(VLOOKUP(C79,'01 Staff Master'!$A$6:$M$105,2,FALSE),"")</x:f>
      </x:c>
      <x:c r="E79" s="94" t="str">
        <x:f>IFERROR(VLOOKUP(C79,'01 Staff Master'!$A$6:$M$105,3,FALSE),"")</x:f>
      </x:c>
      <x:c r="F79" s="92"/>
      <x:c r="G79" s="94" t="str">
        <x:f>IFERROR(VLOOKUP(F79,'02 Skill Catalogue'!$A$6:$K$95,4,FALSE),"")</x:f>
      </x:c>
      <x:c r="H79" s="92"/>
      <x:c r="I79" s="93"/>
      <x:c r="J79" s="92"/>
      <x:c r="K79" s="92"/>
      <x:c r="L79" s="92"/>
      <x:c r="M79" s="92"/>
      <x:c r="N79" s="94" t="str">
        <x:f>IFERROR(VLOOKUP(M79,'04 Assessment Log'!$A$6:$AE$155,15,FALSE),"")</x:f>
      </x:c>
      <x:c r="O79" s="94" t="str">
        <x:f>IF(OR(K79="",N79=""),"",N79-K79)</x:f>
      </x:c>
      <x:c r="P79" s="92"/>
      <x:c r="Q79" s="92"/>
      <x:c r="R79" s="92"/>
      <x:c r="S79" s="92"/>
      <x:c r="T79" s="92"/>
      <x:c r="U79" s="92"/>
      <x:c r="V79" s="92"/>
      <x:c r="W79" s="93"/>
      <x:c r="X79" s="94" t="str">
        <x:f>IF(A79="","",IF(V79&lt;&gt;"Verified","Pending HOD Verification",IF(T79="","Pending Review",IF(T79="Not Applicable","Closed — N/A",IF(M79="","Pending Reassessment",IF(AND(T79="Effective",N79&gt;=L79),"Closed — Effective","Further Action Required"))))))</x:f>
      </x:c>
      <x:c r="Y79" s="92"/>
    </x:row>
    <x:row r="80">
      <x:c r="A80" s="92"/>
      <x:c r="B80" s="92"/>
      <x:c r="C80" s="92"/>
      <x:c r="D80" s="94" t="str">
        <x:f>IFERROR(VLOOKUP(C80,'01 Staff Master'!$A$6:$M$105,2,FALSE),"")</x:f>
      </x:c>
      <x:c r="E80" s="94" t="str">
        <x:f>IFERROR(VLOOKUP(C80,'01 Staff Master'!$A$6:$M$105,3,FALSE),"")</x:f>
      </x:c>
      <x:c r="F80" s="92"/>
      <x:c r="G80" s="94" t="str">
        <x:f>IFERROR(VLOOKUP(F80,'02 Skill Catalogue'!$A$6:$K$95,4,FALSE),"")</x:f>
      </x:c>
      <x:c r="H80" s="92"/>
      <x:c r="I80" s="93"/>
      <x:c r="J80" s="92"/>
      <x:c r="K80" s="92"/>
      <x:c r="L80" s="92"/>
      <x:c r="M80" s="92"/>
      <x:c r="N80" s="94" t="str">
        <x:f>IFERROR(VLOOKUP(M80,'04 Assessment Log'!$A$6:$AE$155,15,FALSE),"")</x:f>
      </x:c>
      <x:c r="O80" s="94" t="str">
        <x:f>IF(OR(K80="",N80=""),"",N80-K80)</x:f>
      </x:c>
      <x:c r="P80" s="92"/>
      <x:c r="Q80" s="92"/>
      <x:c r="R80" s="92"/>
      <x:c r="S80" s="92"/>
      <x:c r="T80" s="92"/>
      <x:c r="U80" s="92"/>
      <x:c r="V80" s="92"/>
      <x:c r="W80" s="93"/>
      <x:c r="X80" s="94" t="str">
        <x:f>IF(A80="","",IF(V80&lt;&gt;"Verified","Pending HOD Verification",IF(T80="","Pending Review",IF(T80="Not Applicable","Closed — N/A",IF(M80="","Pending Reassessment",IF(AND(T80="Effective",N80&gt;=L80),"Closed — Effective","Further Action Required"))))))</x:f>
      </x:c>
      <x:c r="Y80" s="92"/>
    </x:row>
    <x:row r="81">
      <x:c r="A81" s="92"/>
      <x:c r="B81" s="92"/>
      <x:c r="C81" s="92"/>
      <x:c r="D81" s="94" t="str">
        <x:f>IFERROR(VLOOKUP(C81,'01 Staff Master'!$A$6:$M$105,2,FALSE),"")</x:f>
      </x:c>
      <x:c r="E81" s="94" t="str">
        <x:f>IFERROR(VLOOKUP(C81,'01 Staff Master'!$A$6:$M$105,3,FALSE),"")</x:f>
      </x:c>
      <x:c r="F81" s="92"/>
      <x:c r="G81" s="94" t="str">
        <x:f>IFERROR(VLOOKUP(F81,'02 Skill Catalogue'!$A$6:$K$95,4,FALSE),"")</x:f>
      </x:c>
      <x:c r="H81" s="92"/>
      <x:c r="I81" s="93"/>
      <x:c r="J81" s="92"/>
      <x:c r="K81" s="92"/>
      <x:c r="L81" s="92"/>
      <x:c r="M81" s="92"/>
      <x:c r="N81" s="94" t="str">
        <x:f>IFERROR(VLOOKUP(M81,'04 Assessment Log'!$A$6:$AE$155,15,FALSE),"")</x:f>
      </x:c>
      <x:c r="O81" s="94" t="str">
        <x:f>IF(OR(K81="",N81=""),"",N81-K81)</x:f>
      </x:c>
      <x:c r="P81" s="92"/>
      <x:c r="Q81" s="92"/>
      <x:c r="R81" s="92"/>
      <x:c r="S81" s="92"/>
      <x:c r="T81" s="92"/>
      <x:c r="U81" s="92"/>
      <x:c r="V81" s="92"/>
      <x:c r="W81" s="93"/>
      <x:c r="X81" s="94" t="str">
        <x:f>IF(A81="","",IF(V81&lt;&gt;"Verified","Pending HOD Verification",IF(T81="","Pending Review",IF(T81="Not Applicable","Closed — N/A",IF(M81="","Pending Reassessment",IF(AND(T81="Effective",N81&gt;=L81),"Closed — Effective","Further Action Required"))))))</x:f>
      </x:c>
      <x:c r="Y81" s="92"/>
    </x:row>
    <x:row r="82">
      <x:c r="A82" s="92"/>
      <x:c r="B82" s="92"/>
      <x:c r="C82" s="92"/>
      <x:c r="D82" s="94" t="str">
        <x:f>IFERROR(VLOOKUP(C82,'01 Staff Master'!$A$6:$M$105,2,FALSE),"")</x:f>
      </x:c>
      <x:c r="E82" s="94" t="str">
        <x:f>IFERROR(VLOOKUP(C82,'01 Staff Master'!$A$6:$M$105,3,FALSE),"")</x:f>
      </x:c>
      <x:c r="F82" s="92"/>
      <x:c r="G82" s="94" t="str">
        <x:f>IFERROR(VLOOKUP(F82,'02 Skill Catalogue'!$A$6:$K$95,4,FALSE),"")</x:f>
      </x:c>
      <x:c r="H82" s="92"/>
      <x:c r="I82" s="93"/>
      <x:c r="J82" s="92"/>
      <x:c r="K82" s="92"/>
      <x:c r="L82" s="92"/>
      <x:c r="M82" s="92"/>
      <x:c r="N82" s="94" t="str">
        <x:f>IFERROR(VLOOKUP(M82,'04 Assessment Log'!$A$6:$AE$155,15,FALSE),"")</x:f>
      </x:c>
      <x:c r="O82" s="94" t="str">
        <x:f>IF(OR(K82="",N82=""),"",N82-K82)</x:f>
      </x:c>
      <x:c r="P82" s="92"/>
      <x:c r="Q82" s="92"/>
      <x:c r="R82" s="92"/>
      <x:c r="S82" s="92"/>
      <x:c r="T82" s="92"/>
      <x:c r="U82" s="92"/>
      <x:c r="V82" s="92"/>
      <x:c r="W82" s="93"/>
      <x:c r="X82" s="94" t="str">
        <x:f>IF(A82="","",IF(V82&lt;&gt;"Verified","Pending HOD Verification",IF(T82="","Pending Review",IF(T82="Not Applicable","Closed — N/A",IF(M82="","Pending Reassessment",IF(AND(T82="Effective",N82&gt;=L82),"Closed — Effective","Further Action Required"))))))</x:f>
      </x:c>
      <x:c r="Y82" s="92"/>
    </x:row>
    <x:row r="83">
      <x:c r="A83" s="92"/>
      <x:c r="B83" s="92"/>
      <x:c r="C83" s="92"/>
      <x:c r="D83" s="94" t="str">
        <x:f>IFERROR(VLOOKUP(C83,'01 Staff Master'!$A$6:$M$105,2,FALSE),"")</x:f>
      </x:c>
      <x:c r="E83" s="94" t="str">
        <x:f>IFERROR(VLOOKUP(C83,'01 Staff Master'!$A$6:$M$105,3,FALSE),"")</x:f>
      </x:c>
      <x:c r="F83" s="92"/>
      <x:c r="G83" s="94" t="str">
        <x:f>IFERROR(VLOOKUP(F83,'02 Skill Catalogue'!$A$6:$K$95,4,FALSE),"")</x:f>
      </x:c>
      <x:c r="H83" s="92"/>
      <x:c r="I83" s="93"/>
      <x:c r="J83" s="92"/>
      <x:c r="K83" s="92"/>
      <x:c r="L83" s="92"/>
      <x:c r="M83" s="92"/>
      <x:c r="N83" s="94" t="str">
        <x:f>IFERROR(VLOOKUP(M83,'04 Assessment Log'!$A$6:$AE$155,15,FALSE),"")</x:f>
      </x:c>
      <x:c r="O83" s="94" t="str">
        <x:f>IF(OR(K83="",N83=""),"",N83-K83)</x:f>
      </x:c>
      <x:c r="P83" s="92"/>
      <x:c r="Q83" s="92"/>
      <x:c r="R83" s="92"/>
      <x:c r="S83" s="92"/>
      <x:c r="T83" s="92"/>
      <x:c r="U83" s="92"/>
      <x:c r="V83" s="92"/>
      <x:c r="W83" s="93"/>
      <x:c r="X83" s="94" t="str">
        <x:f>IF(A83="","",IF(V83&lt;&gt;"Verified","Pending HOD Verification",IF(T83="","Pending Review",IF(T83="Not Applicable","Closed — N/A",IF(M83="","Pending Reassessment",IF(AND(T83="Effective",N83&gt;=L83),"Closed — Effective","Further Action Required"))))))</x:f>
      </x:c>
      <x:c r="Y83" s="92"/>
    </x:row>
    <x:row r="84">
      <x:c r="A84" s="92"/>
      <x:c r="B84" s="92"/>
      <x:c r="C84" s="92"/>
      <x:c r="D84" s="94" t="str">
        <x:f>IFERROR(VLOOKUP(C84,'01 Staff Master'!$A$6:$M$105,2,FALSE),"")</x:f>
      </x:c>
      <x:c r="E84" s="94" t="str">
        <x:f>IFERROR(VLOOKUP(C84,'01 Staff Master'!$A$6:$M$105,3,FALSE),"")</x:f>
      </x:c>
      <x:c r="F84" s="92"/>
      <x:c r="G84" s="94" t="str">
        <x:f>IFERROR(VLOOKUP(F84,'02 Skill Catalogue'!$A$6:$K$95,4,FALSE),"")</x:f>
      </x:c>
      <x:c r="H84" s="92"/>
      <x:c r="I84" s="93"/>
      <x:c r="J84" s="92"/>
      <x:c r="K84" s="92"/>
      <x:c r="L84" s="92"/>
      <x:c r="M84" s="92"/>
      <x:c r="N84" s="94" t="str">
        <x:f>IFERROR(VLOOKUP(M84,'04 Assessment Log'!$A$6:$AE$155,15,FALSE),"")</x:f>
      </x:c>
      <x:c r="O84" s="94" t="str">
        <x:f>IF(OR(K84="",N84=""),"",N84-K84)</x:f>
      </x:c>
      <x:c r="P84" s="92"/>
      <x:c r="Q84" s="92"/>
      <x:c r="R84" s="92"/>
      <x:c r="S84" s="92"/>
      <x:c r="T84" s="92"/>
      <x:c r="U84" s="92"/>
      <x:c r="V84" s="92"/>
      <x:c r="W84" s="93"/>
      <x:c r="X84" s="94" t="str">
        <x:f>IF(A84="","",IF(V84&lt;&gt;"Verified","Pending HOD Verification",IF(T84="","Pending Review",IF(T84="Not Applicable","Closed — N/A",IF(M84="","Pending Reassessment",IF(AND(T84="Effective",N84&gt;=L84),"Closed — Effective","Further Action Required"))))))</x:f>
      </x:c>
      <x:c r="Y84" s="92"/>
    </x:row>
    <x:row r="85">
      <x:c r="A85" s="92"/>
      <x:c r="B85" s="92"/>
      <x:c r="C85" s="92"/>
      <x:c r="D85" s="94" t="str">
        <x:f>IFERROR(VLOOKUP(C85,'01 Staff Master'!$A$6:$M$105,2,FALSE),"")</x:f>
      </x:c>
      <x:c r="E85" s="94" t="str">
        <x:f>IFERROR(VLOOKUP(C85,'01 Staff Master'!$A$6:$M$105,3,FALSE),"")</x:f>
      </x:c>
      <x:c r="F85" s="92"/>
      <x:c r="G85" s="94" t="str">
        <x:f>IFERROR(VLOOKUP(F85,'02 Skill Catalogue'!$A$6:$K$95,4,FALSE),"")</x:f>
      </x:c>
      <x:c r="H85" s="92"/>
      <x:c r="I85" s="93"/>
      <x:c r="J85" s="92"/>
      <x:c r="K85" s="92"/>
      <x:c r="L85" s="92"/>
      <x:c r="M85" s="92"/>
      <x:c r="N85" s="94" t="str">
        <x:f>IFERROR(VLOOKUP(M85,'04 Assessment Log'!$A$6:$AE$155,15,FALSE),"")</x:f>
      </x:c>
      <x:c r="O85" s="94" t="str">
        <x:f>IF(OR(K85="",N85=""),"",N85-K85)</x:f>
      </x:c>
      <x:c r="P85" s="92"/>
      <x:c r="Q85" s="92"/>
      <x:c r="R85" s="92"/>
      <x:c r="S85" s="92"/>
      <x:c r="T85" s="92"/>
      <x:c r="U85" s="92"/>
      <x:c r="V85" s="92"/>
      <x:c r="W85" s="93"/>
      <x:c r="X85" s="94" t="str">
        <x:f>IF(A85="","",IF(V85&lt;&gt;"Verified","Pending HOD Verification",IF(T85="","Pending Review",IF(T85="Not Applicable","Closed — N/A",IF(M85="","Pending Reassessment",IF(AND(T85="Effective",N85&gt;=L85),"Closed — Effective","Further Action Required"))))))</x:f>
      </x:c>
      <x:c r="Y85" s="92"/>
    </x:row>
    <x:row r="86">
      <x:c r="A86" s="92"/>
      <x:c r="B86" s="92"/>
      <x:c r="C86" s="92"/>
      <x:c r="D86" s="94" t="str">
        <x:f>IFERROR(VLOOKUP(C86,'01 Staff Master'!$A$6:$M$105,2,FALSE),"")</x:f>
      </x:c>
      <x:c r="E86" s="94" t="str">
        <x:f>IFERROR(VLOOKUP(C86,'01 Staff Master'!$A$6:$M$105,3,FALSE),"")</x:f>
      </x:c>
      <x:c r="F86" s="92"/>
      <x:c r="G86" s="94" t="str">
        <x:f>IFERROR(VLOOKUP(F86,'02 Skill Catalogue'!$A$6:$K$95,4,FALSE),"")</x:f>
      </x:c>
      <x:c r="H86" s="92"/>
      <x:c r="I86" s="93"/>
      <x:c r="J86" s="92"/>
      <x:c r="K86" s="92"/>
      <x:c r="L86" s="92"/>
      <x:c r="M86" s="92"/>
      <x:c r="N86" s="94" t="str">
        <x:f>IFERROR(VLOOKUP(M86,'04 Assessment Log'!$A$6:$AE$155,15,FALSE),"")</x:f>
      </x:c>
      <x:c r="O86" s="94" t="str">
        <x:f>IF(OR(K86="",N86=""),"",N86-K86)</x:f>
      </x:c>
      <x:c r="P86" s="92"/>
      <x:c r="Q86" s="92"/>
      <x:c r="R86" s="92"/>
      <x:c r="S86" s="92"/>
      <x:c r="T86" s="92"/>
      <x:c r="U86" s="92"/>
      <x:c r="V86" s="92"/>
      <x:c r="W86" s="93"/>
      <x:c r="X86" s="94" t="str">
        <x:f>IF(A86="","",IF(V86&lt;&gt;"Verified","Pending HOD Verification",IF(T86="","Pending Review",IF(T86="Not Applicable","Closed — N/A",IF(M86="","Pending Reassessment",IF(AND(T86="Effective",N86&gt;=L86),"Closed — Effective","Further Action Required"))))))</x:f>
      </x:c>
      <x:c r="Y86" s="92"/>
    </x:row>
    <x:row r="87">
      <x:c r="A87" s="92"/>
      <x:c r="B87" s="92"/>
      <x:c r="C87" s="92"/>
      <x:c r="D87" s="94" t="str">
        <x:f>IFERROR(VLOOKUP(C87,'01 Staff Master'!$A$6:$M$105,2,FALSE),"")</x:f>
      </x:c>
      <x:c r="E87" s="94" t="str">
        <x:f>IFERROR(VLOOKUP(C87,'01 Staff Master'!$A$6:$M$105,3,FALSE),"")</x:f>
      </x:c>
      <x:c r="F87" s="92"/>
      <x:c r="G87" s="94" t="str">
        <x:f>IFERROR(VLOOKUP(F87,'02 Skill Catalogue'!$A$6:$K$95,4,FALSE),"")</x:f>
      </x:c>
      <x:c r="H87" s="92"/>
      <x:c r="I87" s="93"/>
      <x:c r="J87" s="92"/>
      <x:c r="K87" s="92"/>
      <x:c r="L87" s="92"/>
      <x:c r="M87" s="92"/>
      <x:c r="N87" s="94" t="str">
        <x:f>IFERROR(VLOOKUP(M87,'04 Assessment Log'!$A$6:$AE$155,15,FALSE),"")</x:f>
      </x:c>
      <x:c r="O87" s="94" t="str">
        <x:f>IF(OR(K87="",N87=""),"",N87-K87)</x:f>
      </x:c>
      <x:c r="P87" s="92"/>
      <x:c r="Q87" s="92"/>
      <x:c r="R87" s="92"/>
      <x:c r="S87" s="92"/>
      <x:c r="T87" s="92"/>
      <x:c r="U87" s="92"/>
      <x:c r="V87" s="92"/>
      <x:c r="W87" s="93"/>
      <x:c r="X87" s="94" t="str">
        <x:f>IF(A87="","",IF(V87&lt;&gt;"Verified","Pending HOD Verification",IF(T87="","Pending Review",IF(T87="Not Applicable","Closed — N/A",IF(M87="","Pending Reassessment",IF(AND(T87="Effective",N87&gt;=L87),"Closed — Effective","Further Action Required"))))))</x:f>
      </x:c>
      <x:c r="Y87" s="92"/>
    </x:row>
    <x:row r="88">
      <x:c r="A88" s="92"/>
      <x:c r="B88" s="92"/>
      <x:c r="C88" s="92"/>
      <x:c r="D88" s="94" t="str">
        <x:f>IFERROR(VLOOKUP(C88,'01 Staff Master'!$A$6:$M$105,2,FALSE),"")</x:f>
      </x:c>
      <x:c r="E88" s="94" t="str">
        <x:f>IFERROR(VLOOKUP(C88,'01 Staff Master'!$A$6:$M$105,3,FALSE),"")</x:f>
      </x:c>
      <x:c r="F88" s="92"/>
      <x:c r="G88" s="94" t="str">
        <x:f>IFERROR(VLOOKUP(F88,'02 Skill Catalogue'!$A$6:$K$95,4,FALSE),"")</x:f>
      </x:c>
      <x:c r="H88" s="92"/>
      <x:c r="I88" s="93"/>
      <x:c r="J88" s="92"/>
      <x:c r="K88" s="92"/>
      <x:c r="L88" s="92"/>
      <x:c r="M88" s="92"/>
      <x:c r="N88" s="94" t="str">
        <x:f>IFERROR(VLOOKUP(M88,'04 Assessment Log'!$A$6:$AE$155,15,FALSE),"")</x:f>
      </x:c>
      <x:c r="O88" s="94" t="str">
        <x:f>IF(OR(K88="",N88=""),"",N88-K88)</x:f>
      </x:c>
      <x:c r="P88" s="92"/>
      <x:c r="Q88" s="92"/>
      <x:c r="R88" s="92"/>
      <x:c r="S88" s="92"/>
      <x:c r="T88" s="92"/>
      <x:c r="U88" s="92"/>
      <x:c r="V88" s="92"/>
      <x:c r="W88" s="93"/>
      <x:c r="X88" s="94" t="str">
        <x:f>IF(A88="","",IF(V88&lt;&gt;"Verified","Pending HOD Verification",IF(T88="","Pending Review",IF(T88="Not Applicable","Closed — N/A",IF(M88="","Pending Reassessment",IF(AND(T88="Effective",N88&gt;=L88),"Closed — Effective","Further Action Required"))))))</x:f>
      </x:c>
      <x:c r="Y88" s="92"/>
    </x:row>
    <x:row r="89">
      <x:c r="A89" s="92"/>
      <x:c r="B89" s="92"/>
      <x:c r="C89" s="92"/>
      <x:c r="D89" s="94" t="str">
        <x:f>IFERROR(VLOOKUP(C89,'01 Staff Master'!$A$6:$M$105,2,FALSE),"")</x:f>
      </x:c>
      <x:c r="E89" s="94" t="str">
        <x:f>IFERROR(VLOOKUP(C89,'01 Staff Master'!$A$6:$M$105,3,FALSE),"")</x:f>
      </x:c>
      <x:c r="F89" s="92"/>
      <x:c r="G89" s="94" t="str">
        <x:f>IFERROR(VLOOKUP(F89,'02 Skill Catalogue'!$A$6:$K$95,4,FALSE),"")</x:f>
      </x:c>
      <x:c r="H89" s="92"/>
      <x:c r="I89" s="93"/>
      <x:c r="J89" s="92"/>
      <x:c r="K89" s="92"/>
      <x:c r="L89" s="92"/>
      <x:c r="M89" s="92"/>
      <x:c r="N89" s="94" t="str">
        <x:f>IFERROR(VLOOKUP(M89,'04 Assessment Log'!$A$6:$AE$155,15,FALSE),"")</x:f>
      </x:c>
      <x:c r="O89" s="94" t="str">
        <x:f>IF(OR(K89="",N89=""),"",N89-K89)</x:f>
      </x:c>
      <x:c r="P89" s="92"/>
      <x:c r="Q89" s="92"/>
      <x:c r="R89" s="92"/>
      <x:c r="S89" s="92"/>
      <x:c r="T89" s="92"/>
      <x:c r="U89" s="92"/>
      <x:c r="V89" s="92"/>
      <x:c r="W89" s="93"/>
      <x:c r="X89" s="94" t="str">
        <x:f>IF(A89="","",IF(V89&lt;&gt;"Verified","Pending HOD Verification",IF(T89="","Pending Review",IF(T89="Not Applicable","Closed — N/A",IF(M89="","Pending Reassessment",IF(AND(T89="Effective",N89&gt;=L89),"Closed — Effective","Further Action Required"))))))</x:f>
      </x:c>
      <x:c r="Y89" s="92"/>
    </x:row>
    <x:row r="90">
      <x:c r="A90" s="92"/>
      <x:c r="B90" s="92"/>
      <x:c r="C90" s="92"/>
      <x:c r="D90" s="94" t="str">
        <x:f>IFERROR(VLOOKUP(C90,'01 Staff Master'!$A$6:$M$105,2,FALSE),"")</x:f>
      </x:c>
      <x:c r="E90" s="94" t="str">
        <x:f>IFERROR(VLOOKUP(C90,'01 Staff Master'!$A$6:$M$105,3,FALSE),"")</x:f>
      </x:c>
      <x:c r="F90" s="92"/>
      <x:c r="G90" s="94" t="str">
        <x:f>IFERROR(VLOOKUP(F90,'02 Skill Catalogue'!$A$6:$K$95,4,FALSE),"")</x:f>
      </x:c>
      <x:c r="H90" s="92"/>
      <x:c r="I90" s="93"/>
      <x:c r="J90" s="92"/>
      <x:c r="K90" s="92"/>
      <x:c r="L90" s="92"/>
      <x:c r="M90" s="92"/>
      <x:c r="N90" s="94" t="str">
        <x:f>IFERROR(VLOOKUP(M90,'04 Assessment Log'!$A$6:$AE$155,15,FALSE),"")</x:f>
      </x:c>
      <x:c r="O90" s="94" t="str">
        <x:f>IF(OR(K90="",N90=""),"",N90-K90)</x:f>
      </x:c>
      <x:c r="P90" s="92"/>
      <x:c r="Q90" s="92"/>
      <x:c r="R90" s="92"/>
      <x:c r="S90" s="92"/>
      <x:c r="T90" s="92"/>
      <x:c r="U90" s="92"/>
      <x:c r="V90" s="92"/>
      <x:c r="W90" s="93"/>
      <x:c r="X90" s="94" t="str">
        <x:f>IF(A90="","",IF(V90&lt;&gt;"Verified","Pending HOD Verification",IF(T90="","Pending Review",IF(T90="Not Applicable","Closed — N/A",IF(M90="","Pending Reassessment",IF(AND(T90="Effective",N90&gt;=L90),"Closed — Effective","Further Action Required"))))))</x:f>
      </x:c>
      <x:c r="Y90" s="92"/>
    </x:row>
    <x:row r="91">
      <x:c r="A91" s="92"/>
      <x:c r="B91" s="92"/>
      <x:c r="C91" s="92"/>
      <x:c r="D91" s="94" t="str">
        <x:f>IFERROR(VLOOKUP(C91,'01 Staff Master'!$A$6:$M$105,2,FALSE),"")</x:f>
      </x:c>
      <x:c r="E91" s="94" t="str">
        <x:f>IFERROR(VLOOKUP(C91,'01 Staff Master'!$A$6:$M$105,3,FALSE),"")</x:f>
      </x:c>
      <x:c r="F91" s="92"/>
      <x:c r="G91" s="94" t="str">
        <x:f>IFERROR(VLOOKUP(F91,'02 Skill Catalogue'!$A$6:$K$95,4,FALSE),"")</x:f>
      </x:c>
      <x:c r="H91" s="92"/>
      <x:c r="I91" s="93"/>
      <x:c r="J91" s="92"/>
      <x:c r="K91" s="92"/>
      <x:c r="L91" s="92"/>
      <x:c r="M91" s="92"/>
      <x:c r="N91" s="94" t="str">
        <x:f>IFERROR(VLOOKUP(M91,'04 Assessment Log'!$A$6:$AE$155,15,FALSE),"")</x:f>
      </x:c>
      <x:c r="O91" s="94" t="str">
        <x:f>IF(OR(K91="",N91=""),"",N91-K91)</x:f>
      </x:c>
      <x:c r="P91" s="92"/>
      <x:c r="Q91" s="92"/>
      <x:c r="R91" s="92"/>
      <x:c r="S91" s="92"/>
      <x:c r="T91" s="92"/>
      <x:c r="U91" s="92"/>
      <x:c r="V91" s="92"/>
      <x:c r="W91" s="93"/>
      <x:c r="X91" s="94" t="str">
        <x:f>IF(A91="","",IF(V91&lt;&gt;"Verified","Pending HOD Verification",IF(T91="","Pending Review",IF(T91="Not Applicable","Closed — N/A",IF(M91="","Pending Reassessment",IF(AND(T91="Effective",N91&gt;=L91),"Closed — Effective","Further Action Required"))))))</x:f>
      </x:c>
      <x:c r="Y91" s="92"/>
    </x:row>
    <x:row r="92">
      <x:c r="A92" s="92"/>
      <x:c r="B92" s="92"/>
      <x:c r="C92" s="92"/>
      <x:c r="D92" s="94" t="str">
        <x:f>IFERROR(VLOOKUP(C92,'01 Staff Master'!$A$6:$M$105,2,FALSE),"")</x:f>
      </x:c>
      <x:c r="E92" s="94" t="str">
        <x:f>IFERROR(VLOOKUP(C92,'01 Staff Master'!$A$6:$M$105,3,FALSE),"")</x:f>
      </x:c>
      <x:c r="F92" s="92"/>
      <x:c r="G92" s="94" t="str">
        <x:f>IFERROR(VLOOKUP(F92,'02 Skill Catalogue'!$A$6:$K$95,4,FALSE),"")</x:f>
      </x:c>
      <x:c r="H92" s="92"/>
      <x:c r="I92" s="93"/>
      <x:c r="J92" s="92"/>
      <x:c r="K92" s="92"/>
      <x:c r="L92" s="92"/>
      <x:c r="M92" s="92"/>
      <x:c r="N92" s="94" t="str">
        <x:f>IFERROR(VLOOKUP(M92,'04 Assessment Log'!$A$6:$AE$155,15,FALSE),"")</x:f>
      </x:c>
      <x:c r="O92" s="94" t="str">
        <x:f>IF(OR(K92="",N92=""),"",N92-K92)</x:f>
      </x:c>
      <x:c r="P92" s="92"/>
      <x:c r="Q92" s="92"/>
      <x:c r="R92" s="92"/>
      <x:c r="S92" s="92"/>
      <x:c r="T92" s="92"/>
      <x:c r="U92" s="92"/>
      <x:c r="V92" s="92"/>
      <x:c r="W92" s="93"/>
      <x:c r="X92" s="94" t="str">
        <x:f>IF(A92="","",IF(V92&lt;&gt;"Verified","Pending HOD Verification",IF(T92="","Pending Review",IF(T92="Not Applicable","Closed — N/A",IF(M92="","Pending Reassessment",IF(AND(T92="Effective",N92&gt;=L92),"Closed — Effective","Further Action Required"))))))</x:f>
      </x:c>
      <x:c r="Y92" s="92"/>
    </x:row>
    <x:row r="93">
      <x:c r="A93" s="92"/>
      <x:c r="B93" s="92"/>
      <x:c r="C93" s="92"/>
      <x:c r="D93" s="94" t="str">
        <x:f>IFERROR(VLOOKUP(C93,'01 Staff Master'!$A$6:$M$105,2,FALSE),"")</x:f>
      </x:c>
      <x:c r="E93" s="94" t="str">
        <x:f>IFERROR(VLOOKUP(C93,'01 Staff Master'!$A$6:$M$105,3,FALSE),"")</x:f>
      </x:c>
      <x:c r="F93" s="92"/>
      <x:c r="G93" s="94" t="str">
        <x:f>IFERROR(VLOOKUP(F93,'02 Skill Catalogue'!$A$6:$K$95,4,FALSE),"")</x:f>
      </x:c>
      <x:c r="H93" s="92"/>
      <x:c r="I93" s="93"/>
      <x:c r="J93" s="92"/>
      <x:c r="K93" s="92"/>
      <x:c r="L93" s="92"/>
      <x:c r="M93" s="92"/>
      <x:c r="N93" s="94" t="str">
        <x:f>IFERROR(VLOOKUP(M93,'04 Assessment Log'!$A$6:$AE$155,15,FALSE),"")</x:f>
      </x:c>
      <x:c r="O93" s="94" t="str">
        <x:f>IF(OR(K93="",N93=""),"",N93-K93)</x:f>
      </x:c>
      <x:c r="P93" s="92"/>
      <x:c r="Q93" s="92"/>
      <x:c r="R93" s="92"/>
      <x:c r="S93" s="92"/>
      <x:c r="T93" s="92"/>
      <x:c r="U93" s="92"/>
      <x:c r="V93" s="92"/>
      <x:c r="W93" s="93"/>
      <x:c r="X93" s="94" t="str">
        <x:f>IF(A93="","",IF(V93&lt;&gt;"Verified","Pending HOD Verification",IF(T93="","Pending Review",IF(T93="Not Applicable","Closed — N/A",IF(M93="","Pending Reassessment",IF(AND(T93="Effective",N93&gt;=L93),"Closed — Effective","Further Action Required"))))))</x:f>
      </x:c>
      <x:c r="Y93" s="92"/>
    </x:row>
    <x:row r="94">
      <x:c r="A94" s="92"/>
      <x:c r="B94" s="92"/>
      <x:c r="C94" s="92"/>
      <x:c r="D94" s="94" t="str">
        <x:f>IFERROR(VLOOKUP(C94,'01 Staff Master'!$A$6:$M$105,2,FALSE),"")</x:f>
      </x:c>
      <x:c r="E94" s="94" t="str">
        <x:f>IFERROR(VLOOKUP(C94,'01 Staff Master'!$A$6:$M$105,3,FALSE),"")</x:f>
      </x:c>
      <x:c r="F94" s="92"/>
      <x:c r="G94" s="94" t="str">
        <x:f>IFERROR(VLOOKUP(F94,'02 Skill Catalogue'!$A$6:$K$95,4,FALSE),"")</x:f>
      </x:c>
      <x:c r="H94" s="92"/>
      <x:c r="I94" s="93"/>
      <x:c r="J94" s="92"/>
      <x:c r="K94" s="92"/>
      <x:c r="L94" s="92"/>
      <x:c r="M94" s="92"/>
      <x:c r="N94" s="94" t="str">
        <x:f>IFERROR(VLOOKUP(M94,'04 Assessment Log'!$A$6:$AE$155,15,FALSE),"")</x:f>
      </x:c>
      <x:c r="O94" s="94" t="str">
        <x:f>IF(OR(K94="",N94=""),"",N94-K94)</x:f>
      </x:c>
      <x:c r="P94" s="92"/>
      <x:c r="Q94" s="92"/>
      <x:c r="R94" s="92"/>
      <x:c r="S94" s="92"/>
      <x:c r="T94" s="92"/>
      <x:c r="U94" s="92"/>
      <x:c r="V94" s="92"/>
      <x:c r="W94" s="93"/>
      <x:c r="X94" s="94" t="str">
        <x:f>IF(A94="","",IF(V94&lt;&gt;"Verified","Pending HOD Verification",IF(T94="","Pending Review",IF(T94="Not Applicable","Closed — N/A",IF(M94="","Pending Reassessment",IF(AND(T94="Effective",N94&gt;=L94),"Closed — Effective","Further Action Required"))))))</x:f>
      </x:c>
      <x:c r="Y94" s="92"/>
    </x:row>
    <x:row r="95">
      <x:c r="A95" s="92"/>
      <x:c r="B95" s="92"/>
      <x:c r="C95" s="92"/>
      <x:c r="D95" s="94" t="str">
        <x:f>IFERROR(VLOOKUP(C95,'01 Staff Master'!$A$6:$M$105,2,FALSE),"")</x:f>
      </x:c>
      <x:c r="E95" s="94" t="str">
        <x:f>IFERROR(VLOOKUP(C95,'01 Staff Master'!$A$6:$M$105,3,FALSE),"")</x:f>
      </x:c>
      <x:c r="F95" s="92"/>
      <x:c r="G95" s="94" t="str">
        <x:f>IFERROR(VLOOKUP(F95,'02 Skill Catalogue'!$A$6:$K$95,4,FALSE),"")</x:f>
      </x:c>
      <x:c r="H95" s="92"/>
      <x:c r="I95" s="93"/>
      <x:c r="J95" s="92"/>
      <x:c r="K95" s="92"/>
      <x:c r="L95" s="92"/>
      <x:c r="M95" s="92"/>
      <x:c r="N95" s="94" t="str">
        <x:f>IFERROR(VLOOKUP(M95,'04 Assessment Log'!$A$6:$AE$155,15,FALSE),"")</x:f>
      </x:c>
      <x:c r="O95" s="94" t="str">
        <x:f>IF(OR(K95="",N95=""),"",N95-K95)</x:f>
      </x:c>
      <x:c r="P95" s="92"/>
      <x:c r="Q95" s="92"/>
      <x:c r="R95" s="92"/>
      <x:c r="S95" s="92"/>
      <x:c r="T95" s="92"/>
      <x:c r="U95" s="92"/>
      <x:c r="V95" s="92"/>
      <x:c r="W95" s="93"/>
      <x:c r="X95" s="94" t="str">
        <x:f>IF(A95="","",IF(V95&lt;&gt;"Verified","Pending HOD Verification",IF(T95="","Pending Review",IF(T95="Not Applicable","Closed — N/A",IF(M95="","Pending Reassessment",IF(AND(T95="Effective",N95&gt;=L95),"Closed — Effective","Further Action Required"))))))</x:f>
      </x:c>
      <x:c r="Y95" s="92"/>
    </x:row>
    <x:row r="96">
      <x:c r="A96" s="92"/>
      <x:c r="B96" s="92"/>
      <x:c r="C96" s="92"/>
      <x:c r="D96" s="94" t="str">
        <x:f>IFERROR(VLOOKUP(C96,'01 Staff Master'!$A$6:$M$105,2,FALSE),"")</x:f>
      </x:c>
      <x:c r="E96" s="94" t="str">
        <x:f>IFERROR(VLOOKUP(C96,'01 Staff Master'!$A$6:$M$105,3,FALSE),"")</x:f>
      </x:c>
      <x:c r="F96" s="92"/>
      <x:c r="G96" s="94" t="str">
        <x:f>IFERROR(VLOOKUP(F96,'02 Skill Catalogue'!$A$6:$K$95,4,FALSE),"")</x:f>
      </x:c>
      <x:c r="H96" s="92"/>
      <x:c r="I96" s="93"/>
      <x:c r="J96" s="92"/>
      <x:c r="K96" s="92"/>
      <x:c r="L96" s="92"/>
      <x:c r="M96" s="92"/>
      <x:c r="N96" s="94" t="str">
        <x:f>IFERROR(VLOOKUP(M96,'04 Assessment Log'!$A$6:$AE$155,15,FALSE),"")</x:f>
      </x:c>
      <x:c r="O96" s="94" t="str">
        <x:f>IF(OR(K96="",N96=""),"",N96-K96)</x:f>
      </x:c>
      <x:c r="P96" s="92"/>
      <x:c r="Q96" s="92"/>
      <x:c r="R96" s="92"/>
      <x:c r="S96" s="92"/>
      <x:c r="T96" s="92"/>
      <x:c r="U96" s="92"/>
      <x:c r="V96" s="92"/>
      <x:c r="W96" s="93"/>
      <x:c r="X96" s="94" t="str">
        <x:f>IF(A96="","",IF(V96&lt;&gt;"Verified","Pending HOD Verification",IF(T96="","Pending Review",IF(T96="Not Applicable","Closed — N/A",IF(M96="","Pending Reassessment",IF(AND(T96="Effective",N96&gt;=L96),"Closed — Effective","Further Action Required"))))))</x:f>
      </x:c>
      <x:c r="Y96" s="92"/>
    </x:row>
    <x:row r="97">
      <x:c r="A97" s="92"/>
      <x:c r="B97" s="92"/>
      <x:c r="C97" s="92"/>
      <x:c r="D97" s="94" t="str">
        <x:f>IFERROR(VLOOKUP(C97,'01 Staff Master'!$A$6:$M$105,2,FALSE),"")</x:f>
      </x:c>
      <x:c r="E97" s="94" t="str">
        <x:f>IFERROR(VLOOKUP(C97,'01 Staff Master'!$A$6:$M$105,3,FALSE),"")</x:f>
      </x:c>
      <x:c r="F97" s="92"/>
      <x:c r="G97" s="94" t="str">
        <x:f>IFERROR(VLOOKUP(F97,'02 Skill Catalogue'!$A$6:$K$95,4,FALSE),"")</x:f>
      </x:c>
      <x:c r="H97" s="92"/>
      <x:c r="I97" s="93"/>
      <x:c r="J97" s="92"/>
      <x:c r="K97" s="92"/>
      <x:c r="L97" s="92"/>
      <x:c r="M97" s="92"/>
      <x:c r="N97" s="94" t="str">
        <x:f>IFERROR(VLOOKUP(M97,'04 Assessment Log'!$A$6:$AE$155,15,FALSE),"")</x:f>
      </x:c>
      <x:c r="O97" s="94" t="str">
        <x:f>IF(OR(K97="",N97=""),"",N97-K97)</x:f>
      </x:c>
      <x:c r="P97" s="92"/>
      <x:c r="Q97" s="92"/>
      <x:c r="R97" s="92"/>
      <x:c r="S97" s="92"/>
      <x:c r="T97" s="92"/>
      <x:c r="U97" s="92"/>
      <x:c r="V97" s="92"/>
      <x:c r="W97" s="93"/>
      <x:c r="X97" s="94" t="str">
        <x:f>IF(A97="","",IF(V97&lt;&gt;"Verified","Pending HOD Verification",IF(T97="","Pending Review",IF(T97="Not Applicable","Closed — N/A",IF(M97="","Pending Reassessment",IF(AND(T97="Effective",N97&gt;=L97),"Closed — Effective","Further Action Required"))))))</x:f>
      </x:c>
      <x:c r="Y97" s="92"/>
    </x:row>
    <x:row r="98">
      <x:c r="A98" s="92"/>
      <x:c r="B98" s="92"/>
      <x:c r="C98" s="92"/>
      <x:c r="D98" s="94" t="str">
        <x:f>IFERROR(VLOOKUP(C98,'01 Staff Master'!$A$6:$M$105,2,FALSE),"")</x:f>
      </x:c>
      <x:c r="E98" s="94" t="str">
        <x:f>IFERROR(VLOOKUP(C98,'01 Staff Master'!$A$6:$M$105,3,FALSE),"")</x:f>
      </x:c>
      <x:c r="F98" s="92"/>
      <x:c r="G98" s="94" t="str">
        <x:f>IFERROR(VLOOKUP(F98,'02 Skill Catalogue'!$A$6:$K$95,4,FALSE),"")</x:f>
      </x:c>
      <x:c r="H98" s="92"/>
      <x:c r="I98" s="93"/>
      <x:c r="J98" s="92"/>
      <x:c r="K98" s="92"/>
      <x:c r="L98" s="92"/>
      <x:c r="M98" s="92"/>
      <x:c r="N98" s="94" t="str">
        <x:f>IFERROR(VLOOKUP(M98,'04 Assessment Log'!$A$6:$AE$155,15,FALSE),"")</x:f>
      </x:c>
      <x:c r="O98" s="94" t="str">
        <x:f>IF(OR(K98="",N98=""),"",N98-K98)</x:f>
      </x:c>
      <x:c r="P98" s="92"/>
      <x:c r="Q98" s="92"/>
      <x:c r="R98" s="92"/>
      <x:c r="S98" s="92"/>
      <x:c r="T98" s="92"/>
      <x:c r="U98" s="92"/>
      <x:c r="V98" s="92"/>
      <x:c r="W98" s="93"/>
      <x:c r="X98" s="94" t="str">
        <x:f>IF(A98="","",IF(V98&lt;&gt;"Verified","Pending HOD Verification",IF(T98="","Pending Review",IF(T98="Not Applicable","Closed — N/A",IF(M98="","Pending Reassessment",IF(AND(T98="Effective",N98&gt;=L98),"Closed — Effective","Further Action Required"))))))</x:f>
      </x:c>
      <x:c r="Y98" s="92"/>
    </x:row>
    <x:row r="99">
      <x:c r="A99" s="92"/>
      <x:c r="B99" s="92"/>
      <x:c r="C99" s="92"/>
      <x:c r="D99" s="94" t="str">
        <x:f>IFERROR(VLOOKUP(C99,'01 Staff Master'!$A$6:$M$105,2,FALSE),"")</x:f>
      </x:c>
      <x:c r="E99" s="94" t="str">
        <x:f>IFERROR(VLOOKUP(C99,'01 Staff Master'!$A$6:$M$105,3,FALSE),"")</x:f>
      </x:c>
      <x:c r="F99" s="92"/>
      <x:c r="G99" s="94" t="str">
        <x:f>IFERROR(VLOOKUP(F99,'02 Skill Catalogue'!$A$6:$K$95,4,FALSE),"")</x:f>
      </x:c>
      <x:c r="H99" s="92"/>
      <x:c r="I99" s="93"/>
      <x:c r="J99" s="92"/>
      <x:c r="K99" s="92"/>
      <x:c r="L99" s="92"/>
      <x:c r="M99" s="92"/>
      <x:c r="N99" s="94" t="str">
        <x:f>IFERROR(VLOOKUP(M99,'04 Assessment Log'!$A$6:$AE$155,15,FALSE),"")</x:f>
      </x:c>
      <x:c r="O99" s="94" t="str">
        <x:f>IF(OR(K99="",N99=""),"",N99-K99)</x:f>
      </x:c>
      <x:c r="P99" s="92"/>
      <x:c r="Q99" s="92"/>
      <x:c r="R99" s="92"/>
      <x:c r="S99" s="92"/>
      <x:c r="T99" s="92"/>
      <x:c r="U99" s="92"/>
      <x:c r="V99" s="92"/>
      <x:c r="W99" s="93"/>
      <x:c r="X99" s="94" t="str">
        <x:f>IF(A99="","",IF(V99&lt;&gt;"Verified","Pending HOD Verification",IF(T99="","Pending Review",IF(T99="Not Applicable","Closed — N/A",IF(M99="","Pending Reassessment",IF(AND(T99="Effective",N99&gt;=L99),"Closed — Effective","Further Action Required"))))))</x:f>
      </x:c>
      <x:c r="Y99" s="92"/>
    </x:row>
    <x:row r="100">
      <x:c r="A100" s="92"/>
      <x:c r="B100" s="92"/>
      <x:c r="C100" s="92"/>
      <x:c r="D100" s="94" t="str">
        <x:f>IFERROR(VLOOKUP(C100,'01 Staff Master'!$A$6:$M$105,2,FALSE),"")</x:f>
      </x:c>
      <x:c r="E100" s="94" t="str">
        <x:f>IFERROR(VLOOKUP(C100,'01 Staff Master'!$A$6:$M$105,3,FALSE),"")</x:f>
      </x:c>
      <x:c r="F100" s="92"/>
      <x:c r="G100" s="94" t="str">
        <x:f>IFERROR(VLOOKUP(F100,'02 Skill Catalogue'!$A$6:$K$95,4,FALSE),"")</x:f>
      </x:c>
      <x:c r="H100" s="92"/>
      <x:c r="I100" s="93"/>
      <x:c r="J100" s="92"/>
      <x:c r="K100" s="92"/>
      <x:c r="L100" s="92"/>
      <x:c r="M100" s="92"/>
      <x:c r="N100" s="94" t="str">
        <x:f>IFERROR(VLOOKUP(M100,'04 Assessment Log'!$A$6:$AE$155,15,FALSE),"")</x:f>
      </x:c>
      <x:c r="O100" s="94" t="str">
        <x:f>IF(OR(K100="",N100=""),"",N100-K100)</x:f>
      </x:c>
      <x:c r="P100" s="92"/>
      <x:c r="Q100" s="92"/>
      <x:c r="R100" s="92"/>
      <x:c r="S100" s="92"/>
      <x:c r="T100" s="92"/>
      <x:c r="U100" s="92"/>
      <x:c r="V100" s="92"/>
      <x:c r="W100" s="93"/>
      <x:c r="X100" s="94" t="str">
        <x:f>IF(A100="","",IF(V100&lt;&gt;"Verified","Pending HOD Verification",IF(T100="","Pending Review",IF(T100="Not Applicable","Closed — N/A",IF(M100="","Pending Reassessment",IF(AND(T100="Effective",N100&gt;=L100),"Closed — Effective","Further Action Required"))))))</x:f>
      </x:c>
      <x:c r="Y100" s="92"/>
    </x:row>
    <x:row r="101">
      <x:c r="A101" s="92"/>
      <x:c r="B101" s="92"/>
      <x:c r="C101" s="92"/>
      <x:c r="D101" s="94" t="str">
        <x:f>IFERROR(VLOOKUP(C101,'01 Staff Master'!$A$6:$M$105,2,FALSE),"")</x:f>
      </x:c>
      <x:c r="E101" s="94" t="str">
        <x:f>IFERROR(VLOOKUP(C101,'01 Staff Master'!$A$6:$M$105,3,FALSE),"")</x:f>
      </x:c>
      <x:c r="F101" s="92"/>
      <x:c r="G101" s="94" t="str">
        <x:f>IFERROR(VLOOKUP(F101,'02 Skill Catalogue'!$A$6:$K$95,4,FALSE),"")</x:f>
      </x:c>
      <x:c r="H101" s="92"/>
      <x:c r="I101" s="93"/>
      <x:c r="J101" s="92"/>
      <x:c r="K101" s="92"/>
      <x:c r="L101" s="92"/>
      <x:c r="M101" s="92"/>
      <x:c r="N101" s="94" t="str">
        <x:f>IFERROR(VLOOKUP(M101,'04 Assessment Log'!$A$6:$AE$155,15,FALSE),"")</x:f>
      </x:c>
      <x:c r="O101" s="94" t="str">
        <x:f>IF(OR(K101="",N101=""),"",N101-K101)</x:f>
      </x:c>
      <x:c r="P101" s="92"/>
      <x:c r="Q101" s="92"/>
      <x:c r="R101" s="92"/>
      <x:c r="S101" s="92"/>
      <x:c r="T101" s="92"/>
      <x:c r="U101" s="92"/>
      <x:c r="V101" s="92"/>
      <x:c r="W101" s="93"/>
      <x:c r="X101" s="94" t="str">
        <x:f>IF(A101="","",IF(V101&lt;&gt;"Verified","Pending HOD Verification",IF(T101="","Pending Review",IF(T101="Not Applicable","Closed — N/A",IF(M101="","Pending Reassessment",IF(AND(T101="Effective",N101&gt;=L101),"Closed — Effective","Further Action Required"))))))</x:f>
      </x:c>
      <x:c r="Y101" s="92"/>
    </x:row>
    <x:row r="102">
      <x:c r="A102" s="92"/>
      <x:c r="B102" s="92"/>
      <x:c r="C102" s="92"/>
      <x:c r="D102" s="94" t="str">
        <x:f>IFERROR(VLOOKUP(C102,'01 Staff Master'!$A$6:$M$105,2,FALSE),"")</x:f>
      </x:c>
      <x:c r="E102" s="94" t="str">
        <x:f>IFERROR(VLOOKUP(C102,'01 Staff Master'!$A$6:$M$105,3,FALSE),"")</x:f>
      </x:c>
      <x:c r="F102" s="92"/>
      <x:c r="G102" s="94" t="str">
        <x:f>IFERROR(VLOOKUP(F102,'02 Skill Catalogue'!$A$6:$K$95,4,FALSE),"")</x:f>
      </x:c>
      <x:c r="H102" s="92"/>
      <x:c r="I102" s="93"/>
      <x:c r="J102" s="92"/>
      <x:c r="K102" s="92"/>
      <x:c r="L102" s="92"/>
      <x:c r="M102" s="92"/>
      <x:c r="N102" s="94" t="str">
        <x:f>IFERROR(VLOOKUP(M102,'04 Assessment Log'!$A$6:$AE$155,15,FALSE),"")</x:f>
      </x:c>
      <x:c r="O102" s="94" t="str">
        <x:f>IF(OR(K102="",N102=""),"",N102-K102)</x:f>
      </x:c>
      <x:c r="P102" s="92"/>
      <x:c r="Q102" s="92"/>
      <x:c r="R102" s="92"/>
      <x:c r="S102" s="92"/>
      <x:c r="T102" s="92"/>
      <x:c r="U102" s="92"/>
      <x:c r="V102" s="92"/>
      <x:c r="W102" s="93"/>
      <x:c r="X102" s="94" t="str">
        <x:f>IF(A102="","",IF(V102&lt;&gt;"Verified","Pending HOD Verification",IF(T102="","Pending Review",IF(T102="Not Applicable","Closed — N/A",IF(M102="","Pending Reassessment",IF(AND(T102="Effective",N102&gt;=L102),"Closed — Effective","Further Action Required"))))))</x:f>
      </x:c>
      <x:c r="Y102" s="92"/>
    </x:row>
    <x:row r="103">
      <x:c r="A103" s="92"/>
      <x:c r="B103" s="92"/>
      <x:c r="C103" s="92"/>
      <x:c r="D103" s="94" t="str">
        <x:f>IFERROR(VLOOKUP(C103,'01 Staff Master'!$A$6:$M$105,2,FALSE),"")</x:f>
      </x:c>
      <x:c r="E103" s="94" t="str">
        <x:f>IFERROR(VLOOKUP(C103,'01 Staff Master'!$A$6:$M$105,3,FALSE),"")</x:f>
      </x:c>
      <x:c r="F103" s="92"/>
      <x:c r="G103" s="94" t="str">
        <x:f>IFERROR(VLOOKUP(F103,'02 Skill Catalogue'!$A$6:$K$95,4,FALSE),"")</x:f>
      </x:c>
      <x:c r="H103" s="92"/>
      <x:c r="I103" s="93"/>
      <x:c r="J103" s="92"/>
      <x:c r="K103" s="92"/>
      <x:c r="L103" s="92"/>
      <x:c r="M103" s="92"/>
      <x:c r="N103" s="94" t="str">
        <x:f>IFERROR(VLOOKUP(M103,'04 Assessment Log'!$A$6:$AE$155,15,FALSE),"")</x:f>
      </x:c>
      <x:c r="O103" s="94" t="str">
        <x:f>IF(OR(K103="",N103=""),"",N103-K103)</x:f>
      </x:c>
      <x:c r="P103" s="92"/>
      <x:c r="Q103" s="92"/>
      <x:c r="R103" s="92"/>
      <x:c r="S103" s="92"/>
      <x:c r="T103" s="92"/>
      <x:c r="U103" s="92"/>
      <x:c r="V103" s="92"/>
      <x:c r="W103" s="93"/>
      <x:c r="X103" s="94" t="str">
        <x:f>IF(A103="","",IF(V103&lt;&gt;"Verified","Pending HOD Verification",IF(T103="","Pending Review",IF(T103="Not Applicable","Closed — N/A",IF(M103="","Pending Reassessment",IF(AND(T103="Effective",N103&gt;=L103),"Closed — Effective","Further Action Required"))))))</x:f>
      </x:c>
      <x:c r="Y103" s="92"/>
    </x:row>
    <x:row r="104">
      <x:c r="A104" s="92"/>
      <x:c r="B104" s="92"/>
      <x:c r="C104" s="92"/>
      <x:c r="D104" s="94" t="str">
        <x:f>IFERROR(VLOOKUP(C104,'01 Staff Master'!$A$6:$M$105,2,FALSE),"")</x:f>
      </x:c>
      <x:c r="E104" s="94" t="str">
        <x:f>IFERROR(VLOOKUP(C104,'01 Staff Master'!$A$6:$M$105,3,FALSE),"")</x:f>
      </x:c>
      <x:c r="F104" s="92"/>
      <x:c r="G104" s="94" t="str">
        <x:f>IFERROR(VLOOKUP(F104,'02 Skill Catalogue'!$A$6:$K$95,4,FALSE),"")</x:f>
      </x:c>
      <x:c r="H104" s="92"/>
      <x:c r="I104" s="93"/>
      <x:c r="J104" s="92"/>
      <x:c r="K104" s="92"/>
      <x:c r="L104" s="92"/>
      <x:c r="M104" s="92"/>
      <x:c r="N104" s="94" t="str">
        <x:f>IFERROR(VLOOKUP(M104,'04 Assessment Log'!$A$6:$AE$155,15,FALSE),"")</x:f>
      </x:c>
      <x:c r="O104" s="94" t="str">
        <x:f>IF(OR(K104="",N104=""),"",N104-K104)</x:f>
      </x:c>
      <x:c r="P104" s="92"/>
      <x:c r="Q104" s="92"/>
      <x:c r="R104" s="92"/>
      <x:c r="S104" s="92"/>
      <x:c r="T104" s="92"/>
      <x:c r="U104" s="92"/>
      <x:c r="V104" s="92"/>
      <x:c r="W104" s="93"/>
      <x:c r="X104" s="94" t="str">
        <x:f>IF(A104="","",IF(V104&lt;&gt;"Verified","Pending HOD Verification",IF(T104="","Pending Review",IF(T104="Not Applicable","Closed — N/A",IF(M104="","Pending Reassessment",IF(AND(T104="Effective",N104&gt;=L104),"Closed — Effective","Further Action Required"))))))</x:f>
      </x:c>
      <x:c r="Y104" s="92"/>
    </x:row>
    <x:row r="105">
      <x:c r="A105" s="92"/>
      <x:c r="B105" s="92"/>
      <x:c r="C105" s="92"/>
      <x:c r="D105" s="94" t="str">
        <x:f>IFERROR(VLOOKUP(C105,'01 Staff Master'!$A$6:$M$105,2,FALSE),"")</x:f>
      </x:c>
      <x:c r="E105" s="94" t="str">
        <x:f>IFERROR(VLOOKUP(C105,'01 Staff Master'!$A$6:$M$105,3,FALSE),"")</x:f>
      </x:c>
      <x:c r="F105" s="92"/>
      <x:c r="G105" s="94" t="str">
        <x:f>IFERROR(VLOOKUP(F105,'02 Skill Catalogue'!$A$6:$K$95,4,FALSE),"")</x:f>
      </x:c>
      <x:c r="H105" s="92"/>
      <x:c r="I105" s="93"/>
      <x:c r="J105" s="92"/>
      <x:c r="K105" s="92"/>
      <x:c r="L105" s="92"/>
      <x:c r="M105" s="92"/>
      <x:c r="N105" s="94" t="str">
        <x:f>IFERROR(VLOOKUP(M105,'04 Assessment Log'!$A$6:$AE$155,15,FALSE),"")</x:f>
      </x:c>
      <x:c r="O105" s="94" t="str">
        <x:f>IF(OR(K105="",N105=""),"",N105-K105)</x:f>
      </x:c>
      <x:c r="P105" s="92"/>
      <x:c r="Q105" s="92"/>
      <x:c r="R105" s="92"/>
      <x:c r="S105" s="92"/>
      <x:c r="T105" s="92"/>
      <x:c r="U105" s="92"/>
      <x:c r="V105" s="92"/>
      <x:c r="W105" s="93"/>
      <x:c r="X105" s="94" t="str">
        <x:f>IF(A105="","",IF(V105&lt;&gt;"Verified","Pending HOD Verification",IF(T105="","Pending Review",IF(T105="Not Applicable","Closed — N/A",IF(M105="","Pending Reassessment",IF(AND(T105="Effective",N105&gt;=L105),"Closed — Effective","Further Action Required"))))))</x:f>
      </x:c>
      <x:c r="Y105" s="92"/>
    </x:row>
    <x:row r="106">
      <x:c r="A106" s="92"/>
      <x:c r="B106" s="92"/>
      <x:c r="C106" s="92"/>
      <x:c r="D106" s="94" t="str">
        <x:f>IFERROR(VLOOKUP(C106,'01 Staff Master'!$A$6:$M$105,2,FALSE),"")</x:f>
      </x:c>
      <x:c r="E106" s="94" t="str">
        <x:f>IFERROR(VLOOKUP(C106,'01 Staff Master'!$A$6:$M$105,3,FALSE),"")</x:f>
      </x:c>
      <x:c r="F106" s="92"/>
      <x:c r="G106" s="94" t="str">
        <x:f>IFERROR(VLOOKUP(F106,'02 Skill Catalogue'!$A$6:$K$95,4,FALSE),"")</x:f>
      </x:c>
      <x:c r="H106" s="92"/>
      <x:c r="I106" s="93"/>
      <x:c r="J106" s="92"/>
      <x:c r="K106" s="92"/>
      <x:c r="L106" s="92"/>
      <x:c r="M106" s="92"/>
      <x:c r="N106" s="94" t="str">
        <x:f>IFERROR(VLOOKUP(M106,'04 Assessment Log'!$A$6:$AE$155,15,FALSE),"")</x:f>
      </x:c>
      <x:c r="O106" s="94" t="str">
        <x:f>IF(OR(K106="",N106=""),"",N106-K106)</x:f>
      </x:c>
      <x:c r="P106" s="92"/>
      <x:c r="Q106" s="92"/>
      <x:c r="R106" s="92"/>
      <x:c r="S106" s="92"/>
      <x:c r="T106" s="92"/>
      <x:c r="U106" s="92"/>
      <x:c r="V106" s="92"/>
      <x:c r="W106" s="93"/>
      <x:c r="X106" s="94" t="str">
        <x:f>IF(A106="","",IF(V106&lt;&gt;"Verified","Pending HOD Verification",IF(T106="","Pending Review",IF(T106="Not Applicable","Closed — N/A",IF(M106="","Pending Reassessment",IF(AND(T106="Effective",N106&gt;=L106),"Closed — Effective","Further Action Required"))))))</x:f>
      </x:c>
      <x:c r="Y106" s="92"/>
    </x:row>
    <x:row r="107">
      <x:c r="A107" s="92"/>
      <x:c r="B107" s="92"/>
      <x:c r="C107" s="92"/>
      <x:c r="D107" s="94" t="str">
        <x:f>IFERROR(VLOOKUP(C107,'01 Staff Master'!$A$6:$M$105,2,FALSE),"")</x:f>
      </x:c>
      <x:c r="E107" s="94" t="str">
        <x:f>IFERROR(VLOOKUP(C107,'01 Staff Master'!$A$6:$M$105,3,FALSE),"")</x:f>
      </x:c>
      <x:c r="F107" s="92"/>
      <x:c r="G107" s="94" t="str">
        <x:f>IFERROR(VLOOKUP(F107,'02 Skill Catalogue'!$A$6:$K$95,4,FALSE),"")</x:f>
      </x:c>
      <x:c r="H107" s="92"/>
      <x:c r="I107" s="93"/>
      <x:c r="J107" s="92"/>
      <x:c r="K107" s="92"/>
      <x:c r="L107" s="92"/>
      <x:c r="M107" s="92"/>
      <x:c r="N107" s="94" t="str">
        <x:f>IFERROR(VLOOKUP(M107,'04 Assessment Log'!$A$6:$AE$155,15,FALSE),"")</x:f>
      </x:c>
      <x:c r="O107" s="94" t="str">
        <x:f>IF(OR(K107="",N107=""),"",N107-K107)</x:f>
      </x:c>
      <x:c r="P107" s="92"/>
      <x:c r="Q107" s="92"/>
      <x:c r="R107" s="92"/>
      <x:c r="S107" s="92"/>
      <x:c r="T107" s="92"/>
      <x:c r="U107" s="92"/>
      <x:c r="V107" s="92"/>
      <x:c r="W107" s="93"/>
      <x:c r="X107" s="94" t="str">
        <x:f>IF(A107="","",IF(V107&lt;&gt;"Verified","Pending HOD Verification",IF(T107="","Pending Review",IF(T107="Not Applicable","Closed — N/A",IF(M107="","Pending Reassessment",IF(AND(T107="Effective",N107&gt;=L107),"Closed — Effective","Further Action Required"))))))</x:f>
      </x:c>
      <x:c r="Y107" s="92"/>
    </x:row>
    <x:row r="108">
      <x:c r="A108" s="92"/>
      <x:c r="B108" s="92"/>
      <x:c r="C108" s="92"/>
      <x:c r="D108" s="94" t="str">
        <x:f>IFERROR(VLOOKUP(C108,'01 Staff Master'!$A$6:$M$105,2,FALSE),"")</x:f>
      </x:c>
      <x:c r="E108" s="94" t="str">
        <x:f>IFERROR(VLOOKUP(C108,'01 Staff Master'!$A$6:$M$105,3,FALSE),"")</x:f>
      </x:c>
      <x:c r="F108" s="92"/>
      <x:c r="G108" s="94" t="str">
        <x:f>IFERROR(VLOOKUP(F108,'02 Skill Catalogue'!$A$6:$K$95,4,FALSE),"")</x:f>
      </x:c>
      <x:c r="H108" s="92"/>
      <x:c r="I108" s="93"/>
      <x:c r="J108" s="92"/>
      <x:c r="K108" s="92"/>
      <x:c r="L108" s="92"/>
      <x:c r="M108" s="92"/>
      <x:c r="N108" s="94" t="str">
        <x:f>IFERROR(VLOOKUP(M108,'04 Assessment Log'!$A$6:$AE$155,15,FALSE),"")</x:f>
      </x:c>
      <x:c r="O108" s="94" t="str">
        <x:f>IF(OR(K108="",N108=""),"",N108-K108)</x:f>
      </x:c>
      <x:c r="P108" s="92"/>
      <x:c r="Q108" s="92"/>
      <x:c r="R108" s="92"/>
      <x:c r="S108" s="92"/>
      <x:c r="T108" s="92"/>
      <x:c r="U108" s="92"/>
      <x:c r="V108" s="92"/>
      <x:c r="W108" s="93"/>
      <x:c r="X108" s="94" t="str">
        <x:f>IF(A108="","",IF(V108&lt;&gt;"Verified","Pending HOD Verification",IF(T108="","Pending Review",IF(T108="Not Applicable","Closed — N/A",IF(M108="","Pending Reassessment",IF(AND(T108="Effective",N108&gt;=L108),"Closed — Effective","Further Action Required"))))))</x:f>
      </x:c>
      <x:c r="Y108" s="92"/>
    </x:row>
    <x:row r="109">
      <x:c r="A109" s="92"/>
      <x:c r="B109" s="92"/>
      <x:c r="C109" s="92"/>
      <x:c r="D109" s="94" t="str">
        <x:f>IFERROR(VLOOKUP(C109,'01 Staff Master'!$A$6:$M$105,2,FALSE),"")</x:f>
      </x:c>
      <x:c r="E109" s="94" t="str">
        <x:f>IFERROR(VLOOKUP(C109,'01 Staff Master'!$A$6:$M$105,3,FALSE),"")</x:f>
      </x:c>
      <x:c r="F109" s="92"/>
      <x:c r="G109" s="94" t="str">
        <x:f>IFERROR(VLOOKUP(F109,'02 Skill Catalogue'!$A$6:$K$95,4,FALSE),"")</x:f>
      </x:c>
      <x:c r="H109" s="92"/>
      <x:c r="I109" s="93"/>
      <x:c r="J109" s="92"/>
      <x:c r="K109" s="92"/>
      <x:c r="L109" s="92"/>
      <x:c r="M109" s="92"/>
      <x:c r="N109" s="94" t="str">
        <x:f>IFERROR(VLOOKUP(M109,'04 Assessment Log'!$A$6:$AE$155,15,FALSE),"")</x:f>
      </x:c>
      <x:c r="O109" s="94" t="str">
        <x:f>IF(OR(K109="",N109=""),"",N109-K109)</x:f>
      </x:c>
      <x:c r="P109" s="92"/>
      <x:c r="Q109" s="92"/>
      <x:c r="R109" s="92"/>
      <x:c r="S109" s="92"/>
      <x:c r="T109" s="92"/>
      <x:c r="U109" s="92"/>
      <x:c r="V109" s="92"/>
      <x:c r="W109" s="93"/>
      <x:c r="X109" s="94" t="str">
        <x:f>IF(A109="","",IF(V109&lt;&gt;"Verified","Pending HOD Verification",IF(T109="","Pending Review",IF(T109="Not Applicable","Closed — N/A",IF(M109="","Pending Reassessment",IF(AND(T109="Effective",N109&gt;=L109),"Closed — Effective","Further Action Required"))))))</x:f>
      </x:c>
      <x:c r="Y109" s="92"/>
    </x:row>
    <x:row r="110">
      <x:c r="A110" s="92"/>
      <x:c r="B110" s="92"/>
      <x:c r="C110" s="92"/>
      <x:c r="D110" s="94" t="str">
        <x:f>IFERROR(VLOOKUP(C110,'01 Staff Master'!$A$6:$M$105,2,FALSE),"")</x:f>
      </x:c>
      <x:c r="E110" s="94" t="str">
        <x:f>IFERROR(VLOOKUP(C110,'01 Staff Master'!$A$6:$M$105,3,FALSE),"")</x:f>
      </x:c>
      <x:c r="F110" s="92"/>
      <x:c r="G110" s="94" t="str">
        <x:f>IFERROR(VLOOKUP(F110,'02 Skill Catalogue'!$A$6:$K$95,4,FALSE),"")</x:f>
      </x:c>
      <x:c r="H110" s="92"/>
      <x:c r="I110" s="93"/>
      <x:c r="J110" s="92"/>
      <x:c r="K110" s="92"/>
      <x:c r="L110" s="92"/>
      <x:c r="M110" s="92"/>
      <x:c r="N110" s="94" t="str">
        <x:f>IFERROR(VLOOKUP(M110,'04 Assessment Log'!$A$6:$AE$155,15,FALSE),"")</x:f>
      </x:c>
      <x:c r="O110" s="94" t="str">
        <x:f>IF(OR(K110="",N110=""),"",N110-K110)</x:f>
      </x:c>
      <x:c r="P110" s="92"/>
      <x:c r="Q110" s="92"/>
      <x:c r="R110" s="92"/>
      <x:c r="S110" s="92"/>
      <x:c r="T110" s="92"/>
      <x:c r="U110" s="92"/>
      <x:c r="V110" s="92"/>
      <x:c r="W110" s="93"/>
      <x:c r="X110" s="94" t="str">
        <x:f>IF(A110="","",IF(V110&lt;&gt;"Verified","Pending HOD Verification",IF(T110="","Pending Review",IF(T110="Not Applicable","Closed — N/A",IF(M110="","Pending Reassessment",IF(AND(T110="Effective",N110&gt;=L110),"Closed — Effective","Further Action Required"))))))</x:f>
      </x:c>
      <x:c r="Y110" s="92"/>
    </x:row>
    <x:row r="111">
      <x:c r="A111" s="92"/>
      <x:c r="B111" s="92"/>
      <x:c r="C111" s="92"/>
      <x:c r="D111" s="94" t="str">
        <x:f>IFERROR(VLOOKUP(C111,'01 Staff Master'!$A$6:$M$105,2,FALSE),"")</x:f>
      </x:c>
      <x:c r="E111" s="94" t="str">
        <x:f>IFERROR(VLOOKUP(C111,'01 Staff Master'!$A$6:$M$105,3,FALSE),"")</x:f>
      </x:c>
      <x:c r="F111" s="92"/>
      <x:c r="G111" s="94" t="str">
        <x:f>IFERROR(VLOOKUP(F111,'02 Skill Catalogue'!$A$6:$K$95,4,FALSE),"")</x:f>
      </x:c>
      <x:c r="H111" s="92"/>
      <x:c r="I111" s="93"/>
      <x:c r="J111" s="92"/>
      <x:c r="K111" s="92"/>
      <x:c r="L111" s="92"/>
      <x:c r="M111" s="92"/>
      <x:c r="N111" s="94" t="str">
        <x:f>IFERROR(VLOOKUP(M111,'04 Assessment Log'!$A$6:$AE$155,15,FALSE),"")</x:f>
      </x:c>
      <x:c r="O111" s="94" t="str">
        <x:f>IF(OR(K111="",N111=""),"",N111-K111)</x:f>
      </x:c>
      <x:c r="P111" s="92"/>
      <x:c r="Q111" s="92"/>
      <x:c r="R111" s="92"/>
      <x:c r="S111" s="92"/>
      <x:c r="T111" s="92"/>
      <x:c r="U111" s="92"/>
      <x:c r="V111" s="92"/>
      <x:c r="W111" s="93"/>
      <x:c r="X111" s="94" t="str">
        <x:f>IF(A111="","",IF(V111&lt;&gt;"Verified","Pending HOD Verification",IF(T111="","Pending Review",IF(T111="Not Applicable","Closed — N/A",IF(M111="","Pending Reassessment",IF(AND(T111="Effective",N111&gt;=L111),"Closed — Effective","Further Action Required"))))))</x:f>
      </x:c>
      <x:c r="Y111" s="92"/>
    </x:row>
    <x:row r="112">
      <x:c r="A112" s="92"/>
      <x:c r="B112" s="92"/>
      <x:c r="C112" s="92"/>
      <x:c r="D112" s="94" t="str">
        <x:f>IFERROR(VLOOKUP(C112,'01 Staff Master'!$A$6:$M$105,2,FALSE),"")</x:f>
      </x:c>
      <x:c r="E112" s="94" t="str">
        <x:f>IFERROR(VLOOKUP(C112,'01 Staff Master'!$A$6:$M$105,3,FALSE),"")</x:f>
      </x:c>
      <x:c r="F112" s="92"/>
      <x:c r="G112" s="94" t="str">
        <x:f>IFERROR(VLOOKUP(F112,'02 Skill Catalogue'!$A$6:$K$95,4,FALSE),"")</x:f>
      </x:c>
      <x:c r="H112" s="92"/>
      <x:c r="I112" s="93"/>
      <x:c r="J112" s="92"/>
      <x:c r="K112" s="92"/>
      <x:c r="L112" s="92"/>
      <x:c r="M112" s="92"/>
      <x:c r="N112" s="94" t="str">
        <x:f>IFERROR(VLOOKUP(M112,'04 Assessment Log'!$A$6:$AE$155,15,FALSE),"")</x:f>
      </x:c>
      <x:c r="O112" s="94" t="str">
        <x:f>IF(OR(K112="",N112=""),"",N112-K112)</x:f>
      </x:c>
      <x:c r="P112" s="92"/>
      <x:c r="Q112" s="92"/>
      <x:c r="R112" s="92"/>
      <x:c r="S112" s="92"/>
      <x:c r="T112" s="92"/>
      <x:c r="U112" s="92"/>
      <x:c r="V112" s="92"/>
      <x:c r="W112" s="93"/>
      <x:c r="X112" s="94" t="str">
        <x:f>IF(A112="","",IF(V112&lt;&gt;"Verified","Pending HOD Verification",IF(T112="","Pending Review",IF(T112="Not Applicable","Closed — N/A",IF(M112="","Pending Reassessment",IF(AND(T112="Effective",N112&gt;=L112),"Closed — Effective","Further Action Required"))))))</x:f>
      </x:c>
      <x:c r="Y112" s="92"/>
    </x:row>
    <x:row r="113">
      <x:c r="A113" s="92"/>
      <x:c r="B113" s="92"/>
      <x:c r="C113" s="92"/>
      <x:c r="D113" s="94" t="str">
        <x:f>IFERROR(VLOOKUP(C113,'01 Staff Master'!$A$6:$M$105,2,FALSE),"")</x:f>
      </x:c>
      <x:c r="E113" s="94" t="str">
        <x:f>IFERROR(VLOOKUP(C113,'01 Staff Master'!$A$6:$M$105,3,FALSE),"")</x:f>
      </x:c>
      <x:c r="F113" s="92"/>
      <x:c r="G113" s="94" t="str">
        <x:f>IFERROR(VLOOKUP(F113,'02 Skill Catalogue'!$A$6:$K$95,4,FALSE),"")</x:f>
      </x:c>
      <x:c r="H113" s="92"/>
      <x:c r="I113" s="93"/>
      <x:c r="J113" s="92"/>
      <x:c r="K113" s="92"/>
      <x:c r="L113" s="92"/>
      <x:c r="M113" s="92"/>
      <x:c r="N113" s="94" t="str">
        <x:f>IFERROR(VLOOKUP(M113,'04 Assessment Log'!$A$6:$AE$155,15,FALSE),"")</x:f>
      </x:c>
      <x:c r="O113" s="94" t="str">
        <x:f>IF(OR(K113="",N113=""),"",N113-K113)</x:f>
      </x:c>
      <x:c r="P113" s="92"/>
      <x:c r="Q113" s="92"/>
      <x:c r="R113" s="92"/>
      <x:c r="S113" s="92"/>
      <x:c r="T113" s="92"/>
      <x:c r="U113" s="92"/>
      <x:c r="V113" s="92"/>
      <x:c r="W113" s="93"/>
      <x:c r="X113" s="94" t="str">
        <x:f>IF(A113="","",IF(V113&lt;&gt;"Verified","Pending HOD Verification",IF(T113="","Pending Review",IF(T113="Not Applicable","Closed — N/A",IF(M113="","Pending Reassessment",IF(AND(T113="Effective",N113&gt;=L113),"Closed — Effective","Further Action Required"))))))</x:f>
      </x:c>
      <x:c r="Y113" s="92"/>
    </x:row>
    <x:row r="114">
      <x:c r="A114" s="92"/>
      <x:c r="B114" s="92"/>
      <x:c r="C114" s="92"/>
      <x:c r="D114" s="94" t="str">
        <x:f>IFERROR(VLOOKUP(C114,'01 Staff Master'!$A$6:$M$105,2,FALSE),"")</x:f>
      </x:c>
      <x:c r="E114" s="94" t="str">
        <x:f>IFERROR(VLOOKUP(C114,'01 Staff Master'!$A$6:$M$105,3,FALSE),"")</x:f>
      </x:c>
      <x:c r="F114" s="92"/>
      <x:c r="G114" s="94" t="str">
        <x:f>IFERROR(VLOOKUP(F114,'02 Skill Catalogue'!$A$6:$K$95,4,FALSE),"")</x:f>
      </x:c>
      <x:c r="H114" s="92"/>
      <x:c r="I114" s="93"/>
      <x:c r="J114" s="92"/>
      <x:c r="K114" s="92"/>
      <x:c r="L114" s="92"/>
      <x:c r="M114" s="92"/>
      <x:c r="N114" s="94" t="str">
        <x:f>IFERROR(VLOOKUP(M114,'04 Assessment Log'!$A$6:$AE$155,15,FALSE),"")</x:f>
      </x:c>
      <x:c r="O114" s="94" t="str">
        <x:f>IF(OR(K114="",N114=""),"",N114-K114)</x:f>
      </x:c>
      <x:c r="P114" s="92"/>
      <x:c r="Q114" s="92"/>
      <x:c r="R114" s="92"/>
      <x:c r="S114" s="92"/>
      <x:c r="T114" s="92"/>
      <x:c r="U114" s="92"/>
      <x:c r="V114" s="92"/>
      <x:c r="W114" s="93"/>
      <x:c r="X114" s="94" t="str">
        <x:f>IF(A114="","",IF(V114&lt;&gt;"Verified","Pending HOD Verification",IF(T114="","Pending Review",IF(T114="Not Applicable","Closed — N/A",IF(M114="","Pending Reassessment",IF(AND(T114="Effective",N114&gt;=L114),"Closed — Effective","Further Action Required"))))))</x:f>
      </x:c>
      <x:c r="Y114" s="92"/>
    </x:row>
    <x:row r="115">
      <x:c r="A115" s="92"/>
      <x:c r="B115" s="92"/>
      <x:c r="C115" s="92"/>
      <x:c r="D115" s="94" t="str">
        <x:f>IFERROR(VLOOKUP(C115,'01 Staff Master'!$A$6:$M$105,2,FALSE),"")</x:f>
      </x:c>
      <x:c r="E115" s="94" t="str">
        <x:f>IFERROR(VLOOKUP(C115,'01 Staff Master'!$A$6:$M$105,3,FALSE),"")</x:f>
      </x:c>
      <x:c r="F115" s="92"/>
      <x:c r="G115" s="94" t="str">
        <x:f>IFERROR(VLOOKUP(F115,'02 Skill Catalogue'!$A$6:$K$95,4,FALSE),"")</x:f>
      </x:c>
      <x:c r="H115" s="92"/>
      <x:c r="I115" s="93"/>
      <x:c r="J115" s="92"/>
      <x:c r="K115" s="92"/>
      <x:c r="L115" s="92"/>
      <x:c r="M115" s="92"/>
      <x:c r="N115" s="94" t="str">
        <x:f>IFERROR(VLOOKUP(M115,'04 Assessment Log'!$A$6:$AE$155,15,FALSE),"")</x:f>
      </x:c>
      <x:c r="O115" s="94" t="str">
        <x:f>IF(OR(K115="",N115=""),"",N115-K115)</x:f>
      </x:c>
      <x:c r="P115" s="92"/>
      <x:c r="Q115" s="92"/>
      <x:c r="R115" s="92"/>
      <x:c r="S115" s="92"/>
      <x:c r="T115" s="92"/>
      <x:c r="U115" s="92"/>
      <x:c r="V115" s="92"/>
      <x:c r="W115" s="93"/>
      <x:c r="X115" s="94" t="str">
        <x:f>IF(A115="","",IF(V115&lt;&gt;"Verified","Pending HOD Verification",IF(T115="","Pending Review",IF(T115="Not Applicable","Closed — N/A",IF(M115="","Pending Reassessment",IF(AND(T115="Effective",N115&gt;=L115),"Closed — Effective","Further Action Required"))))))</x:f>
      </x:c>
      <x:c r="Y115" s="92"/>
    </x:row>
    <x:row r="116">
      <x:c r="A116" s="92"/>
      <x:c r="B116" s="92"/>
      <x:c r="C116" s="92"/>
      <x:c r="D116" s="94" t="str">
        <x:f>IFERROR(VLOOKUP(C116,'01 Staff Master'!$A$6:$M$105,2,FALSE),"")</x:f>
      </x:c>
      <x:c r="E116" s="94" t="str">
        <x:f>IFERROR(VLOOKUP(C116,'01 Staff Master'!$A$6:$M$105,3,FALSE),"")</x:f>
      </x:c>
      <x:c r="F116" s="92"/>
      <x:c r="G116" s="94" t="str">
        <x:f>IFERROR(VLOOKUP(F116,'02 Skill Catalogue'!$A$6:$K$95,4,FALSE),"")</x:f>
      </x:c>
      <x:c r="H116" s="92"/>
      <x:c r="I116" s="93"/>
      <x:c r="J116" s="92"/>
      <x:c r="K116" s="92"/>
      <x:c r="L116" s="92"/>
      <x:c r="M116" s="92"/>
      <x:c r="N116" s="94" t="str">
        <x:f>IFERROR(VLOOKUP(M116,'04 Assessment Log'!$A$6:$AE$155,15,FALSE),"")</x:f>
      </x:c>
      <x:c r="O116" s="94" t="str">
        <x:f>IF(OR(K116="",N116=""),"",N116-K116)</x:f>
      </x:c>
      <x:c r="P116" s="92"/>
      <x:c r="Q116" s="92"/>
      <x:c r="R116" s="92"/>
      <x:c r="S116" s="92"/>
      <x:c r="T116" s="92"/>
      <x:c r="U116" s="92"/>
      <x:c r="V116" s="92"/>
      <x:c r="W116" s="93"/>
      <x:c r="X116" s="94" t="str">
        <x:f>IF(A116="","",IF(V116&lt;&gt;"Verified","Pending HOD Verification",IF(T116="","Pending Review",IF(T116="Not Applicable","Closed — N/A",IF(M116="","Pending Reassessment",IF(AND(T116="Effective",N116&gt;=L116),"Closed — Effective","Further Action Required"))))))</x:f>
      </x:c>
      <x:c r="Y116" s="92"/>
    </x:row>
    <x:row r="117">
      <x:c r="A117" s="92"/>
      <x:c r="B117" s="92"/>
      <x:c r="C117" s="92"/>
      <x:c r="D117" s="94" t="str">
        <x:f>IFERROR(VLOOKUP(C117,'01 Staff Master'!$A$6:$M$105,2,FALSE),"")</x:f>
      </x:c>
      <x:c r="E117" s="94" t="str">
        <x:f>IFERROR(VLOOKUP(C117,'01 Staff Master'!$A$6:$M$105,3,FALSE),"")</x:f>
      </x:c>
      <x:c r="F117" s="92"/>
      <x:c r="G117" s="94" t="str">
        <x:f>IFERROR(VLOOKUP(F117,'02 Skill Catalogue'!$A$6:$K$95,4,FALSE),"")</x:f>
      </x:c>
      <x:c r="H117" s="92"/>
      <x:c r="I117" s="93"/>
      <x:c r="J117" s="92"/>
      <x:c r="K117" s="92"/>
      <x:c r="L117" s="92"/>
      <x:c r="M117" s="92"/>
      <x:c r="N117" s="94" t="str">
        <x:f>IFERROR(VLOOKUP(M117,'04 Assessment Log'!$A$6:$AE$155,15,FALSE),"")</x:f>
      </x:c>
      <x:c r="O117" s="94" t="str">
        <x:f>IF(OR(K117="",N117=""),"",N117-K117)</x:f>
      </x:c>
      <x:c r="P117" s="92"/>
      <x:c r="Q117" s="92"/>
      <x:c r="R117" s="92"/>
      <x:c r="S117" s="92"/>
      <x:c r="T117" s="92"/>
      <x:c r="U117" s="92"/>
      <x:c r="V117" s="92"/>
      <x:c r="W117" s="93"/>
      <x:c r="X117" s="94" t="str">
        <x:f>IF(A117="","",IF(V117&lt;&gt;"Verified","Pending HOD Verification",IF(T117="","Pending Review",IF(T117="Not Applicable","Closed — N/A",IF(M117="","Pending Reassessment",IF(AND(T117="Effective",N117&gt;=L117),"Closed — Effective","Further Action Required"))))))</x:f>
      </x:c>
      <x:c r="Y117" s="92"/>
    </x:row>
    <x:row r="118">
      <x:c r="A118" s="92"/>
      <x:c r="B118" s="92"/>
      <x:c r="C118" s="92"/>
      <x:c r="D118" s="94" t="str">
        <x:f>IFERROR(VLOOKUP(C118,'01 Staff Master'!$A$6:$M$105,2,FALSE),"")</x:f>
      </x:c>
      <x:c r="E118" s="94" t="str">
        <x:f>IFERROR(VLOOKUP(C118,'01 Staff Master'!$A$6:$M$105,3,FALSE),"")</x:f>
      </x:c>
      <x:c r="F118" s="92"/>
      <x:c r="G118" s="94" t="str">
        <x:f>IFERROR(VLOOKUP(F118,'02 Skill Catalogue'!$A$6:$K$95,4,FALSE),"")</x:f>
      </x:c>
      <x:c r="H118" s="92"/>
      <x:c r="I118" s="93"/>
      <x:c r="J118" s="92"/>
      <x:c r="K118" s="92"/>
      <x:c r="L118" s="92"/>
      <x:c r="M118" s="92"/>
      <x:c r="N118" s="94" t="str">
        <x:f>IFERROR(VLOOKUP(M118,'04 Assessment Log'!$A$6:$AE$155,15,FALSE),"")</x:f>
      </x:c>
      <x:c r="O118" s="94" t="str">
        <x:f>IF(OR(K118="",N118=""),"",N118-K118)</x:f>
      </x:c>
      <x:c r="P118" s="92"/>
      <x:c r="Q118" s="92"/>
      <x:c r="R118" s="92"/>
      <x:c r="S118" s="92"/>
      <x:c r="T118" s="92"/>
      <x:c r="U118" s="92"/>
      <x:c r="V118" s="92"/>
      <x:c r="W118" s="93"/>
      <x:c r="X118" s="94" t="str">
        <x:f>IF(A118="","",IF(V118&lt;&gt;"Verified","Pending HOD Verification",IF(T118="","Pending Review",IF(T118="Not Applicable","Closed — N/A",IF(M118="","Pending Reassessment",IF(AND(T118="Effective",N118&gt;=L118),"Closed — Effective","Further Action Required"))))))</x:f>
      </x:c>
      <x:c r="Y118" s="92"/>
    </x:row>
    <x:row r="119">
      <x:c r="A119" s="92"/>
      <x:c r="B119" s="92"/>
      <x:c r="C119" s="92"/>
      <x:c r="D119" s="94" t="str">
        <x:f>IFERROR(VLOOKUP(C119,'01 Staff Master'!$A$6:$M$105,2,FALSE),"")</x:f>
      </x:c>
      <x:c r="E119" s="94" t="str">
        <x:f>IFERROR(VLOOKUP(C119,'01 Staff Master'!$A$6:$M$105,3,FALSE),"")</x:f>
      </x:c>
      <x:c r="F119" s="92"/>
      <x:c r="G119" s="94" t="str">
        <x:f>IFERROR(VLOOKUP(F119,'02 Skill Catalogue'!$A$6:$K$95,4,FALSE),"")</x:f>
      </x:c>
      <x:c r="H119" s="92"/>
      <x:c r="I119" s="93"/>
      <x:c r="J119" s="92"/>
      <x:c r="K119" s="92"/>
      <x:c r="L119" s="92"/>
      <x:c r="M119" s="92"/>
      <x:c r="N119" s="94" t="str">
        <x:f>IFERROR(VLOOKUP(M119,'04 Assessment Log'!$A$6:$AE$155,15,FALSE),"")</x:f>
      </x:c>
      <x:c r="O119" s="94" t="str">
        <x:f>IF(OR(K119="",N119=""),"",N119-K119)</x:f>
      </x:c>
      <x:c r="P119" s="92"/>
      <x:c r="Q119" s="92"/>
      <x:c r="R119" s="92"/>
      <x:c r="S119" s="92"/>
      <x:c r="T119" s="92"/>
      <x:c r="U119" s="92"/>
      <x:c r="V119" s="92"/>
      <x:c r="W119" s="93"/>
      <x:c r="X119" s="94" t="str">
        <x:f>IF(A119="","",IF(V119&lt;&gt;"Verified","Pending HOD Verification",IF(T119="","Pending Review",IF(T119="Not Applicable","Closed — N/A",IF(M119="","Pending Reassessment",IF(AND(T119="Effective",N119&gt;=L119),"Closed — Effective","Further Action Required"))))))</x:f>
      </x:c>
      <x:c r="Y119" s="92"/>
    </x:row>
    <x:row r="120">
      <x:c r="A120" s="92"/>
      <x:c r="B120" s="92"/>
      <x:c r="C120" s="92"/>
      <x:c r="D120" s="94" t="str">
        <x:f>IFERROR(VLOOKUP(C120,'01 Staff Master'!$A$6:$M$105,2,FALSE),"")</x:f>
      </x:c>
      <x:c r="E120" s="94" t="str">
        <x:f>IFERROR(VLOOKUP(C120,'01 Staff Master'!$A$6:$M$105,3,FALSE),"")</x:f>
      </x:c>
      <x:c r="F120" s="92"/>
      <x:c r="G120" s="94" t="str">
        <x:f>IFERROR(VLOOKUP(F120,'02 Skill Catalogue'!$A$6:$K$95,4,FALSE),"")</x:f>
      </x:c>
      <x:c r="H120" s="92"/>
      <x:c r="I120" s="93"/>
      <x:c r="J120" s="92"/>
      <x:c r="K120" s="92"/>
      <x:c r="L120" s="92"/>
      <x:c r="M120" s="92"/>
      <x:c r="N120" s="94" t="str">
        <x:f>IFERROR(VLOOKUP(M120,'04 Assessment Log'!$A$6:$AE$155,15,FALSE),"")</x:f>
      </x:c>
      <x:c r="O120" s="94" t="str">
        <x:f>IF(OR(K120="",N120=""),"",N120-K120)</x:f>
      </x:c>
      <x:c r="P120" s="92"/>
      <x:c r="Q120" s="92"/>
      <x:c r="R120" s="92"/>
      <x:c r="S120" s="92"/>
      <x:c r="T120" s="92"/>
      <x:c r="U120" s="92"/>
      <x:c r="V120" s="92"/>
      <x:c r="W120" s="93"/>
      <x:c r="X120" s="94" t="str">
        <x:f>IF(A120="","",IF(V120&lt;&gt;"Verified","Pending HOD Verification",IF(T120="","Pending Review",IF(T120="Not Applicable","Closed — N/A",IF(M120="","Pending Reassessment",IF(AND(T120="Effective",N120&gt;=L120),"Closed — Effective","Further Action Required"))))))</x:f>
      </x:c>
      <x:c r="Y120" s="92"/>
    </x:row>
    <x:row r="121">
      <x:c r="A121" s="92"/>
      <x:c r="B121" s="92"/>
      <x:c r="C121" s="92"/>
      <x:c r="D121" s="94" t="str">
        <x:f>IFERROR(VLOOKUP(C121,'01 Staff Master'!$A$6:$M$105,2,FALSE),"")</x:f>
      </x:c>
      <x:c r="E121" s="94" t="str">
        <x:f>IFERROR(VLOOKUP(C121,'01 Staff Master'!$A$6:$M$105,3,FALSE),"")</x:f>
      </x:c>
      <x:c r="F121" s="92"/>
      <x:c r="G121" s="94" t="str">
        <x:f>IFERROR(VLOOKUP(F121,'02 Skill Catalogue'!$A$6:$K$95,4,FALSE),"")</x:f>
      </x:c>
      <x:c r="H121" s="92"/>
      <x:c r="I121" s="93"/>
      <x:c r="J121" s="92"/>
      <x:c r="K121" s="92"/>
      <x:c r="L121" s="92"/>
      <x:c r="M121" s="92"/>
      <x:c r="N121" s="94" t="str">
        <x:f>IFERROR(VLOOKUP(M121,'04 Assessment Log'!$A$6:$AE$155,15,FALSE),"")</x:f>
      </x:c>
      <x:c r="O121" s="94" t="str">
        <x:f>IF(OR(K121="",N121=""),"",N121-K121)</x:f>
      </x:c>
      <x:c r="P121" s="92"/>
      <x:c r="Q121" s="92"/>
      <x:c r="R121" s="92"/>
      <x:c r="S121" s="92"/>
      <x:c r="T121" s="92"/>
      <x:c r="U121" s="92"/>
      <x:c r="V121" s="92"/>
      <x:c r="W121" s="93"/>
      <x:c r="X121" s="94" t="str">
        <x:f>IF(A121="","",IF(V121&lt;&gt;"Verified","Pending HOD Verification",IF(T121="","Pending Review",IF(T121="Not Applicable","Closed — N/A",IF(M121="","Pending Reassessment",IF(AND(T121="Effective",N121&gt;=L121),"Closed — Effective","Further Action Required"))))))</x:f>
      </x:c>
      <x:c r="Y121" s="92"/>
    </x:row>
    <x:row r="122">
      <x:c r="A122" s="92"/>
      <x:c r="B122" s="92"/>
      <x:c r="C122" s="92"/>
      <x:c r="D122" s="94" t="str">
        <x:f>IFERROR(VLOOKUP(C122,'01 Staff Master'!$A$6:$M$105,2,FALSE),"")</x:f>
      </x:c>
      <x:c r="E122" s="94" t="str">
        <x:f>IFERROR(VLOOKUP(C122,'01 Staff Master'!$A$6:$M$105,3,FALSE),"")</x:f>
      </x:c>
      <x:c r="F122" s="92"/>
      <x:c r="G122" s="94" t="str">
        <x:f>IFERROR(VLOOKUP(F122,'02 Skill Catalogue'!$A$6:$K$95,4,FALSE),"")</x:f>
      </x:c>
      <x:c r="H122" s="92"/>
      <x:c r="I122" s="93"/>
      <x:c r="J122" s="92"/>
      <x:c r="K122" s="92"/>
      <x:c r="L122" s="92"/>
      <x:c r="M122" s="92"/>
      <x:c r="N122" s="94" t="str">
        <x:f>IFERROR(VLOOKUP(M122,'04 Assessment Log'!$A$6:$AE$155,15,FALSE),"")</x:f>
      </x:c>
      <x:c r="O122" s="94" t="str">
        <x:f>IF(OR(K122="",N122=""),"",N122-K122)</x:f>
      </x:c>
      <x:c r="P122" s="92"/>
      <x:c r="Q122" s="92"/>
      <x:c r="R122" s="92"/>
      <x:c r="S122" s="92"/>
      <x:c r="T122" s="92"/>
      <x:c r="U122" s="92"/>
      <x:c r="V122" s="92"/>
      <x:c r="W122" s="93"/>
      <x:c r="X122" s="94" t="str">
        <x:f>IF(A122="","",IF(V122&lt;&gt;"Verified","Pending HOD Verification",IF(T122="","Pending Review",IF(T122="Not Applicable","Closed — N/A",IF(M122="","Pending Reassessment",IF(AND(T122="Effective",N122&gt;=L122),"Closed — Effective","Further Action Required"))))))</x:f>
      </x:c>
      <x:c r="Y122" s="92"/>
    </x:row>
    <x:row r="123">
      <x:c r="A123" s="92"/>
      <x:c r="B123" s="92"/>
      <x:c r="C123" s="92"/>
      <x:c r="D123" s="94" t="str">
        <x:f>IFERROR(VLOOKUP(C123,'01 Staff Master'!$A$6:$M$105,2,FALSE),"")</x:f>
      </x:c>
      <x:c r="E123" s="94" t="str">
        <x:f>IFERROR(VLOOKUP(C123,'01 Staff Master'!$A$6:$M$105,3,FALSE),"")</x:f>
      </x:c>
      <x:c r="F123" s="92"/>
      <x:c r="G123" s="94" t="str">
        <x:f>IFERROR(VLOOKUP(F123,'02 Skill Catalogue'!$A$6:$K$95,4,FALSE),"")</x:f>
      </x:c>
      <x:c r="H123" s="92"/>
      <x:c r="I123" s="93"/>
      <x:c r="J123" s="92"/>
      <x:c r="K123" s="92"/>
      <x:c r="L123" s="92"/>
      <x:c r="M123" s="92"/>
      <x:c r="N123" s="94" t="str">
        <x:f>IFERROR(VLOOKUP(M123,'04 Assessment Log'!$A$6:$AE$155,15,FALSE),"")</x:f>
      </x:c>
      <x:c r="O123" s="94" t="str">
        <x:f>IF(OR(K123="",N123=""),"",N123-K123)</x:f>
      </x:c>
      <x:c r="P123" s="92"/>
      <x:c r="Q123" s="92"/>
      <x:c r="R123" s="92"/>
      <x:c r="S123" s="92"/>
      <x:c r="T123" s="92"/>
      <x:c r="U123" s="92"/>
      <x:c r="V123" s="92"/>
      <x:c r="W123" s="93"/>
      <x:c r="X123" s="94" t="str">
        <x:f>IF(A123="","",IF(V123&lt;&gt;"Verified","Pending HOD Verification",IF(T123="","Pending Review",IF(T123="Not Applicable","Closed — N/A",IF(M123="","Pending Reassessment",IF(AND(T123="Effective",N123&gt;=L123),"Closed — Effective","Further Action Required"))))))</x:f>
      </x:c>
      <x:c r="Y123" s="92"/>
    </x:row>
    <x:row r="124">
      <x:c r="A124" s="92"/>
      <x:c r="B124" s="92"/>
      <x:c r="C124" s="92"/>
      <x:c r="D124" s="94" t="str">
        <x:f>IFERROR(VLOOKUP(C124,'01 Staff Master'!$A$6:$M$105,2,FALSE),"")</x:f>
      </x:c>
      <x:c r="E124" s="94" t="str">
        <x:f>IFERROR(VLOOKUP(C124,'01 Staff Master'!$A$6:$M$105,3,FALSE),"")</x:f>
      </x:c>
      <x:c r="F124" s="92"/>
      <x:c r="G124" s="94" t="str">
        <x:f>IFERROR(VLOOKUP(F124,'02 Skill Catalogue'!$A$6:$K$95,4,FALSE),"")</x:f>
      </x:c>
      <x:c r="H124" s="92"/>
      <x:c r="I124" s="93"/>
      <x:c r="J124" s="92"/>
      <x:c r="K124" s="92"/>
      <x:c r="L124" s="92"/>
      <x:c r="M124" s="92"/>
      <x:c r="N124" s="94" t="str">
        <x:f>IFERROR(VLOOKUP(M124,'04 Assessment Log'!$A$6:$AE$155,15,FALSE),"")</x:f>
      </x:c>
      <x:c r="O124" s="94" t="str">
        <x:f>IF(OR(K124="",N124=""),"",N124-K124)</x:f>
      </x:c>
      <x:c r="P124" s="92"/>
      <x:c r="Q124" s="92"/>
      <x:c r="R124" s="92"/>
      <x:c r="S124" s="92"/>
      <x:c r="T124" s="92"/>
      <x:c r="U124" s="92"/>
      <x:c r="V124" s="92"/>
      <x:c r="W124" s="93"/>
      <x:c r="X124" s="94" t="str">
        <x:f>IF(A124="","",IF(V124&lt;&gt;"Verified","Pending HOD Verification",IF(T124="","Pending Review",IF(T124="Not Applicable","Closed — N/A",IF(M124="","Pending Reassessment",IF(AND(T124="Effective",N124&gt;=L124),"Closed — Effective","Further Action Required"))))))</x:f>
      </x:c>
      <x:c r="Y124" s="92"/>
    </x:row>
    <x:row r="125">
      <x:c r="A125" s="92"/>
      <x:c r="B125" s="92"/>
      <x:c r="C125" s="92"/>
      <x:c r="D125" s="94" t="str">
        <x:f>IFERROR(VLOOKUP(C125,'01 Staff Master'!$A$6:$M$105,2,FALSE),"")</x:f>
      </x:c>
      <x:c r="E125" s="94" t="str">
        <x:f>IFERROR(VLOOKUP(C125,'01 Staff Master'!$A$6:$M$105,3,FALSE),"")</x:f>
      </x:c>
      <x:c r="F125" s="92"/>
      <x:c r="G125" s="94" t="str">
        <x:f>IFERROR(VLOOKUP(F125,'02 Skill Catalogue'!$A$6:$K$95,4,FALSE),"")</x:f>
      </x:c>
      <x:c r="H125" s="92"/>
      <x:c r="I125" s="93"/>
      <x:c r="J125" s="92"/>
      <x:c r="K125" s="92"/>
      <x:c r="L125" s="92"/>
      <x:c r="M125" s="92"/>
      <x:c r="N125" s="94" t="str">
        <x:f>IFERROR(VLOOKUP(M125,'04 Assessment Log'!$A$6:$AE$155,15,FALSE),"")</x:f>
      </x:c>
      <x:c r="O125" s="94" t="str">
        <x:f>IF(OR(K125="",N125=""),"",N125-K125)</x:f>
      </x:c>
      <x:c r="P125" s="92"/>
      <x:c r="Q125" s="92"/>
      <x:c r="R125" s="92"/>
      <x:c r="S125" s="92"/>
      <x:c r="T125" s="92"/>
      <x:c r="U125" s="92"/>
      <x:c r="V125" s="92"/>
      <x:c r="W125" s="93"/>
      <x:c r="X125" s="94" t="str">
        <x:f>IF(A125="","",IF(V125&lt;&gt;"Verified","Pending HOD Verification",IF(T125="","Pending Review",IF(T125="Not Applicable","Closed — N/A",IF(M125="","Pending Reassessment",IF(AND(T125="Effective",N125&gt;=L125),"Closed — Effective","Further Action Required"))))))</x:f>
      </x:c>
      <x:c r="Y125" s="92"/>
    </x:row>
    <x:row r="126">
      <x:c r="A126" s="92"/>
      <x:c r="B126" s="92"/>
      <x:c r="C126" s="92"/>
      <x:c r="D126" s="94" t="str">
        <x:f>IFERROR(VLOOKUP(C126,'01 Staff Master'!$A$6:$M$105,2,FALSE),"")</x:f>
      </x:c>
      <x:c r="E126" s="94" t="str">
        <x:f>IFERROR(VLOOKUP(C126,'01 Staff Master'!$A$6:$M$105,3,FALSE),"")</x:f>
      </x:c>
      <x:c r="F126" s="92"/>
      <x:c r="G126" s="94" t="str">
        <x:f>IFERROR(VLOOKUP(F126,'02 Skill Catalogue'!$A$6:$K$95,4,FALSE),"")</x:f>
      </x:c>
      <x:c r="H126" s="92"/>
      <x:c r="I126" s="93"/>
      <x:c r="J126" s="92"/>
      <x:c r="K126" s="92"/>
      <x:c r="L126" s="92"/>
      <x:c r="M126" s="92"/>
      <x:c r="N126" s="94" t="str">
        <x:f>IFERROR(VLOOKUP(M126,'04 Assessment Log'!$A$6:$AE$155,15,FALSE),"")</x:f>
      </x:c>
      <x:c r="O126" s="94" t="str">
        <x:f>IF(OR(K126="",N126=""),"",N126-K126)</x:f>
      </x:c>
      <x:c r="P126" s="92"/>
      <x:c r="Q126" s="92"/>
      <x:c r="R126" s="92"/>
      <x:c r="S126" s="92"/>
      <x:c r="T126" s="92"/>
      <x:c r="U126" s="92"/>
      <x:c r="V126" s="92"/>
      <x:c r="W126" s="93"/>
      <x:c r="X126" s="94" t="str">
        <x:f>IF(A126="","",IF(V126&lt;&gt;"Verified","Pending HOD Verification",IF(T126="","Pending Review",IF(T126="Not Applicable","Closed — N/A",IF(M126="","Pending Reassessment",IF(AND(T126="Effective",N126&gt;=L126),"Closed — Effective","Further Action Required"))))))</x:f>
      </x:c>
      <x:c r="Y126" s="92"/>
    </x:row>
    <x:row r="127">
      <x:c r="A127" s="92"/>
      <x:c r="B127" s="92"/>
      <x:c r="C127" s="92"/>
      <x:c r="D127" s="94" t="str">
        <x:f>IFERROR(VLOOKUP(C127,'01 Staff Master'!$A$6:$M$105,2,FALSE),"")</x:f>
      </x:c>
      <x:c r="E127" s="94" t="str">
        <x:f>IFERROR(VLOOKUP(C127,'01 Staff Master'!$A$6:$M$105,3,FALSE),"")</x:f>
      </x:c>
      <x:c r="F127" s="92"/>
      <x:c r="G127" s="94" t="str">
        <x:f>IFERROR(VLOOKUP(F127,'02 Skill Catalogue'!$A$6:$K$95,4,FALSE),"")</x:f>
      </x:c>
      <x:c r="H127" s="92"/>
      <x:c r="I127" s="93"/>
      <x:c r="J127" s="92"/>
      <x:c r="K127" s="92"/>
      <x:c r="L127" s="92"/>
      <x:c r="M127" s="92"/>
      <x:c r="N127" s="94" t="str">
        <x:f>IFERROR(VLOOKUP(M127,'04 Assessment Log'!$A$6:$AE$155,15,FALSE),"")</x:f>
      </x:c>
      <x:c r="O127" s="94" t="str">
        <x:f>IF(OR(K127="",N127=""),"",N127-K127)</x:f>
      </x:c>
      <x:c r="P127" s="92"/>
      <x:c r="Q127" s="92"/>
      <x:c r="R127" s="92"/>
      <x:c r="S127" s="92"/>
      <x:c r="T127" s="92"/>
      <x:c r="U127" s="92"/>
      <x:c r="V127" s="92"/>
      <x:c r="W127" s="93"/>
      <x:c r="X127" s="94" t="str">
        <x:f>IF(A127="","",IF(V127&lt;&gt;"Verified","Pending HOD Verification",IF(T127="","Pending Review",IF(T127="Not Applicable","Closed — N/A",IF(M127="","Pending Reassessment",IF(AND(T127="Effective",N127&gt;=L127),"Closed — Effective","Further Action Required"))))))</x:f>
      </x:c>
      <x:c r="Y127" s="92"/>
    </x:row>
    <x:row r="128">
      <x:c r="A128" s="92"/>
      <x:c r="B128" s="92"/>
      <x:c r="C128" s="92"/>
      <x:c r="D128" s="94" t="str">
        <x:f>IFERROR(VLOOKUP(C128,'01 Staff Master'!$A$6:$M$105,2,FALSE),"")</x:f>
      </x:c>
      <x:c r="E128" s="94" t="str">
        <x:f>IFERROR(VLOOKUP(C128,'01 Staff Master'!$A$6:$M$105,3,FALSE),"")</x:f>
      </x:c>
      <x:c r="F128" s="92"/>
      <x:c r="G128" s="94" t="str">
        <x:f>IFERROR(VLOOKUP(F128,'02 Skill Catalogue'!$A$6:$K$95,4,FALSE),"")</x:f>
      </x:c>
      <x:c r="H128" s="92"/>
      <x:c r="I128" s="93"/>
      <x:c r="J128" s="92"/>
      <x:c r="K128" s="92"/>
      <x:c r="L128" s="92"/>
      <x:c r="M128" s="92"/>
      <x:c r="N128" s="94" t="str">
        <x:f>IFERROR(VLOOKUP(M128,'04 Assessment Log'!$A$6:$AE$155,15,FALSE),"")</x:f>
      </x:c>
      <x:c r="O128" s="94" t="str">
        <x:f>IF(OR(K128="",N128=""),"",N128-K128)</x:f>
      </x:c>
      <x:c r="P128" s="92"/>
      <x:c r="Q128" s="92"/>
      <x:c r="R128" s="92"/>
      <x:c r="S128" s="92"/>
      <x:c r="T128" s="92"/>
      <x:c r="U128" s="92"/>
      <x:c r="V128" s="92"/>
      <x:c r="W128" s="93"/>
      <x:c r="X128" s="94" t="str">
        <x:f>IF(A128="","",IF(V128&lt;&gt;"Verified","Pending HOD Verification",IF(T128="","Pending Review",IF(T128="Not Applicable","Closed — N/A",IF(M128="","Pending Reassessment",IF(AND(T128="Effective",N128&gt;=L128),"Closed — Effective","Further Action Required"))))))</x:f>
      </x:c>
      <x:c r="Y128" s="92"/>
    </x:row>
    <x:row r="129">
      <x:c r="A129" s="92"/>
      <x:c r="B129" s="92"/>
      <x:c r="C129" s="92"/>
      <x:c r="D129" s="94" t="str">
        <x:f>IFERROR(VLOOKUP(C129,'01 Staff Master'!$A$6:$M$105,2,FALSE),"")</x:f>
      </x:c>
      <x:c r="E129" s="94" t="str">
        <x:f>IFERROR(VLOOKUP(C129,'01 Staff Master'!$A$6:$M$105,3,FALSE),"")</x:f>
      </x:c>
      <x:c r="F129" s="92"/>
      <x:c r="G129" s="94" t="str">
        <x:f>IFERROR(VLOOKUP(F129,'02 Skill Catalogue'!$A$6:$K$95,4,FALSE),"")</x:f>
      </x:c>
      <x:c r="H129" s="92"/>
      <x:c r="I129" s="93"/>
      <x:c r="J129" s="92"/>
      <x:c r="K129" s="92"/>
      <x:c r="L129" s="92"/>
      <x:c r="M129" s="92"/>
      <x:c r="N129" s="94" t="str">
        <x:f>IFERROR(VLOOKUP(M129,'04 Assessment Log'!$A$6:$AE$155,15,FALSE),"")</x:f>
      </x:c>
      <x:c r="O129" s="94" t="str">
        <x:f>IF(OR(K129="",N129=""),"",N129-K129)</x:f>
      </x:c>
      <x:c r="P129" s="92"/>
      <x:c r="Q129" s="92"/>
      <x:c r="R129" s="92"/>
      <x:c r="S129" s="92"/>
      <x:c r="T129" s="92"/>
      <x:c r="U129" s="92"/>
      <x:c r="V129" s="92"/>
      <x:c r="W129" s="93"/>
      <x:c r="X129" s="94" t="str">
        <x:f>IF(A129="","",IF(V129&lt;&gt;"Verified","Pending HOD Verification",IF(T129="","Pending Review",IF(T129="Not Applicable","Closed — N/A",IF(M129="","Pending Reassessment",IF(AND(T129="Effective",N129&gt;=L129),"Closed — Effective","Further Action Required"))))))</x:f>
      </x:c>
      <x:c r="Y129" s="92"/>
    </x:row>
    <x:row r="130">
      <x:c r="A130" s="92"/>
      <x:c r="B130" s="92"/>
      <x:c r="C130" s="92"/>
      <x:c r="D130" s="94" t="str">
        <x:f>IFERROR(VLOOKUP(C130,'01 Staff Master'!$A$6:$M$105,2,FALSE),"")</x:f>
      </x:c>
      <x:c r="E130" s="94" t="str">
        <x:f>IFERROR(VLOOKUP(C130,'01 Staff Master'!$A$6:$M$105,3,FALSE),"")</x:f>
      </x:c>
      <x:c r="F130" s="92"/>
      <x:c r="G130" s="94" t="str">
        <x:f>IFERROR(VLOOKUP(F130,'02 Skill Catalogue'!$A$6:$K$95,4,FALSE),"")</x:f>
      </x:c>
      <x:c r="H130" s="92"/>
      <x:c r="I130" s="93"/>
      <x:c r="J130" s="92"/>
      <x:c r="K130" s="92"/>
      <x:c r="L130" s="92"/>
      <x:c r="M130" s="92"/>
      <x:c r="N130" s="94" t="str">
        <x:f>IFERROR(VLOOKUP(M130,'04 Assessment Log'!$A$6:$AE$155,15,FALSE),"")</x:f>
      </x:c>
      <x:c r="O130" s="94" t="str">
        <x:f>IF(OR(K130="",N130=""),"",N130-K130)</x:f>
      </x:c>
      <x:c r="P130" s="92"/>
      <x:c r="Q130" s="92"/>
      <x:c r="R130" s="92"/>
      <x:c r="S130" s="92"/>
      <x:c r="T130" s="92"/>
      <x:c r="U130" s="92"/>
      <x:c r="V130" s="92"/>
      <x:c r="W130" s="93"/>
      <x:c r="X130" s="94" t="str">
        <x:f>IF(A130="","",IF(V130&lt;&gt;"Verified","Pending HOD Verification",IF(T130="","Pending Review",IF(T130="Not Applicable","Closed — N/A",IF(M130="","Pending Reassessment",IF(AND(T130="Effective",N130&gt;=L130),"Closed — Effective","Further Action Required"))))))</x:f>
      </x:c>
      <x:c r="Y130" s="92"/>
    </x:row>
    <x:row r="131">
      <x:c r="A131" s="92"/>
      <x:c r="B131" s="92"/>
      <x:c r="C131" s="92"/>
      <x:c r="D131" s="94" t="str">
        <x:f>IFERROR(VLOOKUP(C131,'01 Staff Master'!$A$6:$M$105,2,FALSE),"")</x:f>
      </x:c>
      <x:c r="E131" s="94" t="str">
        <x:f>IFERROR(VLOOKUP(C131,'01 Staff Master'!$A$6:$M$105,3,FALSE),"")</x:f>
      </x:c>
      <x:c r="F131" s="92"/>
      <x:c r="G131" s="94" t="str">
        <x:f>IFERROR(VLOOKUP(F131,'02 Skill Catalogue'!$A$6:$K$95,4,FALSE),"")</x:f>
      </x:c>
      <x:c r="H131" s="92"/>
      <x:c r="I131" s="93"/>
      <x:c r="J131" s="92"/>
      <x:c r="K131" s="92"/>
      <x:c r="L131" s="92"/>
      <x:c r="M131" s="92"/>
      <x:c r="N131" s="94" t="str">
        <x:f>IFERROR(VLOOKUP(M131,'04 Assessment Log'!$A$6:$AE$155,15,FALSE),"")</x:f>
      </x:c>
      <x:c r="O131" s="94" t="str">
        <x:f>IF(OR(K131="",N131=""),"",N131-K131)</x:f>
      </x:c>
      <x:c r="P131" s="92"/>
      <x:c r="Q131" s="92"/>
      <x:c r="R131" s="92"/>
      <x:c r="S131" s="92"/>
      <x:c r="T131" s="92"/>
      <x:c r="U131" s="92"/>
      <x:c r="V131" s="92"/>
      <x:c r="W131" s="93"/>
      <x:c r="X131" s="94" t="str">
        <x:f>IF(A131="","",IF(V131&lt;&gt;"Verified","Pending HOD Verification",IF(T131="","Pending Review",IF(T131="Not Applicable","Closed — N/A",IF(M131="","Pending Reassessment",IF(AND(T131="Effective",N131&gt;=L131),"Closed — Effective","Further Action Required"))))))</x:f>
      </x:c>
      <x:c r="Y131" s="92"/>
    </x:row>
    <x:row r="132">
      <x:c r="A132" s="92"/>
      <x:c r="B132" s="92"/>
      <x:c r="C132" s="92"/>
      <x:c r="D132" s="94" t="str">
        <x:f>IFERROR(VLOOKUP(C132,'01 Staff Master'!$A$6:$M$105,2,FALSE),"")</x:f>
      </x:c>
      <x:c r="E132" s="94" t="str">
        <x:f>IFERROR(VLOOKUP(C132,'01 Staff Master'!$A$6:$M$105,3,FALSE),"")</x:f>
      </x:c>
      <x:c r="F132" s="92"/>
      <x:c r="G132" s="94" t="str">
        <x:f>IFERROR(VLOOKUP(F132,'02 Skill Catalogue'!$A$6:$K$95,4,FALSE),"")</x:f>
      </x:c>
      <x:c r="H132" s="92"/>
      <x:c r="I132" s="93"/>
      <x:c r="J132" s="92"/>
      <x:c r="K132" s="92"/>
      <x:c r="L132" s="92"/>
      <x:c r="M132" s="92"/>
      <x:c r="N132" s="94" t="str">
        <x:f>IFERROR(VLOOKUP(M132,'04 Assessment Log'!$A$6:$AE$155,15,FALSE),"")</x:f>
      </x:c>
      <x:c r="O132" s="94" t="str">
        <x:f>IF(OR(K132="",N132=""),"",N132-K132)</x:f>
      </x:c>
      <x:c r="P132" s="92"/>
      <x:c r="Q132" s="92"/>
      <x:c r="R132" s="92"/>
      <x:c r="S132" s="92"/>
      <x:c r="T132" s="92"/>
      <x:c r="U132" s="92"/>
      <x:c r="V132" s="92"/>
      <x:c r="W132" s="93"/>
      <x:c r="X132" s="94" t="str">
        <x:f>IF(A132="","",IF(V132&lt;&gt;"Verified","Pending HOD Verification",IF(T132="","Pending Review",IF(T132="Not Applicable","Closed — N/A",IF(M132="","Pending Reassessment",IF(AND(T132="Effective",N132&gt;=L132),"Closed — Effective","Further Action Required"))))))</x:f>
      </x:c>
      <x:c r="Y132" s="92"/>
    </x:row>
    <x:row r="133">
      <x:c r="A133" s="92"/>
      <x:c r="B133" s="92"/>
      <x:c r="C133" s="92"/>
      <x:c r="D133" s="94" t="str">
        <x:f>IFERROR(VLOOKUP(C133,'01 Staff Master'!$A$6:$M$105,2,FALSE),"")</x:f>
      </x:c>
      <x:c r="E133" s="94" t="str">
        <x:f>IFERROR(VLOOKUP(C133,'01 Staff Master'!$A$6:$M$105,3,FALSE),"")</x:f>
      </x:c>
      <x:c r="F133" s="92"/>
      <x:c r="G133" s="94" t="str">
        <x:f>IFERROR(VLOOKUP(F133,'02 Skill Catalogue'!$A$6:$K$95,4,FALSE),"")</x:f>
      </x:c>
      <x:c r="H133" s="92"/>
      <x:c r="I133" s="93"/>
      <x:c r="J133" s="92"/>
      <x:c r="K133" s="92"/>
      <x:c r="L133" s="92"/>
      <x:c r="M133" s="92"/>
      <x:c r="N133" s="94" t="str">
        <x:f>IFERROR(VLOOKUP(M133,'04 Assessment Log'!$A$6:$AE$155,15,FALSE),"")</x:f>
      </x:c>
      <x:c r="O133" s="94" t="str">
        <x:f>IF(OR(K133="",N133=""),"",N133-K133)</x:f>
      </x:c>
      <x:c r="P133" s="92"/>
      <x:c r="Q133" s="92"/>
      <x:c r="R133" s="92"/>
      <x:c r="S133" s="92"/>
      <x:c r="T133" s="92"/>
      <x:c r="U133" s="92"/>
      <x:c r="V133" s="92"/>
      <x:c r="W133" s="93"/>
      <x:c r="X133" s="94" t="str">
        <x:f>IF(A133="","",IF(V133&lt;&gt;"Verified","Pending HOD Verification",IF(T133="","Pending Review",IF(T133="Not Applicable","Closed — N/A",IF(M133="","Pending Reassessment",IF(AND(T133="Effective",N133&gt;=L133),"Closed — Effective","Further Action Required"))))))</x:f>
      </x:c>
      <x:c r="Y133" s="92"/>
    </x:row>
    <x:row r="134">
      <x:c r="A134" s="92"/>
      <x:c r="B134" s="92"/>
      <x:c r="C134" s="92"/>
      <x:c r="D134" s="94" t="str">
        <x:f>IFERROR(VLOOKUP(C134,'01 Staff Master'!$A$6:$M$105,2,FALSE),"")</x:f>
      </x:c>
      <x:c r="E134" s="94" t="str">
        <x:f>IFERROR(VLOOKUP(C134,'01 Staff Master'!$A$6:$M$105,3,FALSE),"")</x:f>
      </x:c>
      <x:c r="F134" s="92"/>
      <x:c r="G134" s="94" t="str">
        <x:f>IFERROR(VLOOKUP(F134,'02 Skill Catalogue'!$A$6:$K$95,4,FALSE),"")</x:f>
      </x:c>
      <x:c r="H134" s="92"/>
      <x:c r="I134" s="93"/>
      <x:c r="J134" s="92"/>
      <x:c r="K134" s="92"/>
      <x:c r="L134" s="92"/>
      <x:c r="M134" s="92"/>
      <x:c r="N134" s="94" t="str">
        <x:f>IFERROR(VLOOKUP(M134,'04 Assessment Log'!$A$6:$AE$155,15,FALSE),"")</x:f>
      </x:c>
      <x:c r="O134" s="94" t="str">
        <x:f>IF(OR(K134="",N134=""),"",N134-K134)</x:f>
      </x:c>
      <x:c r="P134" s="92"/>
      <x:c r="Q134" s="92"/>
      <x:c r="R134" s="92"/>
      <x:c r="S134" s="92"/>
      <x:c r="T134" s="92"/>
      <x:c r="U134" s="92"/>
      <x:c r="V134" s="92"/>
      <x:c r="W134" s="93"/>
      <x:c r="X134" s="94" t="str">
        <x:f>IF(A134="","",IF(V134&lt;&gt;"Verified","Pending HOD Verification",IF(T134="","Pending Review",IF(T134="Not Applicable","Closed — N/A",IF(M134="","Pending Reassessment",IF(AND(T134="Effective",N134&gt;=L134),"Closed — Effective","Further Action Required"))))))</x:f>
      </x:c>
      <x:c r="Y134" s="92"/>
    </x:row>
    <x:row r="135">
      <x:c r="A135" s="92"/>
      <x:c r="B135" s="92"/>
      <x:c r="C135" s="92"/>
      <x:c r="D135" s="94" t="str">
        <x:f>IFERROR(VLOOKUP(C135,'01 Staff Master'!$A$6:$M$105,2,FALSE),"")</x:f>
      </x:c>
      <x:c r="E135" s="94" t="str">
        <x:f>IFERROR(VLOOKUP(C135,'01 Staff Master'!$A$6:$M$105,3,FALSE),"")</x:f>
      </x:c>
      <x:c r="F135" s="92"/>
      <x:c r="G135" s="94" t="str">
        <x:f>IFERROR(VLOOKUP(F135,'02 Skill Catalogue'!$A$6:$K$95,4,FALSE),"")</x:f>
      </x:c>
      <x:c r="H135" s="92"/>
      <x:c r="I135" s="93"/>
      <x:c r="J135" s="92"/>
      <x:c r="K135" s="92"/>
      <x:c r="L135" s="92"/>
      <x:c r="M135" s="92"/>
      <x:c r="N135" s="94" t="str">
        <x:f>IFERROR(VLOOKUP(M135,'04 Assessment Log'!$A$6:$AE$155,15,FALSE),"")</x:f>
      </x:c>
      <x:c r="O135" s="94" t="str">
        <x:f>IF(OR(K135="",N135=""),"",N135-K135)</x:f>
      </x:c>
      <x:c r="P135" s="92"/>
      <x:c r="Q135" s="92"/>
      <x:c r="R135" s="92"/>
      <x:c r="S135" s="92"/>
      <x:c r="T135" s="92"/>
      <x:c r="U135" s="92"/>
      <x:c r="V135" s="92"/>
      <x:c r="W135" s="93"/>
      <x:c r="X135" s="94" t="str">
        <x:f>IF(A135="","",IF(V135&lt;&gt;"Verified","Pending HOD Verification",IF(T135="","Pending Review",IF(T135="Not Applicable","Closed — N/A",IF(M135="","Pending Reassessment",IF(AND(T135="Effective",N135&gt;=L135),"Closed — Effective","Further Action Required"))))))</x:f>
      </x:c>
      <x:c r="Y135" s="92"/>
    </x:row>
    <x:row r="136">
      <x:c r="A136" s="92"/>
      <x:c r="B136" s="92"/>
      <x:c r="C136" s="92"/>
      <x:c r="D136" s="94" t="str">
        <x:f>IFERROR(VLOOKUP(C136,'01 Staff Master'!$A$6:$M$105,2,FALSE),"")</x:f>
      </x:c>
      <x:c r="E136" s="94" t="str">
        <x:f>IFERROR(VLOOKUP(C136,'01 Staff Master'!$A$6:$M$105,3,FALSE),"")</x:f>
      </x:c>
      <x:c r="F136" s="92"/>
      <x:c r="G136" s="94" t="str">
        <x:f>IFERROR(VLOOKUP(F136,'02 Skill Catalogue'!$A$6:$K$95,4,FALSE),"")</x:f>
      </x:c>
      <x:c r="H136" s="92"/>
      <x:c r="I136" s="93"/>
      <x:c r="J136" s="92"/>
      <x:c r="K136" s="92"/>
      <x:c r="L136" s="92"/>
      <x:c r="M136" s="92"/>
      <x:c r="N136" s="94" t="str">
        <x:f>IFERROR(VLOOKUP(M136,'04 Assessment Log'!$A$6:$AE$155,15,FALSE),"")</x:f>
      </x:c>
      <x:c r="O136" s="94" t="str">
        <x:f>IF(OR(K136="",N136=""),"",N136-K136)</x:f>
      </x:c>
      <x:c r="P136" s="92"/>
      <x:c r="Q136" s="92"/>
      <x:c r="R136" s="92"/>
      <x:c r="S136" s="92"/>
      <x:c r="T136" s="92"/>
      <x:c r="U136" s="92"/>
      <x:c r="V136" s="92"/>
      <x:c r="W136" s="93"/>
      <x:c r="X136" s="94" t="str">
        <x:f>IF(A136="","",IF(V136&lt;&gt;"Verified","Pending HOD Verification",IF(T136="","Pending Review",IF(T136="Not Applicable","Closed — N/A",IF(M136="","Pending Reassessment",IF(AND(T136="Effective",N136&gt;=L136),"Closed — Effective","Further Action Required"))))))</x:f>
      </x:c>
      <x:c r="Y136" s="92"/>
    </x:row>
    <x:row r="137">
      <x:c r="A137" s="92"/>
      <x:c r="B137" s="92"/>
      <x:c r="C137" s="92"/>
      <x:c r="D137" s="94" t="str">
        <x:f>IFERROR(VLOOKUP(C137,'01 Staff Master'!$A$6:$M$105,2,FALSE),"")</x:f>
      </x:c>
      <x:c r="E137" s="94" t="str">
        <x:f>IFERROR(VLOOKUP(C137,'01 Staff Master'!$A$6:$M$105,3,FALSE),"")</x:f>
      </x:c>
      <x:c r="F137" s="92"/>
      <x:c r="G137" s="94" t="str">
        <x:f>IFERROR(VLOOKUP(F137,'02 Skill Catalogue'!$A$6:$K$95,4,FALSE),"")</x:f>
      </x:c>
      <x:c r="H137" s="92"/>
      <x:c r="I137" s="93"/>
      <x:c r="J137" s="92"/>
      <x:c r="K137" s="92"/>
      <x:c r="L137" s="92"/>
      <x:c r="M137" s="92"/>
      <x:c r="N137" s="94" t="str">
        <x:f>IFERROR(VLOOKUP(M137,'04 Assessment Log'!$A$6:$AE$155,15,FALSE),"")</x:f>
      </x:c>
      <x:c r="O137" s="94" t="str">
        <x:f>IF(OR(K137="",N137=""),"",N137-K137)</x:f>
      </x:c>
      <x:c r="P137" s="92"/>
      <x:c r="Q137" s="92"/>
      <x:c r="R137" s="92"/>
      <x:c r="S137" s="92"/>
      <x:c r="T137" s="92"/>
      <x:c r="U137" s="92"/>
      <x:c r="V137" s="92"/>
      <x:c r="W137" s="93"/>
      <x:c r="X137" s="94" t="str">
        <x:f>IF(A137="","",IF(V137&lt;&gt;"Verified","Pending HOD Verification",IF(T137="","Pending Review",IF(T137="Not Applicable","Closed — N/A",IF(M137="","Pending Reassessment",IF(AND(T137="Effective",N137&gt;=L137),"Closed — Effective","Further Action Required"))))))</x:f>
      </x:c>
      <x:c r="Y137" s="92"/>
    </x:row>
    <x:row r="138">
      <x:c r="A138" s="92"/>
      <x:c r="B138" s="92"/>
      <x:c r="C138" s="92"/>
      <x:c r="D138" s="94" t="str">
        <x:f>IFERROR(VLOOKUP(C138,'01 Staff Master'!$A$6:$M$105,2,FALSE),"")</x:f>
      </x:c>
      <x:c r="E138" s="94" t="str">
        <x:f>IFERROR(VLOOKUP(C138,'01 Staff Master'!$A$6:$M$105,3,FALSE),"")</x:f>
      </x:c>
      <x:c r="F138" s="92"/>
      <x:c r="G138" s="94" t="str">
        <x:f>IFERROR(VLOOKUP(F138,'02 Skill Catalogue'!$A$6:$K$95,4,FALSE),"")</x:f>
      </x:c>
      <x:c r="H138" s="92"/>
      <x:c r="I138" s="93"/>
      <x:c r="J138" s="92"/>
      <x:c r="K138" s="92"/>
      <x:c r="L138" s="92"/>
      <x:c r="M138" s="92"/>
      <x:c r="N138" s="94" t="str">
        <x:f>IFERROR(VLOOKUP(M138,'04 Assessment Log'!$A$6:$AE$155,15,FALSE),"")</x:f>
      </x:c>
      <x:c r="O138" s="94" t="str">
        <x:f>IF(OR(K138="",N138=""),"",N138-K138)</x:f>
      </x:c>
      <x:c r="P138" s="92"/>
      <x:c r="Q138" s="92"/>
      <x:c r="R138" s="92"/>
      <x:c r="S138" s="92"/>
      <x:c r="T138" s="92"/>
      <x:c r="U138" s="92"/>
      <x:c r="V138" s="92"/>
      <x:c r="W138" s="93"/>
      <x:c r="X138" s="94" t="str">
        <x:f>IF(A138="","",IF(V138&lt;&gt;"Verified","Pending HOD Verification",IF(T138="","Pending Review",IF(T138="Not Applicable","Closed — N/A",IF(M138="","Pending Reassessment",IF(AND(T138="Effective",N138&gt;=L138),"Closed — Effective","Further Action Required"))))))</x:f>
      </x:c>
      <x:c r="Y138" s="92"/>
    </x:row>
    <x:row r="139">
      <x:c r="A139" s="92"/>
      <x:c r="B139" s="92"/>
      <x:c r="C139" s="92"/>
      <x:c r="D139" s="94" t="str">
        <x:f>IFERROR(VLOOKUP(C139,'01 Staff Master'!$A$6:$M$105,2,FALSE),"")</x:f>
      </x:c>
      <x:c r="E139" s="94" t="str">
        <x:f>IFERROR(VLOOKUP(C139,'01 Staff Master'!$A$6:$M$105,3,FALSE),"")</x:f>
      </x:c>
      <x:c r="F139" s="92"/>
      <x:c r="G139" s="94" t="str">
        <x:f>IFERROR(VLOOKUP(F139,'02 Skill Catalogue'!$A$6:$K$95,4,FALSE),"")</x:f>
      </x:c>
      <x:c r="H139" s="92"/>
      <x:c r="I139" s="93"/>
      <x:c r="J139" s="92"/>
      <x:c r="K139" s="92"/>
      <x:c r="L139" s="92"/>
      <x:c r="M139" s="92"/>
      <x:c r="N139" s="94" t="str">
        <x:f>IFERROR(VLOOKUP(M139,'04 Assessment Log'!$A$6:$AE$155,15,FALSE),"")</x:f>
      </x:c>
      <x:c r="O139" s="94" t="str">
        <x:f>IF(OR(K139="",N139=""),"",N139-K139)</x:f>
      </x:c>
      <x:c r="P139" s="92"/>
      <x:c r="Q139" s="92"/>
      <x:c r="R139" s="92"/>
      <x:c r="S139" s="92"/>
      <x:c r="T139" s="92"/>
      <x:c r="U139" s="92"/>
      <x:c r="V139" s="92"/>
      <x:c r="W139" s="93"/>
      <x:c r="X139" s="94" t="str">
        <x:f>IF(A139="","",IF(V139&lt;&gt;"Verified","Pending HOD Verification",IF(T139="","Pending Review",IF(T139="Not Applicable","Closed — N/A",IF(M139="","Pending Reassessment",IF(AND(T139="Effective",N139&gt;=L139),"Closed — Effective","Further Action Required"))))))</x:f>
      </x:c>
      <x:c r="Y139" s="92"/>
    </x:row>
    <x:row r="140">
      <x:c r="A140" s="92"/>
      <x:c r="B140" s="92"/>
      <x:c r="C140" s="92"/>
      <x:c r="D140" s="94" t="str">
        <x:f>IFERROR(VLOOKUP(C140,'01 Staff Master'!$A$6:$M$105,2,FALSE),"")</x:f>
      </x:c>
      <x:c r="E140" s="94" t="str">
        <x:f>IFERROR(VLOOKUP(C140,'01 Staff Master'!$A$6:$M$105,3,FALSE),"")</x:f>
      </x:c>
      <x:c r="F140" s="92"/>
      <x:c r="G140" s="94" t="str">
        <x:f>IFERROR(VLOOKUP(F140,'02 Skill Catalogue'!$A$6:$K$95,4,FALSE),"")</x:f>
      </x:c>
      <x:c r="H140" s="92"/>
      <x:c r="I140" s="93"/>
      <x:c r="J140" s="92"/>
      <x:c r="K140" s="92"/>
      <x:c r="L140" s="92"/>
      <x:c r="M140" s="92"/>
      <x:c r="N140" s="94" t="str">
        <x:f>IFERROR(VLOOKUP(M140,'04 Assessment Log'!$A$6:$AE$155,15,FALSE),"")</x:f>
      </x:c>
      <x:c r="O140" s="94" t="str">
        <x:f>IF(OR(K140="",N140=""),"",N140-K140)</x:f>
      </x:c>
      <x:c r="P140" s="92"/>
      <x:c r="Q140" s="92"/>
      <x:c r="R140" s="92"/>
      <x:c r="S140" s="92"/>
      <x:c r="T140" s="92"/>
      <x:c r="U140" s="92"/>
      <x:c r="V140" s="92"/>
      <x:c r="W140" s="93"/>
      <x:c r="X140" s="94" t="str">
        <x:f>IF(A140="","",IF(V140&lt;&gt;"Verified","Pending HOD Verification",IF(T140="","Pending Review",IF(T140="Not Applicable","Closed — N/A",IF(M140="","Pending Reassessment",IF(AND(T140="Effective",N140&gt;=L140),"Closed — Effective","Further Action Required"))))))</x:f>
      </x:c>
      <x:c r="Y140" s="92"/>
    </x:row>
    <x:row r="141">
      <x:c r="A141" s="92"/>
      <x:c r="B141" s="92"/>
      <x:c r="C141" s="92"/>
      <x:c r="D141" s="94" t="str">
        <x:f>IFERROR(VLOOKUP(C141,'01 Staff Master'!$A$6:$M$105,2,FALSE),"")</x:f>
      </x:c>
      <x:c r="E141" s="94" t="str">
        <x:f>IFERROR(VLOOKUP(C141,'01 Staff Master'!$A$6:$M$105,3,FALSE),"")</x:f>
      </x:c>
      <x:c r="F141" s="92"/>
      <x:c r="G141" s="94" t="str">
        <x:f>IFERROR(VLOOKUP(F141,'02 Skill Catalogue'!$A$6:$K$95,4,FALSE),"")</x:f>
      </x:c>
      <x:c r="H141" s="92"/>
      <x:c r="I141" s="93"/>
      <x:c r="J141" s="92"/>
      <x:c r="K141" s="92"/>
      <x:c r="L141" s="92"/>
      <x:c r="M141" s="92"/>
      <x:c r="N141" s="94" t="str">
        <x:f>IFERROR(VLOOKUP(M141,'04 Assessment Log'!$A$6:$AE$155,15,FALSE),"")</x:f>
      </x:c>
      <x:c r="O141" s="94" t="str">
        <x:f>IF(OR(K141="",N141=""),"",N141-K141)</x:f>
      </x:c>
      <x:c r="P141" s="92"/>
      <x:c r="Q141" s="92"/>
      <x:c r="R141" s="92"/>
      <x:c r="S141" s="92"/>
      <x:c r="T141" s="92"/>
      <x:c r="U141" s="92"/>
      <x:c r="V141" s="92"/>
      <x:c r="W141" s="93"/>
      <x:c r="X141" s="94" t="str">
        <x:f>IF(A141="","",IF(V141&lt;&gt;"Verified","Pending HOD Verification",IF(T141="","Pending Review",IF(T141="Not Applicable","Closed — N/A",IF(M141="","Pending Reassessment",IF(AND(T141="Effective",N141&gt;=L141),"Closed — Effective","Further Action Required"))))))</x:f>
      </x:c>
      <x:c r="Y141" s="92"/>
    </x:row>
    <x:row r="142">
      <x:c r="A142" s="92"/>
      <x:c r="B142" s="92"/>
      <x:c r="C142" s="92"/>
      <x:c r="D142" s="94" t="str">
        <x:f>IFERROR(VLOOKUP(C142,'01 Staff Master'!$A$6:$M$105,2,FALSE),"")</x:f>
      </x:c>
      <x:c r="E142" s="94" t="str">
        <x:f>IFERROR(VLOOKUP(C142,'01 Staff Master'!$A$6:$M$105,3,FALSE),"")</x:f>
      </x:c>
      <x:c r="F142" s="92"/>
      <x:c r="G142" s="94" t="str">
        <x:f>IFERROR(VLOOKUP(F142,'02 Skill Catalogue'!$A$6:$K$95,4,FALSE),"")</x:f>
      </x:c>
      <x:c r="H142" s="92"/>
      <x:c r="I142" s="93"/>
      <x:c r="J142" s="92"/>
      <x:c r="K142" s="92"/>
      <x:c r="L142" s="92"/>
      <x:c r="M142" s="92"/>
      <x:c r="N142" s="94" t="str">
        <x:f>IFERROR(VLOOKUP(M142,'04 Assessment Log'!$A$6:$AE$155,15,FALSE),"")</x:f>
      </x:c>
      <x:c r="O142" s="94" t="str">
        <x:f>IF(OR(K142="",N142=""),"",N142-K142)</x:f>
      </x:c>
      <x:c r="P142" s="92"/>
      <x:c r="Q142" s="92"/>
      <x:c r="R142" s="92"/>
      <x:c r="S142" s="92"/>
      <x:c r="T142" s="92"/>
      <x:c r="U142" s="92"/>
      <x:c r="V142" s="92"/>
      <x:c r="W142" s="93"/>
      <x:c r="X142" s="94" t="str">
        <x:f>IF(A142="","",IF(V142&lt;&gt;"Verified","Pending HOD Verification",IF(T142="","Pending Review",IF(T142="Not Applicable","Closed — N/A",IF(M142="","Pending Reassessment",IF(AND(T142="Effective",N142&gt;=L142),"Closed — Effective","Further Action Required"))))))</x:f>
      </x:c>
      <x:c r="Y142" s="92"/>
    </x:row>
    <x:row r="143">
      <x:c r="A143" s="92"/>
      <x:c r="B143" s="92"/>
      <x:c r="C143" s="92"/>
      <x:c r="D143" s="94" t="str">
        <x:f>IFERROR(VLOOKUP(C143,'01 Staff Master'!$A$6:$M$105,2,FALSE),"")</x:f>
      </x:c>
      <x:c r="E143" s="94" t="str">
        <x:f>IFERROR(VLOOKUP(C143,'01 Staff Master'!$A$6:$M$105,3,FALSE),"")</x:f>
      </x:c>
      <x:c r="F143" s="92"/>
      <x:c r="G143" s="94" t="str">
        <x:f>IFERROR(VLOOKUP(F143,'02 Skill Catalogue'!$A$6:$K$95,4,FALSE),"")</x:f>
      </x:c>
      <x:c r="H143" s="92"/>
      <x:c r="I143" s="93"/>
      <x:c r="J143" s="92"/>
      <x:c r="K143" s="92"/>
      <x:c r="L143" s="92"/>
      <x:c r="M143" s="92"/>
      <x:c r="N143" s="94" t="str">
        <x:f>IFERROR(VLOOKUP(M143,'04 Assessment Log'!$A$6:$AE$155,15,FALSE),"")</x:f>
      </x:c>
      <x:c r="O143" s="94" t="str">
        <x:f>IF(OR(K143="",N143=""),"",N143-K143)</x:f>
      </x:c>
      <x:c r="P143" s="92"/>
      <x:c r="Q143" s="92"/>
      <x:c r="R143" s="92"/>
      <x:c r="S143" s="92"/>
      <x:c r="T143" s="92"/>
      <x:c r="U143" s="92"/>
      <x:c r="V143" s="92"/>
      <x:c r="W143" s="93"/>
      <x:c r="X143" s="94" t="str">
        <x:f>IF(A143="","",IF(V143&lt;&gt;"Verified","Pending HOD Verification",IF(T143="","Pending Review",IF(T143="Not Applicable","Closed — N/A",IF(M143="","Pending Reassessment",IF(AND(T143="Effective",N143&gt;=L143),"Closed — Effective","Further Action Required"))))))</x:f>
      </x:c>
      <x:c r="Y143" s="92"/>
    </x:row>
    <x:row r="144">
      <x:c r="A144" s="92"/>
      <x:c r="B144" s="92"/>
      <x:c r="C144" s="92"/>
      <x:c r="D144" s="94" t="str">
        <x:f>IFERROR(VLOOKUP(C144,'01 Staff Master'!$A$6:$M$105,2,FALSE),"")</x:f>
      </x:c>
      <x:c r="E144" s="94" t="str">
        <x:f>IFERROR(VLOOKUP(C144,'01 Staff Master'!$A$6:$M$105,3,FALSE),"")</x:f>
      </x:c>
      <x:c r="F144" s="92"/>
      <x:c r="G144" s="94" t="str">
        <x:f>IFERROR(VLOOKUP(F144,'02 Skill Catalogue'!$A$6:$K$95,4,FALSE),"")</x:f>
      </x:c>
      <x:c r="H144" s="92"/>
      <x:c r="I144" s="93"/>
      <x:c r="J144" s="92"/>
      <x:c r="K144" s="92"/>
      <x:c r="L144" s="92"/>
      <x:c r="M144" s="92"/>
      <x:c r="N144" s="94" t="str">
        <x:f>IFERROR(VLOOKUP(M144,'04 Assessment Log'!$A$6:$AE$155,15,FALSE),"")</x:f>
      </x:c>
      <x:c r="O144" s="94" t="str">
        <x:f>IF(OR(K144="",N144=""),"",N144-K144)</x:f>
      </x:c>
      <x:c r="P144" s="92"/>
      <x:c r="Q144" s="92"/>
      <x:c r="R144" s="92"/>
      <x:c r="S144" s="92"/>
      <x:c r="T144" s="92"/>
      <x:c r="U144" s="92"/>
      <x:c r="V144" s="92"/>
      <x:c r="W144" s="93"/>
      <x:c r="X144" s="94" t="str">
        <x:f>IF(A144="","",IF(V144&lt;&gt;"Verified","Pending HOD Verification",IF(T144="","Pending Review",IF(T144="Not Applicable","Closed — N/A",IF(M144="","Pending Reassessment",IF(AND(T144="Effective",N144&gt;=L144),"Closed — Effective","Further Action Required"))))))</x:f>
      </x:c>
      <x:c r="Y144" s="92"/>
    </x:row>
    <x:row r="145">
      <x:c r="A145" s="92"/>
      <x:c r="B145" s="92"/>
      <x:c r="C145" s="92"/>
      <x:c r="D145" s="94" t="str">
        <x:f>IFERROR(VLOOKUP(C145,'01 Staff Master'!$A$6:$M$105,2,FALSE),"")</x:f>
      </x:c>
      <x:c r="E145" s="94" t="str">
        <x:f>IFERROR(VLOOKUP(C145,'01 Staff Master'!$A$6:$M$105,3,FALSE),"")</x:f>
      </x:c>
      <x:c r="F145" s="92"/>
      <x:c r="G145" s="94" t="str">
        <x:f>IFERROR(VLOOKUP(F145,'02 Skill Catalogue'!$A$6:$K$95,4,FALSE),"")</x:f>
      </x:c>
      <x:c r="H145" s="92"/>
      <x:c r="I145" s="93"/>
      <x:c r="J145" s="92"/>
      <x:c r="K145" s="92"/>
      <x:c r="L145" s="92"/>
      <x:c r="M145" s="92"/>
      <x:c r="N145" s="94" t="str">
        <x:f>IFERROR(VLOOKUP(M145,'04 Assessment Log'!$A$6:$AE$155,15,FALSE),"")</x:f>
      </x:c>
      <x:c r="O145" s="94" t="str">
        <x:f>IF(OR(K145="",N145=""),"",N145-K145)</x:f>
      </x:c>
      <x:c r="P145" s="92"/>
      <x:c r="Q145" s="92"/>
      <x:c r="R145" s="92"/>
      <x:c r="S145" s="92"/>
      <x:c r="T145" s="92"/>
      <x:c r="U145" s="92"/>
      <x:c r="V145" s="92"/>
      <x:c r="W145" s="93"/>
      <x:c r="X145" s="94" t="str">
        <x:f>IF(A145="","",IF(V145&lt;&gt;"Verified","Pending HOD Verification",IF(T145="","Pending Review",IF(T145="Not Applicable","Closed — N/A",IF(M145="","Pending Reassessment",IF(AND(T145="Effective",N145&gt;=L145),"Closed — Effective","Further Action Required"))))))</x:f>
      </x:c>
      <x:c r="Y145" s="92"/>
    </x:row>
    <x:row r="146">
      <x:c r="A146" s="92"/>
      <x:c r="B146" s="92"/>
      <x:c r="C146" s="92"/>
      <x:c r="D146" s="94" t="str">
        <x:f>IFERROR(VLOOKUP(C146,'01 Staff Master'!$A$6:$M$105,2,FALSE),"")</x:f>
      </x:c>
      <x:c r="E146" s="94" t="str">
        <x:f>IFERROR(VLOOKUP(C146,'01 Staff Master'!$A$6:$M$105,3,FALSE),"")</x:f>
      </x:c>
      <x:c r="F146" s="92"/>
      <x:c r="G146" s="94" t="str">
        <x:f>IFERROR(VLOOKUP(F146,'02 Skill Catalogue'!$A$6:$K$95,4,FALSE),"")</x:f>
      </x:c>
      <x:c r="H146" s="92"/>
      <x:c r="I146" s="93"/>
      <x:c r="J146" s="92"/>
      <x:c r="K146" s="92"/>
      <x:c r="L146" s="92"/>
      <x:c r="M146" s="92"/>
      <x:c r="N146" s="94" t="str">
        <x:f>IFERROR(VLOOKUP(M146,'04 Assessment Log'!$A$6:$AE$155,15,FALSE),"")</x:f>
      </x:c>
      <x:c r="O146" s="94" t="str">
        <x:f>IF(OR(K146="",N146=""),"",N146-K146)</x:f>
      </x:c>
      <x:c r="P146" s="92"/>
      <x:c r="Q146" s="92"/>
      <x:c r="R146" s="92"/>
      <x:c r="S146" s="92"/>
      <x:c r="T146" s="92"/>
      <x:c r="U146" s="92"/>
      <x:c r="V146" s="92"/>
      <x:c r="W146" s="93"/>
      <x:c r="X146" s="94" t="str">
        <x:f>IF(A146="","",IF(V146&lt;&gt;"Verified","Pending HOD Verification",IF(T146="","Pending Review",IF(T146="Not Applicable","Closed — N/A",IF(M146="","Pending Reassessment",IF(AND(T146="Effective",N146&gt;=L146),"Closed — Effective","Further Action Required"))))))</x:f>
      </x:c>
      <x:c r="Y146" s="92"/>
    </x:row>
    <x:row r="147">
      <x:c r="A147" s="92"/>
      <x:c r="B147" s="92"/>
      <x:c r="C147" s="92"/>
      <x:c r="D147" s="94" t="str">
        <x:f>IFERROR(VLOOKUP(C147,'01 Staff Master'!$A$6:$M$105,2,FALSE),"")</x:f>
      </x:c>
      <x:c r="E147" s="94" t="str">
        <x:f>IFERROR(VLOOKUP(C147,'01 Staff Master'!$A$6:$M$105,3,FALSE),"")</x:f>
      </x:c>
      <x:c r="F147" s="92"/>
      <x:c r="G147" s="94" t="str">
        <x:f>IFERROR(VLOOKUP(F147,'02 Skill Catalogue'!$A$6:$K$95,4,FALSE),"")</x:f>
      </x:c>
      <x:c r="H147" s="92"/>
      <x:c r="I147" s="93"/>
      <x:c r="J147" s="92"/>
      <x:c r="K147" s="92"/>
      <x:c r="L147" s="92"/>
      <x:c r="M147" s="92"/>
      <x:c r="N147" s="94" t="str">
        <x:f>IFERROR(VLOOKUP(M147,'04 Assessment Log'!$A$6:$AE$155,15,FALSE),"")</x:f>
      </x:c>
      <x:c r="O147" s="94" t="str">
        <x:f>IF(OR(K147="",N147=""),"",N147-K147)</x:f>
      </x:c>
      <x:c r="P147" s="92"/>
      <x:c r="Q147" s="92"/>
      <x:c r="R147" s="92"/>
      <x:c r="S147" s="92"/>
      <x:c r="T147" s="92"/>
      <x:c r="U147" s="92"/>
      <x:c r="V147" s="92"/>
      <x:c r="W147" s="93"/>
      <x:c r="X147" s="94" t="str">
        <x:f>IF(A147="","",IF(V147&lt;&gt;"Verified","Pending HOD Verification",IF(T147="","Pending Review",IF(T147="Not Applicable","Closed — N/A",IF(M147="","Pending Reassessment",IF(AND(T147="Effective",N147&gt;=L147),"Closed — Effective","Further Action Required"))))))</x:f>
      </x:c>
      <x:c r="Y147" s="92"/>
    </x:row>
    <x:row r="148">
      <x:c r="A148" s="92"/>
      <x:c r="B148" s="92"/>
      <x:c r="C148" s="92"/>
      <x:c r="D148" s="94" t="str">
        <x:f>IFERROR(VLOOKUP(C148,'01 Staff Master'!$A$6:$M$105,2,FALSE),"")</x:f>
      </x:c>
      <x:c r="E148" s="94" t="str">
        <x:f>IFERROR(VLOOKUP(C148,'01 Staff Master'!$A$6:$M$105,3,FALSE),"")</x:f>
      </x:c>
      <x:c r="F148" s="92"/>
      <x:c r="G148" s="94" t="str">
        <x:f>IFERROR(VLOOKUP(F148,'02 Skill Catalogue'!$A$6:$K$95,4,FALSE),"")</x:f>
      </x:c>
      <x:c r="H148" s="92"/>
      <x:c r="I148" s="93"/>
      <x:c r="J148" s="92"/>
      <x:c r="K148" s="92"/>
      <x:c r="L148" s="92"/>
      <x:c r="M148" s="92"/>
      <x:c r="N148" s="94" t="str">
        <x:f>IFERROR(VLOOKUP(M148,'04 Assessment Log'!$A$6:$AE$155,15,FALSE),"")</x:f>
      </x:c>
      <x:c r="O148" s="94" t="str">
        <x:f>IF(OR(K148="",N148=""),"",N148-K148)</x:f>
      </x:c>
      <x:c r="P148" s="92"/>
      <x:c r="Q148" s="92"/>
      <x:c r="R148" s="92"/>
      <x:c r="S148" s="92"/>
      <x:c r="T148" s="92"/>
      <x:c r="U148" s="92"/>
      <x:c r="V148" s="92"/>
      <x:c r="W148" s="93"/>
      <x:c r="X148" s="94" t="str">
        <x:f>IF(A148="","",IF(V148&lt;&gt;"Verified","Pending HOD Verification",IF(T148="","Pending Review",IF(T148="Not Applicable","Closed — N/A",IF(M148="","Pending Reassessment",IF(AND(T148="Effective",N148&gt;=L148),"Closed — Effective","Further Action Required"))))))</x:f>
      </x:c>
      <x:c r="Y148" s="92"/>
    </x:row>
    <x:row r="149">
      <x:c r="A149" s="92"/>
      <x:c r="B149" s="92"/>
      <x:c r="C149" s="92"/>
      <x:c r="D149" s="94" t="str">
        <x:f>IFERROR(VLOOKUP(C149,'01 Staff Master'!$A$6:$M$105,2,FALSE),"")</x:f>
      </x:c>
      <x:c r="E149" s="94" t="str">
        <x:f>IFERROR(VLOOKUP(C149,'01 Staff Master'!$A$6:$M$105,3,FALSE),"")</x:f>
      </x:c>
      <x:c r="F149" s="92"/>
      <x:c r="G149" s="94" t="str">
        <x:f>IFERROR(VLOOKUP(F149,'02 Skill Catalogue'!$A$6:$K$95,4,FALSE),"")</x:f>
      </x:c>
      <x:c r="H149" s="92"/>
      <x:c r="I149" s="93"/>
      <x:c r="J149" s="92"/>
      <x:c r="K149" s="92"/>
      <x:c r="L149" s="92"/>
      <x:c r="M149" s="92"/>
      <x:c r="N149" s="94" t="str">
        <x:f>IFERROR(VLOOKUP(M149,'04 Assessment Log'!$A$6:$AE$155,15,FALSE),"")</x:f>
      </x:c>
      <x:c r="O149" s="94" t="str">
        <x:f>IF(OR(K149="",N149=""),"",N149-K149)</x:f>
      </x:c>
      <x:c r="P149" s="92"/>
      <x:c r="Q149" s="92"/>
      <x:c r="R149" s="92"/>
      <x:c r="S149" s="92"/>
      <x:c r="T149" s="92"/>
      <x:c r="U149" s="92"/>
      <x:c r="V149" s="92"/>
      <x:c r="W149" s="93"/>
      <x:c r="X149" s="94" t="str">
        <x:f>IF(A149="","",IF(V149&lt;&gt;"Verified","Pending HOD Verification",IF(T149="","Pending Review",IF(T149="Not Applicable","Closed — N/A",IF(M149="","Pending Reassessment",IF(AND(T149="Effective",N149&gt;=L149),"Closed — Effective","Further Action Required"))))))</x:f>
      </x:c>
      <x:c r="Y149" s="92"/>
    </x:row>
    <x:row r="150">
      <x:c r="A150" s="92"/>
      <x:c r="B150" s="92"/>
      <x:c r="C150" s="92"/>
      <x:c r="D150" s="94" t="str">
        <x:f>IFERROR(VLOOKUP(C150,'01 Staff Master'!$A$6:$M$105,2,FALSE),"")</x:f>
      </x:c>
      <x:c r="E150" s="94" t="str">
        <x:f>IFERROR(VLOOKUP(C150,'01 Staff Master'!$A$6:$M$105,3,FALSE),"")</x:f>
      </x:c>
      <x:c r="F150" s="92"/>
      <x:c r="G150" s="94" t="str">
        <x:f>IFERROR(VLOOKUP(F150,'02 Skill Catalogue'!$A$6:$K$95,4,FALSE),"")</x:f>
      </x:c>
      <x:c r="H150" s="92"/>
      <x:c r="I150" s="93"/>
      <x:c r="J150" s="92"/>
      <x:c r="K150" s="92"/>
      <x:c r="L150" s="92"/>
      <x:c r="M150" s="92"/>
      <x:c r="N150" s="94" t="str">
        <x:f>IFERROR(VLOOKUP(M150,'04 Assessment Log'!$A$6:$AE$155,15,FALSE),"")</x:f>
      </x:c>
      <x:c r="O150" s="94" t="str">
        <x:f>IF(OR(K150="",N150=""),"",N150-K150)</x:f>
      </x:c>
      <x:c r="P150" s="92"/>
      <x:c r="Q150" s="92"/>
      <x:c r="R150" s="92"/>
      <x:c r="S150" s="92"/>
      <x:c r="T150" s="92"/>
      <x:c r="U150" s="92"/>
      <x:c r="V150" s="92"/>
      <x:c r="W150" s="93"/>
      <x:c r="X150" s="94" t="str">
        <x:f>IF(A150="","",IF(V150&lt;&gt;"Verified","Pending HOD Verification",IF(T150="","Pending Review",IF(T150="Not Applicable","Closed — N/A",IF(M150="","Pending Reassessment",IF(AND(T150="Effective",N150&gt;=L150),"Closed — Effective","Further Action Required"))))))</x:f>
      </x:c>
      <x:c r="Y150" s="92"/>
    </x:row>
    <x:row r="151">
      <x:c r="A151" s="92"/>
      <x:c r="B151" s="92"/>
      <x:c r="C151" s="92"/>
      <x:c r="D151" s="94" t="str">
        <x:f>IFERROR(VLOOKUP(C151,'01 Staff Master'!$A$6:$M$105,2,FALSE),"")</x:f>
      </x:c>
      <x:c r="E151" s="94" t="str">
        <x:f>IFERROR(VLOOKUP(C151,'01 Staff Master'!$A$6:$M$105,3,FALSE),"")</x:f>
      </x:c>
      <x:c r="F151" s="92"/>
      <x:c r="G151" s="94" t="str">
        <x:f>IFERROR(VLOOKUP(F151,'02 Skill Catalogue'!$A$6:$K$95,4,FALSE),"")</x:f>
      </x:c>
      <x:c r="H151" s="92"/>
      <x:c r="I151" s="93"/>
      <x:c r="J151" s="92"/>
      <x:c r="K151" s="92"/>
      <x:c r="L151" s="92"/>
      <x:c r="M151" s="92"/>
      <x:c r="N151" s="94" t="str">
        <x:f>IFERROR(VLOOKUP(M151,'04 Assessment Log'!$A$6:$AE$155,15,FALSE),"")</x:f>
      </x:c>
      <x:c r="O151" s="94" t="str">
        <x:f>IF(OR(K151="",N151=""),"",N151-K151)</x:f>
      </x:c>
      <x:c r="P151" s="92"/>
      <x:c r="Q151" s="92"/>
      <x:c r="R151" s="92"/>
      <x:c r="S151" s="92"/>
      <x:c r="T151" s="92"/>
      <x:c r="U151" s="92"/>
      <x:c r="V151" s="92"/>
      <x:c r="W151" s="93"/>
      <x:c r="X151" s="94" t="str">
        <x:f>IF(A151="","",IF(V151&lt;&gt;"Verified","Pending HOD Verification",IF(T151="","Pending Review",IF(T151="Not Applicable","Closed — N/A",IF(M151="","Pending Reassessment",IF(AND(T151="Effective",N151&gt;=L151),"Closed — Effective","Further Action Required"))))))</x:f>
      </x:c>
      <x:c r="Y151" s="92"/>
    </x:row>
    <x:row r="152">
      <x:c r="A152" s="92"/>
      <x:c r="B152" s="92"/>
      <x:c r="C152" s="92"/>
      <x:c r="D152" s="94" t="str">
        <x:f>IFERROR(VLOOKUP(C152,'01 Staff Master'!$A$6:$M$105,2,FALSE),"")</x:f>
      </x:c>
      <x:c r="E152" s="94" t="str">
        <x:f>IFERROR(VLOOKUP(C152,'01 Staff Master'!$A$6:$M$105,3,FALSE),"")</x:f>
      </x:c>
      <x:c r="F152" s="92"/>
      <x:c r="G152" s="94" t="str">
        <x:f>IFERROR(VLOOKUP(F152,'02 Skill Catalogue'!$A$6:$K$95,4,FALSE),"")</x:f>
      </x:c>
      <x:c r="H152" s="92"/>
      <x:c r="I152" s="93"/>
      <x:c r="J152" s="92"/>
      <x:c r="K152" s="92"/>
      <x:c r="L152" s="92"/>
      <x:c r="M152" s="92"/>
      <x:c r="N152" s="94" t="str">
        <x:f>IFERROR(VLOOKUP(M152,'04 Assessment Log'!$A$6:$AE$155,15,FALSE),"")</x:f>
      </x:c>
      <x:c r="O152" s="94" t="str">
        <x:f>IF(OR(K152="",N152=""),"",N152-K152)</x:f>
      </x:c>
      <x:c r="P152" s="92"/>
      <x:c r="Q152" s="92"/>
      <x:c r="R152" s="92"/>
      <x:c r="S152" s="92"/>
      <x:c r="T152" s="92"/>
      <x:c r="U152" s="92"/>
      <x:c r="V152" s="92"/>
      <x:c r="W152" s="93"/>
      <x:c r="X152" s="94" t="str">
        <x:f>IF(A152="","",IF(V152&lt;&gt;"Verified","Pending HOD Verification",IF(T152="","Pending Review",IF(T152="Not Applicable","Closed — N/A",IF(M152="","Pending Reassessment",IF(AND(T152="Effective",N152&gt;=L152),"Closed — Effective","Further Action Required"))))))</x:f>
      </x:c>
      <x:c r="Y152" s="92"/>
    </x:row>
    <x:row r="153">
      <x:c r="A153" s="92"/>
      <x:c r="B153" s="92"/>
      <x:c r="C153" s="92"/>
      <x:c r="D153" s="94" t="str">
        <x:f>IFERROR(VLOOKUP(C153,'01 Staff Master'!$A$6:$M$105,2,FALSE),"")</x:f>
      </x:c>
      <x:c r="E153" s="94" t="str">
        <x:f>IFERROR(VLOOKUP(C153,'01 Staff Master'!$A$6:$M$105,3,FALSE),"")</x:f>
      </x:c>
      <x:c r="F153" s="92"/>
      <x:c r="G153" s="94" t="str">
        <x:f>IFERROR(VLOOKUP(F153,'02 Skill Catalogue'!$A$6:$K$95,4,FALSE),"")</x:f>
      </x:c>
      <x:c r="H153" s="92"/>
      <x:c r="I153" s="93"/>
      <x:c r="J153" s="92"/>
      <x:c r="K153" s="92"/>
      <x:c r="L153" s="92"/>
      <x:c r="M153" s="92"/>
      <x:c r="N153" s="94" t="str">
        <x:f>IFERROR(VLOOKUP(M153,'04 Assessment Log'!$A$6:$AE$155,15,FALSE),"")</x:f>
      </x:c>
      <x:c r="O153" s="94" t="str">
        <x:f>IF(OR(K153="",N153=""),"",N153-K153)</x:f>
      </x:c>
      <x:c r="P153" s="92"/>
      <x:c r="Q153" s="92"/>
      <x:c r="R153" s="92"/>
      <x:c r="S153" s="92"/>
      <x:c r="T153" s="92"/>
      <x:c r="U153" s="92"/>
      <x:c r="V153" s="92"/>
      <x:c r="W153" s="93"/>
      <x:c r="X153" s="94" t="str">
        <x:f>IF(A153="","",IF(V153&lt;&gt;"Verified","Pending HOD Verification",IF(T153="","Pending Review",IF(T153="Not Applicable","Closed — N/A",IF(M153="","Pending Reassessment",IF(AND(T153="Effective",N153&gt;=L153),"Closed — Effective","Further Action Required"))))))</x:f>
      </x:c>
      <x:c r="Y153" s="92"/>
    </x:row>
    <x:row r="154">
      <x:c r="A154" s="92"/>
      <x:c r="B154" s="92"/>
      <x:c r="C154" s="92"/>
      <x:c r="D154" s="94" t="str">
        <x:f>IFERROR(VLOOKUP(C154,'01 Staff Master'!$A$6:$M$105,2,FALSE),"")</x:f>
      </x:c>
      <x:c r="E154" s="94" t="str">
        <x:f>IFERROR(VLOOKUP(C154,'01 Staff Master'!$A$6:$M$105,3,FALSE),"")</x:f>
      </x:c>
      <x:c r="F154" s="92"/>
      <x:c r="G154" s="94" t="str">
        <x:f>IFERROR(VLOOKUP(F154,'02 Skill Catalogue'!$A$6:$K$95,4,FALSE),"")</x:f>
      </x:c>
      <x:c r="H154" s="92"/>
      <x:c r="I154" s="93"/>
      <x:c r="J154" s="92"/>
      <x:c r="K154" s="92"/>
      <x:c r="L154" s="92"/>
      <x:c r="M154" s="92"/>
      <x:c r="N154" s="94" t="str">
        <x:f>IFERROR(VLOOKUP(M154,'04 Assessment Log'!$A$6:$AE$155,15,FALSE),"")</x:f>
      </x:c>
      <x:c r="O154" s="94" t="str">
        <x:f>IF(OR(K154="",N154=""),"",N154-K154)</x:f>
      </x:c>
      <x:c r="P154" s="92"/>
      <x:c r="Q154" s="92"/>
      <x:c r="R154" s="92"/>
      <x:c r="S154" s="92"/>
      <x:c r="T154" s="92"/>
      <x:c r="U154" s="92"/>
      <x:c r="V154" s="92"/>
      <x:c r="W154" s="93"/>
      <x:c r="X154" s="94" t="str">
        <x:f>IF(A154="","",IF(V154&lt;&gt;"Verified","Pending HOD Verification",IF(T154="","Pending Review",IF(T154="Not Applicable","Closed — N/A",IF(M154="","Pending Reassessment",IF(AND(T154="Effective",N154&gt;=L154),"Closed — Effective","Further Action Required"))))))</x:f>
      </x:c>
      <x:c r="Y154" s="92"/>
    </x:row>
    <x:row r="155">
      <x:c r="A155" s="92"/>
      <x:c r="B155" s="92"/>
      <x:c r="C155" s="92"/>
      <x:c r="D155" s="94" t="str">
        <x:f>IFERROR(VLOOKUP(C155,'01 Staff Master'!$A$6:$M$105,2,FALSE),"")</x:f>
      </x:c>
      <x:c r="E155" s="94" t="str">
        <x:f>IFERROR(VLOOKUP(C155,'01 Staff Master'!$A$6:$M$105,3,FALSE),"")</x:f>
      </x:c>
      <x:c r="F155" s="92"/>
      <x:c r="G155" s="94" t="str">
        <x:f>IFERROR(VLOOKUP(F155,'02 Skill Catalogue'!$A$6:$K$95,4,FALSE),"")</x:f>
      </x:c>
      <x:c r="H155" s="92"/>
      <x:c r="I155" s="93"/>
      <x:c r="J155" s="92"/>
      <x:c r="K155" s="92"/>
      <x:c r="L155" s="92"/>
      <x:c r="M155" s="92"/>
      <x:c r="N155" s="94" t="str">
        <x:f>IFERROR(VLOOKUP(M155,'04 Assessment Log'!$A$6:$AE$155,15,FALSE),"")</x:f>
      </x:c>
      <x:c r="O155" s="94" t="str">
        <x:f>IF(OR(K155="",N155=""),"",N155-K155)</x:f>
      </x:c>
      <x:c r="P155" s="92"/>
      <x:c r="Q155" s="92"/>
      <x:c r="R155" s="92"/>
      <x:c r="S155" s="92"/>
      <x:c r="T155" s="92"/>
      <x:c r="U155" s="92"/>
      <x:c r="V155" s="92"/>
      <x:c r="W155" s="93"/>
      <x:c r="X155" s="94" t="str">
        <x:f>IF(A155="","",IF(V155&lt;&gt;"Verified","Pending HOD Verification",IF(T155="","Pending Review",IF(T155="Not Applicable","Closed — N/A",IF(M155="","Pending Reassessment",IF(AND(T155="Effective",N155&gt;=L155),"Closed — Effective","Further Action Required"))))))</x:f>
      </x:c>
      <x:c r="Y155" s="92"/>
    </x:row>
  </x:sheetData>
  <x:mergeCells>
    <x:mergeCell ref="A1:Y1"/>
    <x:mergeCell ref="A2:Y2"/>
    <x:mergeCell ref="A4:Y4"/>
  </x:mergeCells>
  <x:conditionalFormatting sqref="O6:O155">
    <x:cfRule type="cellIs" dxfId="22" priority="1" operator="greaterThan">
      <x:formula>0</x:formula>
    </x:cfRule>
  </x:conditionalFormatting>
  <x:conditionalFormatting sqref="X6:X155">
    <x:cfRule type="cellIs" dxfId="23" priority="2">
      <x:formula>"Further Action Required"</x:formula>
    </x:cfRule>
  </x:conditionalFormatting>
  <x:dataValidations count="5">
    <x:dataValidation type="list" sqref="H6:H155">
      <x:formula1>"30-Day,60-Day,90-Day,Final"</x:formula1>
    </x:dataValidation>
    <x:dataValidation type="list" sqref="T6:T155">
      <x:formula1>"Effective,Partially Effective,Not Yet Effective,Not Applicable"</x:formula1>
    </x:dataValidation>
    <x:dataValidation type="list" sqref="V6:V155">
      <x:formula1>"Pending,Verified,Rejected / Rework"</x:formula1>
    </x:dataValidation>
    <x:dataValidation operator="between" sqref="K6:L155">
      <x:formula1>0</x:formula1>
      <x:formula2>5</x:formula2>
    </x:dataValidation>
    <x:dataValidation operator="between" sqref="P6:R155">
      <x:formula1>1</x:formula1>
      <x:formula2>5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590c7aed4234577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4" hidden="0" customWidth="1"/>
    <x:col min="3" max="3" width="20" hidden="0" customWidth="1"/>
    <x:col min="4" max="4" width="16" hidden="0" customWidth="1"/>
    <x:col min="5" max="5" width="25" hidden="0" customWidth="1"/>
    <x:col min="6" max="6" width="20" hidden="0" customWidth="1"/>
    <x:col min="7" max="7" width="17" hidden="0" customWidth="1"/>
    <x:col min="8" max="8" width="30" hidden="0" customWidth="1"/>
    <x:col min="9" max="9" width="14" hidden="0" customWidth="1"/>
    <x:col min="10" max="10" width="13" hidden="0" customWidth="1"/>
    <x:col min="11" max="11" width="13" hidden="0" customWidth="1"/>
    <x:col min="12" max="12" width="10" hidden="0" customWidth="1"/>
    <x:col min="13" max="13" width="16" hidden="0" customWidth="1"/>
    <x:col min="14" max="14" width="16" hidden="0" customWidth="1"/>
    <x:col min="15" max="15" width="17" hidden="0" customWidth="1"/>
    <x:col min="16" max="16" width="18" hidden="0" customWidth="1"/>
    <x:col min="17" max="17" width="14" hidden="0" customWidth="1"/>
    <x:col min="18" max="18" width="16" hidden="0" customWidth="1"/>
    <x:col min="19" max="19" width="16" hidden="0" customWidth="1"/>
    <x:col min="20" max="20" width="18" hidden="0" customWidth="1"/>
    <x:col min="21" max="21" width="22" hidden="0" customWidth="1"/>
    <x:col min="22" max="22" width="28" hidden="0" customWidth="1"/>
    <x:col min="23" max="23" width="2" hidden="0" customWidth="1"/>
    <x:col min="24" max="24" width="2" hidden="0" customWidth="1"/>
    <x:col min="25" max="25" width="2" hidden="0" customWidth="1"/>
    <x:col min="26" max="26" width="2" hidden="0" customWidth="1"/>
    <x:col min="27" max="27" width="2" hidden="0" customWidth="1"/>
    <x:col min="28" max="28" width="2" hidden="0" customWidth="1"/>
    <x:col min="29" max="29" width="2" hidden="0" customWidth="1"/>
    <x:col min="30" max="30" width="2" hidden="0" customWidth="1"/>
    <x:col min="31" max="31" width="2" hidden="0" customWidth="1"/>
    <x:col min="32" max="32" width="2" hidden="0" customWidth="1"/>
    <x:col min="33" max="33" width="2" hidden="0" customWidth="1"/>
    <x:col min="34" max="34" width="2" hidden="0" customWidth="1"/>
    <x:col min="35" max="35" width="2" hidden="0" customWidth="1"/>
    <x:col min="36" max="36" width="2" hidden="0" customWidth="1"/>
    <x:col min="37" max="37" width="2" hidden="0" customWidth="1"/>
  </x:cols>
  <x:sheetData>
    <x:row r="1" ht="30" customHeight="1">
      <x:c r="A1" s="70" t="str">
        <x:v>SBTG Employee Skill Register — One Row per Staff × Required Skill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0"/>
      <x:c r="L1" s="70"/>
      <x:c r="M1" s="70"/>
      <x:c r="N1" s="70"/>
      <x:c r="O1" s="70"/>
      <x:c r="P1" s="70"/>
      <x:c r="Q1" s="70"/>
      <x:c r="R1" s="70"/>
      <x:c r="S1" s="70"/>
      <x:c r="T1" s="70"/>
      <x:c r="U1" s="70"/>
      <x:c r="V1" s="70"/>
    </x:row>
    <x:row r="2" ht="36" customHeight="1">
      <x:c r="A2" s="74" t="str">
        <x:v>This is the individual skill matrix source of truth. HR/HOD creates one row for every required staff-skill combination; current scores, gaps, training and assessment status update from the system logs.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  <x:c r="O2" s="74"/>
      <x:c r="P2" s="74"/>
      <x:c r="Q2" s="74"/>
      <x:c r="R2" s="74"/>
      <x:c r="S2" s="74"/>
      <x:c r="T2" s="74"/>
      <x:c r="U2" s="74"/>
      <x:c r="V2" s="74"/>
    </x:row>
    <x:row r="4" ht="24" customHeight="1">
      <x:c r="A4" s="77" t="str">
        <x:v>INDIVIDUAL SKILL RECORD → CURRENT SCORE → GAP → TRAINING / ACTION → COMPETENCY STATUS</x:v>
      </x:c>
      <x:c r="B4" s="77"/>
      <x:c r="C4" s="77"/>
      <x:c r="D4" s="77"/>
      <x:c r="E4" s="77"/>
      <x:c r="F4" s="77"/>
      <x:c r="G4" s="77"/>
      <x:c r="H4" s="77"/>
      <x:c r="I4" s="77"/>
      <x:c r="J4" s="77"/>
      <x:c r="K4" s="77"/>
      <x:c r="L4" s="77"/>
      <x:c r="M4" s="77"/>
      <x:c r="N4" s="77"/>
      <x:c r="O4" s="77"/>
      <x:c r="P4" s="77"/>
      <x:c r="Q4" s="77"/>
      <x:c r="R4" s="77"/>
      <x:c r="S4" s="77"/>
      <x:c r="T4" s="77"/>
      <x:c r="U4" s="77"/>
      <x:c r="V4" s="77"/>
    </x:row>
    <x:row r="5" ht="38" customHeight="1">
      <x:c r="A5" s="83" t="str">
        <x:v>Record Key</x:v>
      </x:c>
      <x:c r="B5" s="83" t="str">
        <x:v>Staff ID</x:v>
      </x:c>
      <x:c r="C5" s="83" t="str">
        <x:v>Staff Name</x:v>
      </x:c>
      <x:c r="D5" s="83" t="str">
        <x:v>Department</x:v>
      </x:c>
      <x:c r="E5" s="83" t="str">
        <x:v>Position</x:v>
      </x:c>
      <x:c r="F5" s="83" t="str">
        <x:v>Tier</x:v>
      </x:c>
      <x:c r="G5" s="83" t="str">
        <x:v>Skill ID</x:v>
      </x:c>
      <x:c r="H5" s="83" t="str">
        <x:v>Skill Name</x:v>
      </x:c>
      <x:c r="I5" s="83" t="str">
        <x:v>Criticality</x:v>
      </x:c>
      <x:c r="J5" s="83" t="str">
        <x:v>Required Level</x:v>
      </x:c>
      <x:c r="K5" s="83" t="str">
        <x:v>Current Level</x:v>
      </x:c>
      <x:c r="L5" s="83" t="str">
        <x:v>Gap</x:v>
      </x:c>
      <x:c r="M5" s="83" t="str">
        <x:v>Latest Assessment Date</x:v>
      </x:c>
      <x:c r="N5" s="83" t="str">
        <x:v>Next Assessment Due</x:v>
      </x:c>
      <x:c r="O5" s="83" t="str">
        <x:v>Assessment Status</x:v>
      </x:c>
      <x:c r="P5" s="83" t="str">
        <x:v>Open Development Actions</x:v>
      </x:c>
      <x:c r="Q5" s="83" t="str">
        <x:v>Training Events</x:v>
      </x:c>
      <x:c r="R5" s="83" t="str">
        <x:v>Last Training Date</x:v>
      </x:c>
      <x:c r="S5" s="83" t="str">
        <x:v>Effective Reviews</x:v>
      </x:c>
      <x:c r="T5" s="83" t="str">
        <x:v>Competency Status</x:v>
      </x:c>
      <x:c r="U5" s="83" t="str">
        <x:v>HOD / Requirement Owner</x:v>
      </x:c>
      <x:c r="V5" s="83" t="str">
        <x:v>Notes</x:v>
      </x:c>
      <x:c r="W5" s="83" t="str">
        <x:v>Staff Sequence Key</x:v>
      </x:c>
      <x:c r="X5" s="83" t="str">
        <x:v>Passport Skill ID</x:v>
      </x:c>
      <x:c r="Y5" s="83" t="str">
        <x:v>Passport Skill Name</x:v>
      </x:c>
      <x:c r="Z5" s="83" t="str">
        <x:v>Passport Criticality</x:v>
      </x:c>
      <x:c r="AA5" s="83" t="str">
        <x:v>Passport Required</x:v>
      </x:c>
      <x:c r="AB5" s="83" t="str">
        <x:v>Passport Current</x:v>
      </x:c>
      <x:c r="AC5" s="83" t="str">
        <x:v>Passport Gap</x:v>
      </x:c>
      <x:c r="AD5" s="83" t="str">
        <x:v>Passport Latest Assessment</x:v>
      </x:c>
      <x:c r="AE5" s="83" t="str">
        <x:v>Passport Next Due</x:v>
      </x:c>
      <x:c r="AF5" s="83" t="str">
        <x:v>Passport Assessment Status</x:v>
      </x:c>
      <x:c r="AG5" s="83" t="str">
        <x:v>Passport Open Actions</x:v>
      </x:c>
      <x:c r="AH5" s="83" t="str">
        <x:v>Passport Training Events</x:v>
      </x:c>
      <x:c r="AI5" s="83" t="str">
        <x:v>Passport Last Training</x:v>
      </x:c>
      <x:c r="AJ5" s="83" t="str">
        <x:v>Passport Effective Reviews</x:v>
      </x:c>
      <x:c r="AK5" s="83" t="str">
        <x:v>Passport Competency Status</x:v>
      </x:c>
    </x:row>
    <x:row r="6">
      <x:c r="A6" s="94" t="str">
        <x:f>IF(OR(B6="",G6=""),"",B6&amp;"|"&amp;G6)</x:f>
      </x:c>
      <x:c r="B6" s="92"/>
      <x:c r="C6" s="94" t="str">
        <x:f>IFERROR(VLOOKUP(B6,'01 Staff Master'!$A$6:$M$105,2,FALSE),"")</x:f>
      </x:c>
      <x:c r="D6" s="94" t="str">
        <x:f>IFERROR(VLOOKUP(B6,'01 Staff Master'!$A$6:$M$105,3,FALSE),"")</x:f>
      </x:c>
      <x:c r="E6" s="94" t="str">
        <x:f>IFERROR(VLOOKUP(B6,'01 Staff Master'!$A$6:$M$105,5,FALSE),"")</x:f>
      </x:c>
      <x:c r="F6" s="94" t="str">
        <x:f>IFERROR(VLOOKUP(B6,'01 Staff Master'!$A$6:$M$105,4,FALSE),"")</x:f>
      </x:c>
      <x:c r="G6" s="92"/>
      <x:c r="H6" s="94" t="str">
        <x:f>IFERROR(VLOOKUP(G6,'02 Skill Catalogue'!$A$6:$K$95,4,FALSE),"")</x:f>
      </x:c>
      <x:c r="I6" s="94" t="str">
        <x:f>IFERROR(VLOOKUP(D6&amp;"|"&amp;E6&amp;"|"&amp;G6,'03 Position Requirements'!$A$6:$R$285,8,FALSE),"")</x:f>
      </x:c>
      <x:c r="J6" s="94" t="str">
        <x:f>IFERROR(VLOOKUP(D6&amp;"|"&amp;E6&amp;"|"&amp;G6,'03 Position Requirements'!$A$6:$R$285,10,FALSE),"")</x:f>
      </x:c>
      <x:c r="K6" s="94" t="str">
        <x:f>IF(OR(B6="",G6=""),"",IF(COUNTIFS('04 Assessment Log'!$D$6:$D$155,B6,'04 Assessment Log'!$J$6:$J$155,G6,'04 Assessment Log'!$AA$6:$AA$155,"Yes")=0,"",SUMIFS('04 Assessment Log'!$O$6:$O$155,'04 Assessment Log'!$D$6:$D$155,B6,'04 Assessment Log'!$J$6:$J$155,G6,'04 Assessment Log'!$AA$6:$AA$155,"Yes")))</x:f>
      </x:c>
      <x:c r="L6" s="94" t="str">
        <x:f>IF(OR(J6="",K6=""),"",MAX(J6-K6,0))</x:f>
      </x:c>
      <x:c r="M6" s="102" t="str">
        <x:f>IF(COUNTIFS('04 Assessment Log'!$D$6:$D$155,B6,'04 Assessment Log'!$J$6:$J$155,G6,'04 Assessment Log'!$AA$6:$AA$155,"Yes")=0,"",SUMIFS('04 Assessment Log'!$B$6:$B$155,'04 Assessment Log'!$D$6:$D$155,B6,'04 Assessment Log'!$J$6:$J$155,G6,'04 Assessment Log'!$AA$6:$AA$155,"Yes"))</x:f>
      </x:c>
      <x:c r="N6" s="102" t="str">
        <x:f>IF(M6="","",SUMIFS('04 Assessment Log'!$Z$6:$Z$155,'04 Assessment Log'!$D$6:$D$155,B6,'04 Assessment Log'!$J$6:$J$155,G6,'04 Assessment Log'!$AA$6:$AA$155,"Yes"))</x:f>
      </x:c>
      <x:c r="O6" s="94" t="str">
        <x:f>IF(M6="","Not Assessed",IF(N6&lt;TODAY(),"Expired",IF(N6&lt;=TODAY()+30,"Due Soon","Current")))</x:f>
        <x:v>Not Assessed</x:v>
      </x:c>
      <x:c r="P6" s="94" t="str">
        <x:f>IF(OR(B6="",G6=""),"",COUNTIFS('05 Development Actions'!$C$6:$C$105,B6,'05 Development Actions'!$G$6:$G$105,G6,'05 Development Actions'!$A$6:$A$105,"&lt;&gt;",'05 Development Actions'!$AB$6:$AB$105,"&lt;&gt;Closed — Competent",'05 Development Actions'!$AB$6:$AB$105,"&lt;&gt;Cancelled"))</x:f>
      </x:c>
      <x:c r="Q6" s="94" t="str">
        <x:f>IF(OR(B6="",G6=""),"",COUNTIFS('11 Training Attendance'!$E$6:$E$155,B6,'11 Training Attendance'!$K$6:$K$155,"Attended",'11 Training Attendance'!$I$6:$I$155,G6))</x:f>
      </x:c>
      <x:c r="R6" s="102" t="str">
        <x:f>IF(Q6=0,"",MAXIFS('11 Training Attendance'!$D$6:$D$155,'11 Training Attendance'!$E$6:$E$155,B6,'11 Training Attendance'!$K$6:$K$155,"Attended",'11 Training Attendance'!$I$6:$I$155,G6))</x:f>
      </x:c>
      <x:c r="S6" s="94" t="str">
        <x:f>IF(OR(B6="",G6=""),"",COUNTIFS('13 Effectiveness Review'!$C$6:$C$155,B6,'13 Effectiveness Review'!$F$6:$F$155,G6,'13 Effectiveness Review'!$X$6:$X$155,"Closed — Effective"))</x:f>
      </x:c>
      <x:c r="T6" s="94" t="str">
        <x:f>IF(B6="","",IF(K6="","Not Assessed",IF(O6="Expired","Renewal Due",IF(L6=0,"Competent","Skill Gap"))))</x:f>
      </x:c>
      <x:c r="U6" s="94" t="str">
        <x:f>IFERROR(VLOOKUP(D6&amp;"|"&amp;E6&amp;"|"&amp;G6,'03 Position Requirements'!$A$6:$R$285,14,FALSE),"")</x:f>
      </x:c>
      <x:c r="V6" s="92"/>
      <x:c r="W6" s="85" t="str">
        <x:f>IF(B6="","",B6&amp;"|"&amp;COUNTIF($B$6:B6,B6))</x:f>
      </x:c>
      <x:c r="X6" s="85" t="str">
        <x:f>IF(B6="","",G6)</x:f>
      </x:c>
      <x:c r="Y6" s="85" t="str">
        <x:f>IF(B6="","",H6)</x:f>
      </x:c>
      <x:c r="Z6" s="85" t="str">
        <x:f>IF(B6="","",I6)</x:f>
      </x:c>
      <x:c r="AA6" s="85" t="str">
        <x:f>IF(B6="","",J6)</x:f>
      </x:c>
      <x:c r="AB6" s="85" t="str">
        <x:f>IF(B6="","",K6)</x:f>
      </x:c>
      <x:c r="AC6" s="85" t="str">
        <x:f>IF(B6="","",L6)</x:f>
      </x:c>
      <x:c r="AD6" s="85" t="str">
        <x:f>IF(B6="","",M6)</x:f>
      </x:c>
      <x:c r="AE6" s="85" t="str">
        <x:f>IF(B6="","",N6)</x:f>
      </x:c>
      <x:c r="AF6" s="85" t="str">
        <x:f>IF(B6="","",O6)</x:f>
      </x:c>
      <x:c r="AG6" s="85" t="str">
        <x:f>IF(B6="","",P6)</x:f>
      </x:c>
      <x:c r="AH6" s="85" t="str">
        <x:f>IF(B6="","",Q6)</x:f>
      </x:c>
      <x:c r="AI6" s="85" t="str">
        <x:f>IF(B6="","",R6)</x:f>
      </x:c>
      <x:c r="AJ6" s="85" t="str">
        <x:f>IF(B6="","",S6)</x:f>
      </x:c>
      <x:c r="AK6" s="85" t="str">
        <x:f>IF(B6="","",T6)</x:f>
      </x:c>
    </x:row>
    <x:row r="7">
      <x:c r="A7" s="94" t="str">
        <x:f>IF(OR(B7="",G7=""),"",B7&amp;"|"&amp;G7)</x:f>
      </x:c>
      <x:c r="B7" s="92"/>
      <x:c r="C7" s="94" t="str">
        <x:f>IFERROR(VLOOKUP(B7,'01 Staff Master'!$A$6:$M$105,2,FALSE),"")</x:f>
      </x:c>
      <x:c r="D7" s="94" t="str">
        <x:f>IFERROR(VLOOKUP(B7,'01 Staff Master'!$A$6:$M$105,3,FALSE),"")</x:f>
      </x:c>
      <x:c r="E7" s="94" t="str">
        <x:f>IFERROR(VLOOKUP(B7,'01 Staff Master'!$A$6:$M$105,5,FALSE),"")</x:f>
      </x:c>
      <x:c r="F7" s="94" t="str">
        <x:f>IFERROR(VLOOKUP(B7,'01 Staff Master'!$A$6:$M$105,4,FALSE),"")</x:f>
      </x:c>
      <x:c r="G7" s="92"/>
      <x:c r="H7" s="94" t="str">
        <x:f>IFERROR(VLOOKUP(G7,'02 Skill Catalogue'!$A$6:$K$95,4,FALSE),"")</x:f>
      </x:c>
      <x:c r="I7" s="94" t="str">
        <x:f>IFERROR(VLOOKUP(D7&amp;"|"&amp;E7&amp;"|"&amp;G7,'03 Position Requirements'!$A$6:$R$285,8,FALSE),"")</x:f>
      </x:c>
      <x:c r="J7" s="94" t="str">
        <x:f>IFERROR(VLOOKUP(D7&amp;"|"&amp;E7&amp;"|"&amp;G7,'03 Position Requirements'!$A$6:$R$285,10,FALSE),"")</x:f>
      </x:c>
      <x:c r="K7" s="94" t="str">
        <x:f>IF(OR(B7="",G7=""),"",IF(COUNTIFS('04 Assessment Log'!$D$6:$D$155,B7,'04 Assessment Log'!$J$6:$J$155,G7,'04 Assessment Log'!$AA$6:$AA$155,"Yes")=0,"",SUMIFS('04 Assessment Log'!$O$6:$O$155,'04 Assessment Log'!$D$6:$D$155,B7,'04 Assessment Log'!$J$6:$J$155,G7,'04 Assessment Log'!$AA$6:$AA$155,"Yes")))</x:f>
      </x:c>
      <x:c r="L7" s="94" t="str">
        <x:f>IF(OR(J7="",K7=""),"",MAX(J7-K7,0))</x:f>
      </x:c>
      <x:c r="M7" s="102" t="str">
        <x:f>IF(COUNTIFS('04 Assessment Log'!$D$6:$D$155,B7,'04 Assessment Log'!$J$6:$J$155,G7,'04 Assessment Log'!$AA$6:$AA$155,"Yes")=0,"",SUMIFS('04 Assessment Log'!$B$6:$B$155,'04 Assessment Log'!$D$6:$D$155,B7,'04 Assessment Log'!$J$6:$J$155,G7,'04 Assessment Log'!$AA$6:$AA$155,"Yes"))</x:f>
      </x:c>
      <x:c r="N7" s="102" t="str">
        <x:f>IF(M7="","",SUMIFS('04 Assessment Log'!$Z$6:$Z$155,'04 Assessment Log'!$D$6:$D$155,B7,'04 Assessment Log'!$J$6:$J$155,G7,'04 Assessment Log'!$AA$6:$AA$155,"Yes"))</x:f>
      </x:c>
      <x:c r="O7" s="94" t="str">
        <x:f>IF(M7="","Not Assessed",IF(N7&lt;TODAY(),"Expired",IF(N7&lt;=TODAY()+30,"Due Soon","Current")))</x:f>
        <x:v>Not Assessed</x:v>
      </x:c>
      <x:c r="P7" s="94" t="str">
        <x:f>IF(OR(B7="",G7=""),"",COUNTIFS('05 Development Actions'!$C$6:$C$105,B7,'05 Development Actions'!$G$6:$G$105,G7,'05 Development Actions'!$A$6:$A$105,"&lt;&gt;",'05 Development Actions'!$AB$6:$AB$105,"&lt;&gt;Closed — Competent",'05 Development Actions'!$AB$6:$AB$105,"&lt;&gt;Cancelled"))</x:f>
      </x:c>
      <x:c r="Q7" s="94" t="str">
        <x:f>IF(OR(B7="",G7=""),"",COUNTIFS('11 Training Attendance'!$E$6:$E$155,B7,'11 Training Attendance'!$K$6:$K$155,"Attended",'11 Training Attendance'!$I$6:$I$155,G7))</x:f>
      </x:c>
      <x:c r="R7" s="102" t="str">
        <x:f>IF(Q7=0,"",MAXIFS('11 Training Attendance'!$D$6:$D$155,'11 Training Attendance'!$E$6:$E$155,B7,'11 Training Attendance'!$K$6:$K$155,"Attended",'11 Training Attendance'!$I$6:$I$155,G7))</x:f>
      </x:c>
      <x:c r="S7" s="94" t="str">
        <x:f>IF(OR(B7="",G7=""),"",COUNTIFS('13 Effectiveness Review'!$C$6:$C$155,B7,'13 Effectiveness Review'!$F$6:$F$155,G7,'13 Effectiveness Review'!$X$6:$X$155,"Closed — Effective"))</x:f>
      </x:c>
      <x:c r="T7" s="94" t="str">
        <x:f>IF(B7="","",IF(K7="","Not Assessed",IF(O7="Expired","Renewal Due",IF(L7=0,"Competent","Skill Gap"))))</x:f>
      </x:c>
      <x:c r="U7" s="94" t="str">
        <x:f>IFERROR(VLOOKUP(D7&amp;"|"&amp;E7&amp;"|"&amp;G7,'03 Position Requirements'!$A$6:$R$285,14,FALSE),"")</x:f>
      </x:c>
      <x:c r="V7" s="92"/>
      <x:c r="W7" s="85" t="str">
        <x:f>IF(B7="","",B7&amp;"|"&amp;COUNTIF($B$6:B7,B7))</x:f>
      </x:c>
      <x:c r="X7" s="85" t="str">
        <x:f>IF(B7="","",G7)</x:f>
      </x:c>
      <x:c r="Y7" s="85" t="str">
        <x:f>IF(B7="","",H7)</x:f>
      </x:c>
      <x:c r="Z7" s="85" t="str">
        <x:f>IF(B7="","",I7)</x:f>
      </x:c>
      <x:c r="AA7" s="85" t="str">
        <x:f>IF(B7="","",J7)</x:f>
      </x:c>
      <x:c r="AB7" s="85" t="str">
        <x:f>IF(B7="","",K7)</x:f>
      </x:c>
      <x:c r="AC7" s="85" t="str">
        <x:f>IF(B7="","",L7)</x:f>
      </x:c>
      <x:c r="AD7" s="85" t="str">
        <x:f>IF(B7="","",M7)</x:f>
      </x:c>
      <x:c r="AE7" s="85" t="str">
        <x:f>IF(B7="","",N7)</x:f>
      </x:c>
      <x:c r="AF7" s="85" t="str">
        <x:f>IF(B7="","",O7)</x:f>
      </x:c>
      <x:c r="AG7" s="85" t="str">
        <x:f>IF(B7="","",P7)</x:f>
      </x:c>
      <x:c r="AH7" s="85" t="str">
        <x:f>IF(B7="","",Q7)</x:f>
      </x:c>
      <x:c r="AI7" s="85" t="str">
        <x:f>IF(B7="","",R7)</x:f>
      </x:c>
      <x:c r="AJ7" s="85" t="str">
        <x:f>IF(B7="","",S7)</x:f>
      </x:c>
      <x:c r="AK7" s="85" t="str">
        <x:f>IF(B7="","",T7)</x:f>
      </x:c>
    </x:row>
    <x:row r="8">
      <x:c r="A8" s="94" t="str">
        <x:f>IF(OR(B8="",G8=""),"",B8&amp;"|"&amp;G8)</x:f>
      </x:c>
      <x:c r="B8" s="92"/>
      <x:c r="C8" s="94" t="str">
        <x:f>IFERROR(VLOOKUP(B8,'01 Staff Master'!$A$6:$M$105,2,FALSE),"")</x:f>
      </x:c>
      <x:c r="D8" s="94" t="str">
        <x:f>IFERROR(VLOOKUP(B8,'01 Staff Master'!$A$6:$M$105,3,FALSE),"")</x:f>
      </x:c>
      <x:c r="E8" s="94" t="str">
        <x:f>IFERROR(VLOOKUP(B8,'01 Staff Master'!$A$6:$M$105,5,FALSE),"")</x:f>
      </x:c>
      <x:c r="F8" s="94" t="str">
        <x:f>IFERROR(VLOOKUP(B8,'01 Staff Master'!$A$6:$M$105,4,FALSE),"")</x:f>
      </x:c>
      <x:c r="G8" s="92"/>
      <x:c r="H8" s="94" t="str">
        <x:f>IFERROR(VLOOKUP(G8,'02 Skill Catalogue'!$A$6:$K$95,4,FALSE),"")</x:f>
      </x:c>
      <x:c r="I8" s="94" t="str">
        <x:f>IFERROR(VLOOKUP(D8&amp;"|"&amp;E8&amp;"|"&amp;G8,'03 Position Requirements'!$A$6:$R$285,8,FALSE),"")</x:f>
      </x:c>
      <x:c r="J8" s="94" t="str">
        <x:f>IFERROR(VLOOKUP(D8&amp;"|"&amp;E8&amp;"|"&amp;G8,'03 Position Requirements'!$A$6:$R$285,10,FALSE),"")</x:f>
      </x:c>
      <x:c r="K8" s="94" t="str">
        <x:f>IF(OR(B8="",G8=""),"",IF(COUNTIFS('04 Assessment Log'!$D$6:$D$155,B8,'04 Assessment Log'!$J$6:$J$155,G8,'04 Assessment Log'!$AA$6:$AA$155,"Yes")=0,"",SUMIFS('04 Assessment Log'!$O$6:$O$155,'04 Assessment Log'!$D$6:$D$155,B8,'04 Assessment Log'!$J$6:$J$155,G8,'04 Assessment Log'!$AA$6:$AA$155,"Yes")))</x:f>
      </x:c>
      <x:c r="L8" s="94" t="str">
        <x:f>IF(OR(J8="",K8=""),"",MAX(J8-K8,0))</x:f>
      </x:c>
      <x:c r="M8" s="102" t="str">
        <x:f>IF(COUNTIFS('04 Assessment Log'!$D$6:$D$155,B8,'04 Assessment Log'!$J$6:$J$155,G8,'04 Assessment Log'!$AA$6:$AA$155,"Yes")=0,"",SUMIFS('04 Assessment Log'!$B$6:$B$155,'04 Assessment Log'!$D$6:$D$155,B8,'04 Assessment Log'!$J$6:$J$155,G8,'04 Assessment Log'!$AA$6:$AA$155,"Yes"))</x:f>
      </x:c>
      <x:c r="N8" s="102" t="str">
        <x:f>IF(M8="","",SUMIFS('04 Assessment Log'!$Z$6:$Z$155,'04 Assessment Log'!$D$6:$D$155,B8,'04 Assessment Log'!$J$6:$J$155,G8,'04 Assessment Log'!$AA$6:$AA$155,"Yes"))</x:f>
      </x:c>
      <x:c r="O8" s="94" t="str">
        <x:f>IF(M8="","Not Assessed",IF(N8&lt;TODAY(),"Expired",IF(N8&lt;=TODAY()+30,"Due Soon","Current")))</x:f>
        <x:v>Not Assessed</x:v>
      </x:c>
      <x:c r="P8" s="94" t="str">
        <x:f>IF(OR(B8="",G8=""),"",COUNTIFS('05 Development Actions'!$C$6:$C$105,B8,'05 Development Actions'!$G$6:$G$105,G8,'05 Development Actions'!$A$6:$A$105,"&lt;&gt;",'05 Development Actions'!$AB$6:$AB$105,"&lt;&gt;Closed — Competent",'05 Development Actions'!$AB$6:$AB$105,"&lt;&gt;Cancelled"))</x:f>
      </x:c>
      <x:c r="Q8" s="94" t="str">
        <x:f>IF(OR(B8="",G8=""),"",COUNTIFS('11 Training Attendance'!$E$6:$E$155,B8,'11 Training Attendance'!$K$6:$K$155,"Attended",'11 Training Attendance'!$I$6:$I$155,G8))</x:f>
      </x:c>
      <x:c r="R8" s="102" t="str">
        <x:f>IF(Q8=0,"",MAXIFS('11 Training Attendance'!$D$6:$D$155,'11 Training Attendance'!$E$6:$E$155,B8,'11 Training Attendance'!$K$6:$K$155,"Attended",'11 Training Attendance'!$I$6:$I$155,G8))</x:f>
      </x:c>
      <x:c r="S8" s="94" t="str">
        <x:f>IF(OR(B8="",G8=""),"",COUNTIFS('13 Effectiveness Review'!$C$6:$C$155,B8,'13 Effectiveness Review'!$F$6:$F$155,G8,'13 Effectiveness Review'!$X$6:$X$155,"Closed — Effective"))</x:f>
      </x:c>
      <x:c r="T8" s="94" t="str">
        <x:f>IF(B8="","",IF(K8="","Not Assessed",IF(O8="Expired","Renewal Due",IF(L8=0,"Competent","Skill Gap"))))</x:f>
      </x:c>
      <x:c r="U8" s="94" t="str">
        <x:f>IFERROR(VLOOKUP(D8&amp;"|"&amp;E8&amp;"|"&amp;G8,'03 Position Requirements'!$A$6:$R$285,14,FALSE),"")</x:f>
      </x:c>
      <x:c r="V8" s="92"/>
      <x:c r="W8" s="85" t="str">
        <x:f>IF(B8="","",B8&amp;"|"&amp;COUNTIF($B$6:B8,B8))</x:f>
      </x:c>
      <x:c r="X8" s="85" t="str">
        <x:f>IF(B8="","",G8)</x:f>
      </x:c>
      <x:c r="Y8" s="85" t="str">
        <x:f>IF(B8="","",H8)</x:f>
      </x:c>
      <x:c r="Z8" s="85" t="str">
        <x:f>IF(B8="","",I8)</x:f>
      </x:c>
      <x:c r="AA8" s="85" t="str">
        <x:f>IF(B8="","",J8)</x:f>
      </x:c>
      <x:c r="AB8" s="85" t="str">
        <x:f>IF(B8="","",K8)</x:f>
      </x:c>
      <x:c r="AC8" s="85" t="str">
        <x:f>IF(B8="","",L8)</x:f>
      </x:c>
      <x:c r="AD8" s="85" t="str">
        <x:f>IF(B8="","",M8)</x:f>
      </x:c>
      <x:c r="AE8" s="85" t="str">
        <x:f>IF(B8="","",N8)</x:f>
      </x:c>
      <x:c r="AF8" s="85" t="str">
        <x:f>IF(B8="","",O8)</x:f>
      </x:c>
      <x:c r="AG8" s="85" t="str">
        <x:f>IF(B8="","",P8)</x:f>
      </x:c>
      <x:c r="AH8" s="85" t="str">
        <x:f>IF(B8="","",Q8)</x:f>
      </x:c>
      <x:c r="AI8" s="85" t="str">
        <x:f>IF(B8="","",R8)</x:f>
      </x:c>
      <x:c r="AJ8" s="85" t="str">
        <x:f>IF(B8="","",S8)</x:f>
      </x:c>
      <x:c r="AK8" s="85" t="str">
        <x:f>IF(B8="","",T8)</x:f>
      </x:c>
    </x:row>
    <x:row r="9">
      <x:c r="A9" s="94" t="str">
        <x:f>IF(OR(B9="",G9=""),"",B9&amp;"|"&amp;G9)</x:f>
      </x:c>
      <x:c r="B9" s="92"/>
      <x:c r="C9" s="94" t="str">
        <x:f>IFERROR(VLOOKUP(B9,'01 Staff Master'!$A$6:$M$105,2,FALSE),"")</x:f>
      </x:c>
      <x:c r="D9" s="94" t="str">
        <x:f>IFERROR(VLOOKUP(B9,'01 Staff Master'!$A$6:$M$105,3,FALSE),"")</x:f>
      </x:c>
      <x:c r="E9" s="94" t="str">
        <x:f>IFERROR(VLOOKUP(B9,'01 Staff Master'!$A$6:$M$105,5,FALSE),"")</x:f>
      </x:c>
      <x:c r="F9" s="94" t="str">
        <x:f>IFERROR(VLOOKUP(B9,'01 Staff Master'!$A$6:$M$105,4,FALSE),"")</x:f>
      </x:c>
      <x:c r="G9" s="92"/>
      <x:c r="H9" s="94" t="str">
        <x:f>IFERROR(VLOOKUP(G9,'02 Skill Catalogue'!$A$6:$K$95,4,FALSE),"")</x:f>
      </x:c>
      <x:c r="I9" s="94" t="str">
        <x:f>IFERROR(VLOOKUP(D9&amp;"|"&amp;E9&amp;"|"&amp;G9,'03 Position Requirements'!$A$6:$R$285,8,FALSE),"")</x:f>
      </x:c>
      <x:c r="J9" s="94" t="str">
        <x:f>IFERROR(VLOOKUP(D9&amp;"|"&amp;E9&amp;"|"&amp;G9,'03 Position Requirements'!$A$6:$R$285,10,FALSE),"")</x:f>
      </x:c>
      <x:c r="K9" s="94" t="str">
        <x:f>IF(OR(B9="",G9=""),"",IF(COUNTIFS('04 Assessment Log'!$D$6:$D$155,B9,'04 Assessment Log'!$J$6:$J$155,G9,'04 Assessment Log'!$AA$6:$AA$155,"Yes")=0,"",SUMIFS('04 Assessment Log'!$O$6:$O$155,'04 Assessment Log'!$D$6:$D$155,B9,'04 Assessment Log'!$J$6:$J$155,G9,'04 Assessment Log'!$AA$6:$AA$155,"Yes")))</x:f>
      </x:c>
      <x:c r="L9" s="94" t="str">
        <x:f>IF(OR(J9="",K9=""),"",MAX(J9-K9,0))</x:f>
      </x:c>
      <x:c r="M9" s="102" t="str">
        <x:f>IF(COUNTIFS('04 Assessment Log'!$D$6:$D$155,B9,'04 Assessment Log'!$J$6:$J$155,G9,'04 Assessment Log'!$AA$6:$AA$155,"Yes")=0,"",SUMIFS('04 Assessment Log'!$B$6:$B$155,'04 Assessment Log'!$D$6:$D$155,B9,'04 Assessment Log'!$J$6:$J$155,G9,'04 Assessment Log'!$AA$6:$AA$155,"Yes"))</x:f>
      </x:c>
      <x:c r="N9" s="102" t="str">
        <x:f>IF(M9="","",SUMIFS('04 Assessment Log'!$Z$6:$Z$155,'04 Assessment Log'!$D$6:$D$155,B9,'04 Assessment Log'!$J$6:$J$155,G9,'04 Assessment Log'!$AA$6:$AA$155,"Yes"))</x:f>
      </x:c>
      <x:c r="O9" s="94" t="str">
        <x:f>IF(M9="","Not Assessed",IF(N9&lt;TODAY(),"Expired",IF(N9&lt;=TODAY()+30,"Due Soon","Current")))</x:f>
        <x:v>Not Assessed</x:v>
      </x:c>
      <x:c r="P9" s="94" t="str">
        <x:f>IF(OR(B9="",G9=""),"",COUNTIFS('05 Development Actions'!$C$6:$C$105,B9,'05 Development Actions'!$G$6:$G$105,G9,'05 Development Actions'!$A$6:$A$105,"&lt;&gt;",'05 Development Actions'!$AB$6:$AB$105,"&lt;&gt;Closed — Competent",'05 Development Actions'!$AB$6:$AB$105,"&lt;&gt;Cancelled"))</x:f>
      </x:c>
      <x:c r="Q9" s="94" t="str">
        <x:f>IF(OR(B9="",G9=""),"",COUNTIFS('11 Training Attendance'!$E$6:$E$155,B9,'11 Training Attendance'!$K$6:$K$155,"Attended",'11 Training Attendance'!$I$6:$I$155,G9))</x:f>
      </x:c>
      <x:c r="R9" s="102" t="str">
        <x:f>IF(Q9=0,"",MAXIFS('11 Training Attendance'!$D$6:$D$155,'11 Training Attendance'!$E$6:$E$155,B9,'11 Training Attendance'!$K$6:$K$155,"Attended",'11 Training Attendance'!$I$6:$I$155,G9))</x:f>
      </x:c>
      <x:c r="S9" s="94" t="str">
        <x:f>IF(OR(B9="",G9=""),"",COUNTIFS('13 Effectiveness Review'!$C$6:$C$155,B9,'13 Effectiveness Review'!$F$6:$F$155,G9,'13 Effectiveness Review'!$X$6:$X$155,"Closed — Effective"))</x:f>
      </x:c>
      <x:c r="T9" s="94" t="str">
        <x:f>IF(B9="","",IF(K9="","Not Assessed",IF(O9="Expired","Renewal Due",IF(L9=0,"Competent","Skill Gap"))))</x:f>
      </x:c>
      <x:c r="U9" s="94" t="str">
        <x:f>IFERROR(VLOOKUP(D9&amp;"|"&amp;E9&amp;"|"&amp;G9,'03 Position Requirements'!$A$6:$R$285,14,FALSE),"")</x:f>
      </x:c>
      <x:c r="V9" s="92"/>
      <x:c r="W9" s="85" t="str">
        <x:f>IF(B9="","",B9&amp;"|"&amp;COUNTIF($B$6:B9,B9))</x:f>
      </x:c>
      <x:c r="X9" s="85" t="str">
        <x:f>IF(B9="","",G9)</x:f>
      </x:c>
      <x:c r="Y9" s="85" t="str">
        <x:f>IF(B9="","",H9)</x:f>
      </x:c>
      <x:c r="Z9" s="85" t="str">
        <x:f>IF(B9="","",I9)</x:f>
      </x:c>
      <x:c r="AA9" s="85" t="str">
        <x:f>IF(B9="","",J9)</x:f>
      </x:c>
      <x:c r="AB9" s="85" t="str">
        <x:f>IF(B9="","",K9)</x:f>
      </x:c>
      <x:c r="AC9" s="85" t="str">
        <x:f>IF(B9="","",L9)</x:f>
      </x:c>
      <x:c r="AD9" s="85" t="str">
        <x:f>IF(B9="","",M9)</x:f>
      </x:c>
      <x:c r="AE9" s="85" t="str">
        <x:f>IF(B9="","",N9)</x:f>
      </x:c>
      <x:c r="AF9" s="85" t="str">
        <x:f>IF(B9="","",O9)</x:f>
      </x:c>
      <x:c r="AG9" s="85" t="str">
        <x:f>IF(B9="","",P9)</x:f>
      </x:c>
      <x:c r="AH9" s="85" t="str">
        <x:f>IF(B9="","",Q9)</x:f>
      </x:c>
      <x:c r="AI9" s="85" t="str">
        <x:f>IF(B9="","",R9)</x:f>
      </x:c>
      <x:c r="AJ9" s="85" t="str">
        <x:f>IF(B9="","",S9)</x:f>
      </x:c>
      <x:c r="AK9" s="85" t="str">
        <x:f>IF(B9="","",T9)</x:f>
      </x:c>
    </x:row>
    <x:row r="10">
      <x:c r="A10" s="94" t="str">
        <x:f>IF(OR(B10="",G10=""),"",B10&amp;"|"&amp;G10)</x:f>
      </x:c>
      <x:c r="B10" s="92"/>
      <x:c r="C10" s="94" t="str">
        <x:f>IFERROR(VLOOKUP(B10,'01 Staff Master'!$A$6:$M$105,2,FALSE),"")</x:f>
      </x:c>
      <x:c r="D10" s="94" t="str">
        <x:f>IFERROR(VLOOKUP(B10,'01 Staff Master'!$A$6:$M$105,3,FALSE),"")</x:f>
      </x:c>
      <x:c r="E10" s="94" t="str">
        <x:f>IFERROR(VLOOKUP(B10,'01 Staff Master'!$A$6:$M$105,5,FALSE),"")</x:f>
      </x:c>
      <x:c r="F10" s="94" t="str">
        <x:f>IFERROR(VLOOKUP(B10,'01 Staff Master'!$A$6:$M$105,4,FALSE),"")</x:f>
      </x:c>
      <x:c r="G10" s="92"/>
      <x:c r="H10" s="94" t="str">
        <x:f>IFERROR(VLOOKUP(G10,'02 Skill Catalogue'!$A$6:$K$95,4,FALSE),"")</x:f>
      </x:c>
      <x:c r="I10" s="94" t="str">
        <x:f>IFERROR(VLOOKUP(D10&amp;"|"&amp;E10&amp;"|"&amp;G10,'03 Position Requirements'!$A$6:$R$285,8,FALSE),"")</x:f>
      </x:c>
      <x:c r="J10" s="94" t="str">
        <x:f>IFERROR(VLOOKUP(D10&amp;"|"&amp;E10&amp;"|"&amp;G10,'03 Position Requirements'!$A$6:$R$285,10,FALSE),"")</x:f>
      </x:c>
      <x:c r="K10" s="94" t="str">
        <x:f>IF(OR(B10="",G10=""),"",IF(COUNTIFS('04 Assessment Log'!$D$6:$D$155,B10,'04 Assessment Log'!$J$6:$J$155,G10,'04 Assessment Log'!$AA$6:$AA$155,"Yes")=0,"",SUMIFS('04 Assessment Log'!$O$6:$O$155,'04 Assessment Log'!$D$6:$D$155,B10,'04 Assessment Log'!$J$6:$J$155,G10,'04 Assessment Log'!$AA$6:$AA$155,"Yes")))</x:f>
      </x:c>
      <x:c r="L10" s="94" t="str">
        <x:f>IF(OR(J10="",K10=""),"",MAX(J10-K10,0))</x:f>
      </x:c>
      <x:c r="M10" s="102" t="str">
        <x:f>IF(COUNTIFS('04 Assessment Log'!$D$6:$D$155,B10,'04 Assessment Log'!$J$6:$J$155,G10,'04 Assessment Log'!$AA$6:$AA$155,"Yes")=0,"",SUMIFS('04 Assessment Log'!$B$6:$B$155,'04 Assessment Log'!$D$6:$D$155,B10,'04 Assessment Log'!$J$6:$J$155,G10,'04 Assessment Log'!$AA$6:$AA$155,"Yes"))</x:f>
      </x:c>
      <x:c r="N10" s="102" t="str">
        <x:f>IF(M10="","",SUMIFS('04 Assessment Log'!$Z$6:$Z$155,'04 Assessment Log'!$D$6:$D$155,B10,'04 Assessment Log'!$J$6:$J$155,G10,'04 Assessment Log'!$AA$6:$AA$155,"Yes"))</x:f>
      </x:c>
      <x:c r="O10" s="94" t="str">
        <x:f>IF(M10="","Not Assessed",IF(N10&lt;TODAY(),"Expired",IF(N10&lt;=TODAY()+30,"Due Soon","Current")))</x:f>
        <x:v>Not Assessed</x:v>
      </x:c>
      <x:c r="P10" s="94" t="str">
        <x:f>IF(OR(B10="",G10=""),"",COUNTIFS('05 Development Actions'!$C$6:$C$105,B10,'05 Development Actions'!$G$6:$G$105,G10,'05 Development Actions'!$A$6:$A$105,"&lt;&gt;",'05 Development Actions'!$AB$6:$AB$105,"&lt;&gt;Closed — Competent",'05 Development Actions'!$AB$6:$AB$105,"&lt;&gt;Cancelled"))</x:f>
      </x:c>
      <x:c r="Q10" s="94" t="str">
        <x:f>IF(OR(B10="",G10=""),"",COUNTIFS('11 Training Attendance'!$E$6:$E$155,B10,'11 Training Attendance'!$K$6:$K$155,"Attended",'11 Training Attendance'!$I$6:$I$155,G10))</x:f>
      </x:c>
      <x:c r="R10" s="102" t="str">
        <x:f>IF(Q10=0,"",MAXIFS('11 Training Attendance'!$D$6:$D$155,'11 Training Attendance'!$E$6:$E$155,B10,'11 Training Attendance'!$K$6:$K$155,"Attended",'11 Training Attendance'!$I$6:$I$155,G10))</x:f>
      </x:c>
      <x:c r="S10" s="94" t="str">
        <x:f>IF(OR(B10="",G10=""),"",COUNTIFS('13 Effectiveness Review'!$C$6:$C$155,B10,'13 Effectiveness Review'!$F$6:$F$155,G10,'13 Effectiveness Review'!$X$6:$X$155,"Closed — Effective"))</x:f>
      </x:c>
      <x:c r="T10" s="94" t="str">
        <x:f>IF(B10="","",IF(K10="","Not Assessed",IF(O10="Expired","Renewal Due",IF(L10=0,"Competent","Skill Gap"))))</x:f>
      </x:c>
      <x:c r="U10" s="94" t="str">
        <x:f>IFERROR(VLOOKUP(D10&amp;"|"&amp;E10&amp;"|"&amp;G10,'03 Position Requirements'!$A$6:$R$285,14,FALSE),"")</x:f>
      </x:c>
      <x:c r="V10" s="92"/>
      <x:c r="W10" s="85" t="str">
        <x:f>IF(B10="","",B10&amp;"|"&amp;COUNTIF($B$6:B10,B10))</x:f>
      </x:c>
      <x:c r="X10" s="85" t="str">
        <x:f>IF(B10="","",G10)</x:f>
      </x:c>
      <x:c r="Y10" s="85" t="str">
        <x:f>IF(B10="","",H10)</x:f>
      </x:c>
      <x:c r="Z10" s="85" t="str">
        <x:f>IF(B10="","",I10)</x:f>
      </x:c>
      <x:c r="AA10" s="85" t="str">
        <x:f>IF(B10="","",J10)</x:f>
      </x:c>
      <x:c r="AB10" s="85" t="str">
        <x:f>IF(B10="","",K10)</x:f>
      </x:c>
      <x:c r="AC10" s="85" t="str">
        <x:f>IF(B10="","",L10)</x:f>
      </x:c>
      <x:c r="AD10" s="85" t="str">
        <x:f>IF(B10="","",M10)</x:f>
      </x:c>
      <x:c r="AE10" s="85" t="str">
        <x:f>IF(B10="","",N10)</x:f>
      </x:c>
      <x:c r="AF10" s="85" t="str">
        <x:f>IF(B10="","",O10)</x:f>
      </x:c>
      <x:c r="AG10" s="85" t="str">
        <x:f>IF(B10="","",P10)</x:f>
      </x:c>
      <x:c r="AH10" s="85" t="str">
        <x:f>IF(B10="","",Q10)</x:f>
      </x:c>
      <x:c r="AI10" s="85" t="str">
        <x:f>IF(B10="","",R10)</x:f>
      </x:c>
      <x:c r="AJ10" s="85" t="str">
        <x:f>IF(B10="","",S10)</x:f>
      </x:c>
      <x:c r="AK10" s="85" t="str">
        <x:f>IF(B10="","",T10)</x:f>
      </x:c>
    </x:row>
    <x:row r="11">
      <x:c r="A11" s="94" t="str">
        <x:f>IF(OR(B11="",G11=""),"",B11&amp;"|"&amp;G11)</x:f>
      </x:c>
      <x:c r="B11" s="92"/>
      <x:c r="C11" s="94" t="str">
        <x:f>IFERROR(VLOOKUP(B11,'01 Staff Master'!$A$6:$M$105,2,FALSE),"")</x:f>
      </x:c>
      <x:c r="D11" s="94" t="str">
        <x:f>IFERROR(VLOOKUP(B11,'01 Staff Master'!$A$6:$M$105,3,FALSE),"")</x:f>
      </x:c>
      <x:c r="E11" s="94" t="str">
        <x:f>IFERROR(VLOOKUP(B11,'01 Staff Master'!$A$6:$M$105,5,FALSE),"")</x:f>
      </x:c>
      <x:c r="F11" s="94" t="str">
        <x:f>IFERROR(VLOOKUP(B11,'01 Staff Master'!$A$6:$M$105,4,FALSE),"")</x:f>
      </x:c>
      <x:c r="G11" s="92"/>
      <x:c r="H11" s="94" t="str">
        <x:f>IFERROR(VLOOKUP(G11,'02 Skill Catalogue'!$A$6:$K$95,4,FALSE),"")</x:f>
      </x:c>
      <x:c r="I11" s="94" t="str">
        <x:f>IFERROR(VLOOKUP(D11&amp;"|"&amp;E11&amp;"|"&amp;G11,'03 Position Requirements'!$A$6:$R$285,8,FALSE),"")</x:f>
      </x:c>
      <x:c r="J11" s="94" t="str">
        <x:f>IFERROR(VLOOKUP(D11&amp;"|"&amp;E11&amp;"|"&amp;G11,'03 Position Requirements'!$A$6:$R$285,10,FALSE),"")</x:f>
      </x:c>
      <x:c r="K11" s="94" t="str">
        <x:f>IF(OR(B11="",G11=""),"",IF(COUNTIFS('04 Assessment Log'!$D$6:$D$155,B11,'04 Assessment Log'!$J$6:$J$155,G11,'04 Assessment Log'!$AA$6:$AA$155,"Yes")=0,"",SUMIFS('04 Assessment Log'!$O$6:$O$155,'04 Assessment Log'!$D$6:$D$155,B11,'04 Assessment Log'!$J$6:$J$155,G11,'04 Assessment Log'!$AA$6:$AA$155,"Yes")))</x:f>
      </x:c>
      <x:c r="L11" s="94" t="str">
        <x:f>IF(OR(J11="",K11=""),"",MAX(J11-K11,0))</x:f>
      </x:c>
      <x:c r="M11" s="102" t="str">
        <x:f>IF(COUNTIFS('04 Assessment Log'!$D$6:$D$155,B11,'04 Assessment Log'!$J$6:$J$155,G11,'04 Assessment Log'!$AA$6:$AA$155,"Yes")=0,"",SUMIFS('04 Assessment Log'!$B$6:$B$155,'04 Assessment Log'!$D$6:$D$155,B11,'04 Assessment Log'!$J$6:$J$155,G11,'04 Assessment Log'!$AA$6:$AA$155,"Yes"))</x:f>
      </x:c>
      <x:c r="N11" s="102" t="str">
        <x:f>IF(M11="","",SUMIFS('04 Assessment Log'!$Z$6:$Z$155,'04 Assessment Log'!$D$6:$D$155,B11,'04 Assessment Log'!$J$6:$J$155,G11,'04 Assessment Log'!$AA$6:$AA$155,"Yes"))</x:f>
      </x:c>
      <x:c r="O11" s="94" t="str">
        <x:f>IF(M11="","Not Assessed",IF(N11&lt;TODAY(),"Expired",IF(N11&lt;=TODAY()+30,"Due Soon","Current")))</x:f>
        <x:v>Not Assessed</x:v>
      </x:c>
      <x:c r="P11" s="94" t="str">
        <x:f>IF(OR(B11="",G11=""),"",COUNTIFS('05 Development Actions'!$C$6:$C$105,B11,'05 Development Actions'!$G$6:$G$105,G11,'05 Development Actions'!$A$6:$A$105,"&lt;&gt;",'05 Development Actions'!$AB$6:$AB$105,"&lt;&gt;Closed — Competent",'05 Development Actions'!$AB$6:$AB$105,"&lt;&gt;Cancelled"))</x:f>
      </x:c>
      <x:c r="Q11" s="94" t="str">
        <x:f>IF(OR(B11="",G11=""),"",COUNTIFS('11 Training Attendance'!$E$6:$E$155,B11,'11 Training Attendance'!$K$6:$K$155,"Attended",'11 Training Attendance'!$I$6:$I$155,G11))</x:f>
      </x:c>
      <x:c r="R11" s="102" t="str">
        <x:f>IF(Q11=0,"",MAXIFS('11 Training Attendance'!$D$6:$D$155,'11 Training Attendance'!$E$6:$E$155,B11,'11 Training Attendance'!$K$6:$K$155,"Attended",'11 Training Attendance'!$I$6:$I$155,G11))</x:f>
      </x:c>
      <x:c r="S11" s="94" t="str">
        <x:f>IF(OR(B11="",G11=""),"",COUNTIFS('13 Effectiveness Review'!$C$6:$C$155,B11,'13 Effectiveness Review'!$F$6:$F$155,G11,'13 Effectiveness Review'!$X$6:$X$155,"Closed — Effective"))</x:f>
      </x:c>
      <x:c r="T11" s="94" t="str">
        <x:f>IF(B11="","",IF(K11="","Not Assessed",IF(O11="Expired","Renewal Due",IF(L11=0,"Competent","Skill Gap"))))</x:f>
      </x:c>
      <x:c r="U11" s="94" t="str">
        <x:f>IFERROR(VLOOKUP(D11&amp;"|"&amp;E11&amp;"|"&amp;G11,'03 Position Requirements'!$A$6:$R$285,14,FALSE),"")</x:f>
      </x:c>
      <x:c r="V11" s="92"/>
      <x:c r="W11" s="85" t="str">
        <x:f>IF(B11="","",B11&amp;"|"&amp;COUNTIF($B$6:B11,B11))</x:f>
      </x:c>
      <x:c r="X11" s="85" t="str">
        <x:f>IF(B11="","",G11)</x:f>
      </x:c>
      <x:c r="Y11" s="85" t="str">
        <x:f>IF(B11="","",H11)</x:f>
      </x:c>
      <x:c r="Z11" s="85" t="str">
        <x:f>IF(B11="","",I11)</x:f>
      </x:c>
      <x:c r="AA11" s="85" t="str">
        <x:f>IF(B11="","",J11)</x:f>
      </x:c>
      <x:c r="AB11" s="85" t="str">
        <x:f>IF(B11="","",K11)</x:f>
      </x:c>
      <x:c r="AC11" s="85" t="str">
        <x:f>IF(B11="","",L11)</x:f>
      </x:c>
      <x:c r="AD11" s="85" t="str">
        <x:f>IF(B11="","",M11)</x:f>
      </x:c>
      <x:c r="AE11" s="85" t="str">
        <x:f>IF(B11="","",N11)</x:f>
      </x:c>
      <x:c r="AF11" s="85" t="str">
        <x:f>IF(B11="","",O11)</x:f>
      </x:c>
      <x:c r="AG11" s="85" t="str">
        <x:f>IF(B11="","",P11)</x:f>
      </x:c>
      <x:c r="AH11" s="85" t="str">
        <x:f>IF(B11="","",Q11)</x:f>
      </x:c>
      <x:c r="AI11" s="85" t="str">
        <x:f>IF(B11="","",R11)</x:f>
      </x:c>
      <x:c r="AJ11" s="85" t="str">
        <x:f>IF(B11="","",S11)</x:f>
      </x:c>
      <x:c r="AK11" s="85" t="str">
        <x:f>IF(B11="","",T11)</x:f>
      </x:c>
    </x:row>
    <x:row r="12">
      <x:c r="A12" s="94" t="str">
        <x:f>IF(OR(B12="",G12=""),"",B12&amp;"|"&amp;G12)</x:f>
      </x:c>
      <x:c r="B12" s="92"/>
      <x:c r="C12" s="94" t="str">
        <x:f>IFERROR(VLOOKUP(B12,'01 Staff Master'!$A$6:$M$105,2,FALSE),"")</x:f>
      </x:c>
      <x:c r="D12" s="94" t="str">
        <x:f>IFERROR(VLOOKUP(B12,'01 Staff Master'!$A$6:$M$105,3,FALSE),"")</x:f>
      </x:c>
      <x:c r="E12" s="94" t="str">
        <x:f>IFERROR(VLOOKUP(B12,'01 Staff Master'!$A$6:$M$105,5,FALSE),"")</x:f>
      </x:c>
      <x:c r="F12" s="94" t="str">
        <x:f>IFERROR(VLOOKUP(B12,'01 Staff Master'!$A$6:$M$105,4,FALSE),"")</x:f>
      </x:c>
      <x:c r="G12" s="92"/>
      <x:c r="H12" s="94" t="str">
        <x:f>IFERROR(VLOOKUP(G12,'02 Skill Catalogue'!$A$6:$K$95,4,FALSE),"")</x:f>
      </x:c>
      <x:c r="I12" s="94" t="str">
        <x:f>IFERROR(VLOOKUP(D12&amp;"|"&amp;E12&amp;"|"&amp;G12,'03 Position Requirements'!$A$6:$R$285,8,FALSE),"")</x:f>
      </x:c>
      <x:c r="J12" s="94" t="str">
        <x:f>IFERROR(VLOOKUP(D12&amp;"|"&amp;E12&amp;"|"&amp;G12,'03 Position Requirements'!$A$6:$R$285,10,FALSE),"")</x:f>
      </x:c>
      <x:c r="K12" s="94" t="str">
        <x:f>IF(OR(B12="",G12=""),"",IF(COUNTIFS('04 Assessment Log'!$D$6:$D$155,B12,'04 Assessment Log'!$J$6:$J$155,G12,'04 Assessment Log'!$AA$6:$AA$155,"Yes")=0,"",SUMIFS('04 Assessment Log'!$O$6:$O$155,'04 Assessment Log'!$D$6:$D$155,B12,'04 Assessment Log'!$J$6:$J$155,G12,'04 Assessment Log'!$AA$6:$AA$155,"Yes")))</x:f>
      </x:c>
      <x:c r="L12" s="94" t="str">
        <x:f>IF(OR(J12="",K12=""),"",MAX(J12-K12,0))</x:f>
      </x:c>
      <x:c r="M12" s="102" t="str">
        <x:f>IF(COUNTIFS('04 Assessment Log'!$D$6:$D$155,B12,'04 Assessment Log'!$J$6:$J$155,G12,'04 Assessment Log'!$AA$6:$AA$155,"Yes")=0,"",SUMIFS('04 Assessment Log'!$B$6:$B$155,'04 Assessment Log'!$D$6:$D$155,B12,'04 Assessment Log'!$J$6:$J$155,G12,'04 Assessment Log'!$AA$6:$AA$155,"Yes"))</x:f>
      </x:c>
      <x:c r="N12" s="102" t="str">
        <x:f>IF(M12="","",SUMIFS('04 Assessment Log'!$Z$6:$Z$155,'04 Assessment Log'!$D$6:$D$155,B12,'04 Assessment Log'!$J$6:$J$155,G12,'04 Assessment Log'!$AA$6:$AA$155,"Yes"))</x:f>
      </x:c>
      <x:c r="O12" s="94" t="str">
        <x:f>IF(M12="","Not Assessed",IF(N12&lt;TODAY(),"Expired",IF(N12&lt;=TODAY()+30,"Due Soon","Current")))</x:f>
        <x:v>Not Assessed</x:v>
      </x:c>
      <x:c r="P12" s="94" t="str">
        <x:f>IF(OR(B12="",G12=""),"",COUNTIFS('05 Development Actions'!$C$6:$C$105,B12,'05 Development Actions'!$G$6:$G$105,G12,'05 Development Actions'!$A$6:$A$105,"&lt;&gt;",'05 Development Actions'!$AB$6:$AB$105,"&lt;&gt;Closed — Competent",'05 Development Actions'!$AB$6:$AB$105,"&lt;&gt;Cancelled"))</x:f>
      </x:c>
      <x:c r="Q12" s="94" t="str">
        <x:f>IF(OR(B12="",G12=""),"",COUNTIFS('11 Training Attendance'!$E$6:$E$155,B12,'11 Training Attendance'!$K$6:$K$155,"Attended",'11 Training Attendance'!$I$6:$I$155,G12))</x:f>
      </x:c>
      <x:c r="R12" s="102" t="str">
        <x:f>IF(Q12=0,"",MAXIFS('11 Training Attendance'!$D$6:$D$155,'11 Training Attendance'!$E$6:$E$155,B12,'11 Training Attendance'!$K$6:$K$155,"Attended",'11 Training Attendance'!$I$6:$I$155,G12))</x:f>
      </x:c>
      <x:c r="S12" s="94" t="str">
        <x:f>IF(OR(B12="",G12=""),"",COUNTIFS('13 Effectiveness Review'!$C$6:$C$155,B12,'13 Effectiveness Review'!$F$6:$F$155,G12,'13 Effectiveness Review'!$X$6:$X$155,"Closed — Effective"))</x:f>
      </x:c>
      <x:c r="T12" s="94" t="str">
        <x:f>IF(B12="","",IF(K12="","Not Assessed",IF(O12="Expired","Renewal Due",IF(L12=0,"Competent","Skill Gap"))))</x:f>
      </x:c>
      <x:c r="U12" s="94" t="str">
        <x:f>IFERROR(VLOOKUP(D12&amp;"|"&amp;E12&amp;"|"&amp;G12,'03 Position Requirements'!$A$6:$R$285,14,FALSE),"")</x:f>
      </x:c>
      <x:c r="V12" s="92"/>
      <x:c r="W12" s="85" t="str">
        <x:f>IF(B12="","",B12&amp;"|"&amp;COUNTIF($B$6:B12,B12))</x:f>
      </x:c>
      <x:c r="X12" s="85" t="str">
        <x:f>IF(B12="","",G12)</x:f>
      </x:c>
      <x:c r="Y12" s="85" t="str">
        <x:f>IF(B12="","",H12)</x:f>
      </x:c>
      <x:c r="Z12" s="85" t="str">
        <x:f>IF(B12="","",I12)</x:f>
      </x:c>
      <x:c r="AA12" s="85" t="str">
        <x:f>IF(B12="","",J12)</x:f>
      </x:c>
      <x:c r="AB12" s="85" t="str">
        <x:f>IF(B12="","",K12)</x:f>
      </x:c>
      <x:c r="AC12" s="85" t="str">
        <x:f>IF(B12="","",L12)</x:f>
      </x:c>
      <x:c r="AD12" s="85" t="str">
        <x:f>IF(B12="","",M12)</x:f>
      </x:c>
      <x:c r="AE12" s="85" t="str">
        <x:f>IF(B12="","",N12)</x:f>
      </x:c>
      <x:c r="AF12" s="85" t="str">
        <x:f>IF(B12="","",O12)</x:f>
      </x:c>
      <x:c r="AG12" s="85" t="str">
        <x:f>IF(B12="","",P12)</x:f>
      </x:c>
      <x:c r="AH12" s="85" t="str">
        <x:f>IF(B12="","",Q12)</x:f>
      </x:c>
      <x:c r="AI12" s="85" t="str">
        <x:f>IF(B12="","",R12)</x:f>
      </x:c>
      <x:c r="AJ12" s="85" t="str">
        <x:f>IF(B12="","",S12)</x:f>
      </x:c>
      <x:c r="AK12" s="85" t="str">
        <x:f>IF(B12="","",T12)</x:f>
      </x:c>
    </x:row>
    <x:row r="13">
      <x:c r="A13" s="94" t="str">
        <x:f>IF(OR(B13="",G13=""),"",B13&amp;"|"&amp;G13)</x:f>
      </x:c>
      <x:c r="B13" s="92"/>
      <x:c r="C13" s="94" t="str">
        <x:f>IFERROR(VLOOKUP(B13,'01 Staff Master'!$A$6:$M$105,2,FALSE),"")</x:f>
      </x:c>
      <x:c r="D13" s="94" t="str">
        <x:f>IFERROR(VLOOKUP(B13,'01 Staff Master'!$A$6:$M$105,3,FALSE),"")</x:f>
      </x:c>
      <x:c r="E13" s="94" t="str">
        <x:f>IFERROR(VLOOKUP(B13,'01 Staff Master'!$A$6:$M$105,5,FALSE),"")</x:f>
      </x:c>
      <x:c r="F13" s="94" t="str">
        <x:f>IFERROR(VLOOKUP(B13,'01 Staff Master'!$A$6:$M$105,4,FALSE),"")</x:f>
      </x:c>
      <x:c r="G13" s="92"/>
      <x:c r="H13" s="94" t="str">
        <x:f>IFERROR(VLOOKUP(G13,'02 Skill Catalogue'!$A$6:$K$95,4,FALSE),"")</x:f>
      </x:c>
      <x:c r="I13" s="94" t="str">
        <x:f>IFERROR(VLOOKUP(D13&amp;"|"&amp;E13&amp;"|"&amp;G13,'03 Position Requirements'!$A$6:$R$285,8,FALSE),"")</x:f>
      </x:c>
      <x:c r="J13" s="94" t="str">
        <x:f>IFERROR(VLOOKUP(D13&amp;"|"&amp;E13&amp;"|"&amp;G13,'03 Position Requirements'!$A$6:$R$285,10,FALSE),"")</x:f>
      </x:c>
      <x:c r="K13" s="94" t="str">
        <x:f>IF(OR(B13="",G13=""),"",IF(COUNTIFS('04 Assessment Log'!$D$6:$D$155,B13,'04 Assessment Log'!$J$6:$J$155,G13,'04 Assessment Log'!$AA$6:$AA$155,"Yes")=0,"",SUMIFS('04 Assessment Log'!$O$6:$O$155,'04 Assessment Log'!$D$6:$D$155,B13,'04 Assessment Log'!$J$6:$J$155,G13,'04 Assessment Log'!$AA$6:$AA$155,"Yes")))</x:f>
      </x:c>
      <x:c r="L13" s="94" t="str">
        <x:f>IF(OR(J13="",K13=""),"",MAX(J13-K13,0))</x:f>
      </x:c>
      <x:c r="M13" s="102" t="str">
        <x:f>IF(COUNTIFS('04 Assessment Log'!$D$6:$D$155,B13,'04 Assessment Log'!$J$6:$J$155,G13,'04 Assessment Log'!$AA$6:$AA$155,"Yes")=0,"",SUMIFS('04 Assessment Log'!$B$6:$B$155,'04 Assessment Log'!$D$6:$D$155,B13,'04 Assessment Log'!$J$6:$J$155,G13,'04 Assessment Log'!$AA$6:$AA$155,"Yes"))</x:f>
      </x:c>
      <x:c r="N13" s="102" t="str">
        <x:f>IF(M13="","",SUMIFS('04 Assessment Log'!$Z$6:$Z$155,'04 Assessment Log'!$D$6:$D$155,B13,'04 Assessment Log'!$J$6:$J$155,G13,'04 Assessment Log'!$AA$6:$AA$155,"Yes"))</x:f>
      </x:c>
      <x:c r="O13" s="94" t="str">
        <x:f>IF(M13="","Not Assessed",IF(N13&lt;TODAY(),"Expired",IF(N13&lt;=TODAY()+30,"Due Soon","Current")))</x:f>
        <x:v>Not Assessed</x:v>
      </x:c>
      <x:c r="P13" s="94" t="str">
        <x:f>IF(OR(B13="",G13=""),"",COUNTIFS('05 Development Actions'!$C$6:$C$105,B13,'05 Development Actions'!$G$6:$G$105,G13,'05 Development Actions'!$A$6:$A$105,"&lt;&gt;",'05 Development Actions'!$AB$6:$AB$105,"&lt;&gt;Closed — Competent",'05 Development Actions'!$AB$6:$AB$105,"&lt;&gt;Cancelled"))</x:f>
      </x:c>
      <x:c r="Q13" s="94" t="str">
        <x:f>IF(OR(B13="",G13=""),"",COUNTIFS('11 Training Attendance'!$E$6:$E$155,B13,'11 Training Attendance'!$K$6:$K$155,"Attended",'11 Training Attendance'!$I$6:$I$155,G13))</x:f>
      </x:c>
      <x:c r="R13" s="102" t="str">
        <x:f>IF(Q13=0,"",MAXIFS('11 Training Attendance'!$D$6:$D$155,'11 Training Attendance'!$E$6:$E$155,B13,'11 Training Attendance'!$K$6:$K$155,"Attended",'11 Training Attendance'!$I$6:$I$155,G13))</x:f>
      </x:c>
      <x:c r="S13" s="94" t="str">
        <x:f>IF(OR(B13="",G13=""),"",COUNTIFS('13 Effectiveness Review'!$C$6:$C$155,B13,'13 Effectiveness Review'!$F$6:$F$155,G13,'13 Effectiveness Review'!$X$6:$X$155,"Closed — Effective"))</x:f>
      </x:c>
      <x:c r="T13" s="94" t="str">
        <x:f>IF(B13="","",IF(K13="","Not Assessed",IF(O13="Expired","Renewal Due",IF(L13=0,"Competent","Skill Gap"))))</x:f>
      </x:c>
      <x:c r="U13" s="94" t="str">
        <x:f>IFERROR(VLOOKUP(D13&amp;"|"&amp;E13&amp;"|"&amp;G13,'03 Position Requirements'!$A$6:$R$285,14,FALSE),"")</x:f>
      </x:c>
      <x:c r="V13" s="92"/>
      <x:c r="W13" s="85" t="str">
        <x:f>IF(B13="","",B13&amp;"|"&amp;COUNTIF($B$6:B13,B13))</x:f>
      </x:c>
      <x:c r="X13" s="85" t="str">
        <x:f>IF(B13="","",G13)</x:f>
      </x:c>
      <x:c r="Y13" s="85" t="str">
        <x:f>IF(B13="","",H13)</x:f>
      </x:c>
      <x:c r="Z13" s="85" t="str">
        <x:f>IF(B13="","",I13)</x:f>
      </x:c>
      <x:c r="AA13" s="85" t="str">
        <x:f>IF(B13="","",J13)</x:f>
      </x:c>
      <x:c r="AB13" s="85" t="str">
        <x:f>IF(B13="","",K13)</x:f>
      </x:c>
      <x:c r="AC13" s="85" t="str">
        <x:f>IF(B13="","",L13)</x:f>
      </x:c>
      <x:c r="AD13" s="85" t="str">
        <x:f>IF(B13="","",M13)</x:f>
      </x:c>
      <x:c r="AE13" s="85" t="str">
        <x:f>IF(B13="","",N13)</x:f>
      </x:c>
      <x:c r="AF13" s="85" t="str">
        <x:f>IF(B13="","",O13)</x:f>
      </x:c>
      <x:c r="AG13" s="85" t="str">
        <x:f>IF(B13="","",P13)</x:f>
      </x:c>
      <x:c r="AH13" s="85" t="str">
        <x:f>IF(B13="","",Q13)</x:f>
      </x:c>
      <x:c r="AI13" s="85" t="str">
        <x:f>IF(B13="","",R13)</x:f>
      </x:c>
      <x:c r="AJ13" s="85" t="str">
        <x:f>IF(B13="","",S13)</x:f>
      </x:c>
      <x:c r="AK13" s="85" t="str">
        <x:f>IF(B13="","",T13)</x:f>
      </x:c>
    </x:row>
    <x:row r="14">
      <x:c r="A14" s="94" t="str">
        <x:f>IF(OR(B14="",G14=""),"",B14&amp;"|"&amp;G14)</x:f>
      </x:c>
      <x:c r="B14" s="92"/>
      <x:c r="C14" s="94" t="str">
        <x:f>IFERROR(VLOOKUP(B14,'01 Staff Master'!$A$6:$M$105,2,FALSE),"")</x:f>
      </x:c>
      <x:c r="D14" s="94" t="str">
        <x:f>IFERROR(VLOOKUP(B14,'01 Staff Master'!$A$6:$M$105,3,FALSE),"")</x:f>
      </x:c>
      <x:c r="E14" s="94" t="str">
        <x:f>IFERROR(VLOOKUP(B14,'01 Staff Master'!$A$6:$M$105,5,FALSE),"")</x:f>
      </x:c>
      <x:c r="F14" s="94" t="str">
        <x:f>IFERROR(VLOOKUP(B14,'01 Staff Master'!$A$6:$M$105,4,FALSE),"")</x:f>
      </x:c>
      <x:c r="G14" s="92"/>
      <x:c r="H14" s="94" t="str">
        <x:f>IFERROR(VLOOKUP(G14,'02 Skill Catalogue'!$A$6:$K$95,4,FALSE),"")</x:f>
      </x:c>
      <x:c r="I14" s="94" t="str">
        <x:f>IFERROR(VLOOKUP(D14&amp;"|"&amp;E14&amp;"|"&amp;G14,'03 Position Requirements'!$A$6:$R$285,8,FALSE),"")</x:f>
      </x:c>
      <x:c r="J14" s="94" t="str">
        <x:f>IFERROR(VLOOKUP(D14&amp;"|"&amp;E14&amp;"|"&amp;G14,'03 Position Requirements'!$A$6:$R$285,10,FALSE),"")</x:f>
      </x:c>
      <x:c r="K14" s="94" t="str">
        <x:f>IF(OR(B14="",G14=""),"",IF(COUNTIFS('04 Assessment Log'!$D$6:$D$155,B14,'04 Assessment Log'!$J$6:$J$155,G14,'04 Assessment Log'!$AA$6:$AA$155,"Yes")=0,"",SUMIFS('04 Assessment Log'!$O$6:$O$155,'04 Assessment Log'!$D$6:$D$155,B14,'04 Assessment Log'!$J$6:$J$155,G14,'04 Assessment Log'!$AA$6:$AA$155,"Yes")))</x:f>
      </x:c>
      <x:c r="L14" s="94" t="str">
        <x:f>IF(OR(J14="",K14=""),"",MAX(J14-K14,0))</x:f>
      </x:c>
      <x:c r="M14" s="102" t="str">
        <x:f>IF(COUNTIFS('04 Assessment Log'!$D$6:$D$155,B14,'04 Assessment Log'!$J$6:$J$155,G14,'04 Assessment Log'!$AA$6:$AA$155,"Yes")=0,"",SUMIFS('04 Assessment Log'!$B$6:$B$155,'04 Assessment Log'!$D$6:$D$155,B14,'04 Assessment Log'!$J$6:$J$155,G14,'04 Assessment Log'!$AA$6:$AA$155,"Yes"))</x:f>
      </x:c>
      <x:c r="N14" s="102" t="str">
        <x:f>IF(M14="","",SUMIFS('04 Assessment Log'!$Z$6:$Z$155,'04 Assessment Log'!$D$6:$D$155,B14,'04 Assessment Log'!$J$6:$J$155,G14,'04 Assessment Log'!$AA$6:$AA$155,"Yes"))</x:f>
      </x:c>
      <x:c r="O14" s="94" t="str">
        <x:f>IF(M14="","Not Assessed",IF(N14&lt;TODAY(),"Expired",IF(N14&lt;=TODAY()+30,"Due Soon","Current")))</x:f>
        <x:v>Not Assessed</x:v>
      </x:c>
      <x:c r="P14" s="94" t="str">
        <x:f>IF(OR(B14="",G14=""),"",COUNTIFS('05 Development Actions'!$C$6:$C$105,B14,'05 Development Actions'!$G$6:$G$105,G14,'05 Development Actions'!$A$6:$A$105,"&lt;&gt;",'05 Development Actions'!$AB$6:$AB$105,"&lt;&gt;Closed — Competent",'05 Development Actions'!$AB$6:$AB$105,"&lt;&gt;Cancelled"))</x:f>
      </x:c>
      <x:c r="Q14" s="94" t="str">
        <x:f>IF(OR(B14="",G14=""),"",COUNTIFS('11 Training Attendance'!$E$6:$E$155,B14,'11 Training Attendance'!$K$6:$K$155,"Attended",'11 Training Attendance'!$I$6:$I$155,G14))</x:f>
      </x:c>
      <x:c r="R14" s="102" t="str">
        <x:f>IF(Q14=0,"",MAXIFS('11 Training Attendance'!$D$6:$D$155,'11 Training Attendance'!$E$6:$E$155,B14,'11 Training Attendance'!$K$6:$K$155,"Attended",'11 Training Attendance'!$I$6:$I$155,G14))</x:f>
      </x:c>
      <x:c r="S14" s="94" t="str">
        <x:f>IF(OR(B14="",G14=""),"",COUNTIFS('13 Effectiveness Review'!$C$6:$C$155,B14,'13 Effectiveness Review'!$F$6:$F$155,G14,'13 Effectiveness Review'!$X$6:$X$155,"Closed — Effective"))</x:f>
      </x:c>
      <x:c r="T14" s="94" t="str">
        <x:f>IF(B14="","",IF(K14="","Not Assessed",IF(O14="Expired","Renewal Due",IF(L14=0,"Competent","Skill Gap"))))</x:f>
      </x:c>
      <x:c r="U14" s="94" t="str">
        <x:f>IFERROR(VLOOKUP(D14&amp;"|"&amp;E14&amp;"|"&amp;G14,'03 Position Requirements'!$A$6:$R$285,14,FALSE),"")</x:f>
      </x:c>
      <x:c r="V14" s="92"/>
      <x:c r="W14" s="85" t="str">
        <x:f>IF(B14="","",B14&amp;"|"&amp;COUNTIF($B$6:B14,B14))</x:f>
      </x:c>
      <x:c r="X14" s="85" t="str">
        <x:f>IF(B14="","",G14)</x:f>
      </x:c>
      <x:c r="Y14" s="85" t="str">
        <x:f>IF(B14="","",H14)</x:f>
      </x:c>
      <x:c r="Z14" s="85" t="str">
        <x:f>IF(B14="","",I14)</x:f>
      </x:c>
      <x:c r="AA14" s="85" t="str">
        <x:f>IF(B14="","",J14)</x:f>
      </x:c>
      <x:c r="AB14" s="85" t="str">
        <x:f>IF(B14="","",K14)</x:f>
      </x:c>
      <x:c r="AC14" s="85" t="str">
        <x:f>IF(B14="","",L14)</x:f>
      </x:c>
      <x:c r="AD14" s="85" t="str">
        <x:f>IF(B14="","",M14)</x:f>
      </x:c>
      <x:c r="AE14" s="85" t="str">
        <x:f>IF(B14="","",N14)</x:f>
      </x:c>
      <x:c r="AF14" s="85" t="str">
        <x:f>IF(B14="","",O14)</x:f>
      </x:c>
      <x:c r="AG14" s="85" t="str">
        <x:f>IF(B14="","",P14)</x:f>
      </x:c>
      <x:c r="AH14" s="85" t="str">
        <x:f>IF(B14="","",Q14)</x:f>
      </x:c>
      <x:c r="AI14" s="85" t="str">
        <x:f>IF(B14="","",R14)</x:f>
      </x:c>
      <x:c r="AJ14" s="85" t="str">
        <x:f>IF(B14="","",S14)</x:f>
      </x:c>
      <x:c r="AK14" s="85" t="str">
        <x:f>IF(B14="","",T14)</x:f>
      </x:c>
    </x:row>
    <x:row r="15">
      <x:c r="A15" s="94" t="str">
        <x:f>IF(OR(B15="",G15=""),"",B15&amp;"|"&amp;G15)</x:f>
      </x:c>
      <x:c r="B15" s="92"/>
      <x:c r="C15" s="94" t="str">
        <x:f>IFERROR(VLOOKUP(B15,'01 Staff Master'!$A$6:$M$105,2,FALSE),"")</x:f>
      </x:c>
      <x:c r="D15" s="94" t="str">
        <x:f>IFERROR(VLOOKUP(B15,'01 Staff Master'!$A$6:$M$105,3,FALSE),"")</x:f>
      </x:c>
      <x:c r="E15" s="94" t="str">
        <x:f>IFERROR(VLOOKUP(B15,'01 Staff Master'!$A$6:$M$105,5,FALSE),"")</x:f>
      </x:c>
      <x:c r="F15" s="94" t="str">
        <x:f>IFERROR(VLOOKUP(B15,'01 Staff Master'!$A$6:$M$105,4,FALSE),"")</x:f>
      </x:c>
      <x:c r="G15" s="92"/>
      <x:c r="H15" s="94" t="str">
        <x:f>IFERROR(VLOOKUP(G15,'02 Skill Catalogue'!$A$6:$K$95,4,FALSE),"")</x:f>
      </x:c>
      <x:c r="I15" s="94" t="str">
        <x:f>IFERROR(VLOOKUP(D15&amp;"|"&amp;E15&amp;"|"&amp;G15,'03 Position Requirements'!$A$6:$R$285,8,FALSE),"")</x:f>
      </x:c>
      <x:c r="J15" s="94" t="str">
        <x:f>IFERROR(VLOOKUP(D15&amp;"|"&amp;E15&amp;"|"&amp;G15,'03 Position Requirements'!$A$6:$R$285,10,FALSE),"")</x:f>
      </x:c>
      <x:c r="K15" s="94" t="str">
        <x:f>IF(OR(B15="",G15=""),"",IF(COUNTIFS('04 Assessment Log'!$D$6:$D$155,B15,'04 Assessment Log'!$J$6:$J$155,G15,'04 Assessment Log'!$AA$6:$AA$155,"Yes")=0,"",SUMIFS('04 Assessment Log'!$O$6:$O$155,'04 Assessment Log'!$D$6:$D$155,B15,'04 Assessment Log'!$J$6:$J$155,G15,'04 Assessment Log'!$AA$6:$AA$155,"Yes")))</x:f>
      </x:c>
      <x:c r="L15" s="94" t="str">
        <x:f>IF(OR(J15="",K15=""),"",MAX(J15-K15,0))</x:f>
      </x:c>
      <x:c r="M15" s="102" t="str">
        <x:f>IF(COUNTIFS('04 Assessment Log'!$D$6:$D$155,B15,'04 Assessment Log'!$J$6:$J$155,G15,'04 Assessment Log'!$AA$6:$AA$155,"Yes")=0,"",SUMIFS('04 Assessment Log'!$B$6:$B$155,'04 Assessment Log'!$D$6:$D$155,B15,'04 Assessment Log'!$J$6:$J$155,G15,'04 Assessment Log'!$AA$6:$AA$155,"Yes"))</x:f>
      </x:c>
      <x:c r="N15" s="102" t="str">
        <x:f>IF(M15="","",SUMIFS('04 Assessment Log'!$Z$6:$Z$155,'04 Assessment Log'!$D$6:$D$155,B15,'04 Assessment Log'!$J$6:$J$155,G15,'04 Assessment Log'!$AA$6:$AA$155,"Yes"))</x:f>
      </x:c>
      <x:c r="O15" s="94" t="str">
        <x:f>IF(M15="","Not Assessed",IF(N15&lt;TODAY(),"Expired",IF(N15&lt;=TODAY()+30,"Due Soon","Current")))</x:f>
        <x:v>Not Assessed</x:v>
      </x:c>
      <x:c r="P15" s="94" t="str">
        <x:f>IF(OR(B15="",G15=""),"",COUNTIFS('05 Development Actions'!$C$6:$C$105,B15,'05 Development Actions'!$G$6:$G$105,G15,'05 Development Actions'!$A$6:$A$105,"&lt;&gt;",'05 Development Actions'!$AB$6:$AB$105,"&lt;&gt;Closed — Competent",'05 Development Actions'!$AB$6:$AB$105,"&lt;&gt;Cancelled"))</x:f>
      </x:c>
      <x:c r="Q15" s="94" t="str">
        <x:f>IF(OR(B15="",G15=""),"",COUNTIFS('11 Training Attendance'!$E$6:$E$155,B15,'11 Training Attendance'!$K$6:$K$155,"Attended",'11 Training Attendance'!$I$6:$I$155,G15))</x:f>
      </x:c>
      <x:c r="R15" s="102" t="str">
        <x:f>IF(Q15=0,"",MAXIFS('11 Training Attendance'!$D$6:$D$155,'11 Training Attendance'!$E$6:$E$155,B15,'11 Training Attendance'!$K$6:$K$155,"Attended",'11 Training Attendance'!$I$6:$I$155,G15))</x:f>
      </x:c>
      <x:c r="S15" s="94" t="str">
        <x:f>IF(OR(B15="",G15=""),"",COUNTIFS('13 Effectiveness Review'!$C$6:$C$155,B15,'13 Effectiveness Review'!$F$6:$F$155,G15,'13 Effectiveness Review'!$X$6:$X$155,"Closed — Effective"))</x:f>
      </x:c>
      <x:c r="T15" s="94" t="str">
        <x:f>IF(B15="","",IF(K15="","Not Assessed",IF(O15="Expired","Renewal Due",IF(L15=0,"Competent","Skill Gap"))))</x:f>
      </x:c>
      <x:c r="U15" s="94" t="str">
        <x:f>IFERROR(VLOOKUP(D15&amp;"|"&amp;E15&amp;"|"&amp;G15,'03 Position Requirements'!$A$6:$R$285,14,FALSE),"")</x:f>
      </x:c>
      <x:c r="V15" s="92"/>
      <x:c r="W15" s="85" t="str">
        <x:f>IF(B15="","",B15&amp;"|"&amp;COUNTIF($B$6:B15,B15))</x:f>
      </x:c>
      <x:c r="X15" s="85" t="str">
        <x:f>IF(B15="","",G15)</x:f>
      </x:c>
      <x:c r="Y15" s="85" t="str">
        <x:f>IF(B15="","",H15)</x:f>
      </x:c>
      <x:c r="Z15" s="85" t="str">
        <x:f>IF(B15="","",I15)</x:f>
      </x:c>
      <x:c r="AA15" s="85" t="str">
        <x:f>IF(B15="","",J15)</x:f>
      </x:c>
      <x:c r="AB15" s="85" t="str">
        <x:f>IF(B15="","",K15)</x:f>
      </x:c>
      <x:c r="AC15" s="85" t="str">
        <x:f>IF(B15="","",L15)</x:f>
      </x:c>
      <x:c r="AD15" s="85" t="str">
        <x:f>IF(B15="","",M15)</x:f>
      </x:c>
      <x:c r="AE15" s="85" t="str">
        <x:f>IF(B15="","",N15)</x:f>
      </x:c>
      <x:c r="AF15" s="85" t="str">
        <x:f>IF(B15="","",O15)</x:f>
      </x:c>
      <x:c r="AG15" s="85" t="str">
        <x:f>IF(B15="","",P15)</x:f>
      </x:c>
      <x:c r="AH15" s="85" t="str">
        <x:f>IF(B15="","",Q15)</x:f>
      </x:c>
      <x:c r="AI15" s="85" t="str">
        <x:f>IF(B15="","",R15)</x:f>
      </x:c>
      <x:c r="AJ15" s="85" t="str">
        <x:f>IF(B15="","",S15)</x:f>
      </x:c>
      <x:c r="AK15" s="85" t="str">
        <x:f>IF(B15="","",T15)</x:f>
      </x:c>
    </x:row>
    <x:row r="16">
      <x:c r="A16" s="94" t="str">
        <x:f>IF(OR(B16="",G16=""),"",B16&amp;"|"&amp;G16)</x:f>
      </x:c>
      <x:c r="B16" s="92"/>
      <x:c r="C16" s="94" t="str">
        <x:f>IFERROR(VLOOKUP(B16,'01 Staff Master'!$A$6:$M$105,2,FALSE),"")</x:f>
      </x:c>
      <x:c r="D16" s="94" t="str">
        <x:f>IFERROR(VLOOKUP(B16,'01 Staff Master'!$A$6:$M$105,3,FALSE),"")</x:f>
      </x:c>
      <x:c r="E16" s="94" t="str">
        <x:f>IFERROR(VLOOKUP(B16,'01 Staff Master'!$A$6:$M$105,5,FALSE),"")</x:f>
      </x:c>
      <x:c r="F16" s="94" t="str">
        <x:f>IFERROR(VLOOKUP(B16,'01 Staff Master'!$A$6:$M$105,4,FALSE),"")</x:f>
      </x:c>
      <x:c r="G16" s="92"/>
      <x:c r="H16" s="94" t="str">
        <x:f>IFERROR(VLOOKUP(G16,'02 Skill Catalogue'!$A$6:$K$95,4,FALSE),"")</x:f>
      </x:c>
      <x:c r="I16" s="94" t="str">
        <x:f>IFERROR(VLOOKUP(D16&amp;"|"&amp;E16&amp;"|"&amp;G16,'03 Position Requirements'!$A$6:$R$285,8,FALSE),"")</x:f>
      </x:c>
      <x:c r="J16" s="94" t="str">
        <x:f>IFERROR(VLOOKUP(D16&amp;"|"&amp;E16&amp;"|"&amp;G16,'03 Position Requirements'!$A$6:$R$285,10,FALSE),"")</x:f>
      </x:c>
      <x:c r="K16" s="94" t="str">
        <x:f>IF(OR(B16="",G16=""),"",IF(COUNTIFS('04 Assessment Log'!$D$6:$D$155,B16,'04 Assessment Log'!$J$6:$J$155,G16,'04 Assessment Log'!$AA$6:$AA$155,"Yes")=0,"",SUMIFS('04 Assessment Log'!$O$6:$O$155,'04 Assessment Log'!$D$6:$D$155,B16,'04 Assessment Log'!$J$6:$J$155,G16,'04 Assessment Log'!$AA$6:$AA$155,"Yes")))</x:f>
      </x:c>
      <x:c r="L16" s="94" t="str">
        <x:f>IF(OR(J16="",K16=""),"",MAX(J16-K16,0))</x:f>
      </x:c>
      <x:c r="M16" s="102" t="str">
        <x:f>IF(COUNTIFS('04 Assessment Log'!$D$6:$D$155,B16,'04 Assessment Log'!$J$6:$J$155,G16,'04 Assessment Log'!$AA$6:$AA$155,"Yes")=0,"",SUMIFS('04 Assessment Log'!$B$6:$B$155,'04 Assessment Log'!$D$6:$D$155,B16,'04 Assessment Log'!$J$6:$J$155,G16,'04 Assessment Log'!$AA$6:$AA$155,"Yes"))</x:f>
      </x:c>
      <x:c r="N16" s="102" t="str">
        <x:f>IF(M16="","",SUMIFS('04 Assessment Log'!$Z$6:$Z$155,'04 Assessment Log'!$D$6:$D$155,B16,'04 Assessment Log'!$J$6:$J$155,G16,'04 Assessment Log'!$AA$6:$AA$155,"Yes"))</x:f>
      </x:c>
      <x:c r="O16" s="94" t="str">
        <x:f>IF(M16="","Not Assessed",IF(N16&lt;TODAY(),"Expired",IF(N16&lt;=TODAY()+30,"Due Soon","Current")))</x:f>
        <x:v>Not Assessed</x:v>
      </x:c>
      <x:c r="P16" s="94" t="str">
        <x:f>IF(OR(B16="",G16=""),"",COUNTIFS('05 Development Actions'!$C$6:$C$105,B16,'05 Development Actions'!$G$6:$G$105,G16,'05 Development Actions'!$A$6:$A$105,"&lt;&gt;",'05 Development Actions'!$AB$6:$AB$105,"&lt;&gt;Closed — Competent",'05 Development Actions'!$AB$6:$AB$105,"&lt;&gt;Cancelled"))</x:f>
      </x:c>
      <x:c r="Q16" s="94" t="str">
        <x:f>IF(OR(B16="",G16=""),"",COUNTIFS('11 Training Attendance'!$E$6:$E$155,B16,'11 Training Attendance'!$K$6:$K$155,"Attended",'11 Training Attendance'!$I$6:$I$155,G16))</x:f>
      </x:c>
      <x:c r="R16" s="102" t="str">
        <x:f>IF(Q16=0,"",MAXIFS('11 Training Attendance'!$D$6:$D$155,'11 Training Attendance'!$E$6:$E$155,B16,'11 Training Attendance'!$K$6:$K$155,"Attended",'11 Training Attendance'!$I$6:$I$155,G16))</x:f>
      </x:c>
      <x:c r="S16" s="94" t="str">
        <x:f>IF(OR(B16="",G16=""),"",COUNTIFS('13 Effectiveness Review'!$C$6:$C$155,B16,'13 Effectiveness Review'!$F$6:$F$155,G16,'13 Effectiveness Review'!$X$6:$X$155,"Closed — Effective"))</x:f>
      </x:c>
      <x:c r="T16" s="94" t="str">
        <x:f>IF(B16="","",IF(K16="","Not Assessed",IF(O16="Expired","Renewal Due",IF(L16=0,"Competent","Skill Gap"))))</x:f>
      </x:c>
      <x:c r="U16" s="94" t="str">
        <x:f>IFERROR(VLOOKUP(D16&amp;"|"&amp;E16&amp;"|"&amp;G16,'03 Position Requirements'!$A$6:$R$285,14,FALSE),"")</x:f>
      </x:c>
      <x:c r="V16" s="92"/>
      <x:c r="W16" s="85" t="str">
        <x:f>IF(B16="","",B16&amp;"|"&amp;COUNTIF($B$6:B16,B16))</x:f>
      </x:c>
      <x:c r="X16" s="85" t="str">
        <x:f>IF(B16="","",G16)</x:f>
      </x:c>
      <x:c r="Y16" s="85" t="str">
        <x:f>IF(B16="","",H16)</x:f>
      </x:c>
      <x:c r="Z16" s="85" t="str">
        <x:f>IF(B16="","",I16)</x:f>
      </x:c>
      <x:c r="AA16" s="85" t="str">
        <x:f>IF(B16="","",J16)</x:f>
      </x:c>
      <x:c r="AB16" s="85" t="str">
        <x:f>IF(B16="","",K16)</x:f>
      </x:c>
      <x:c r="AC16" s="85" t="str">
        <x:f>IF(B16="","",L16)</x:f>
      </x:c>
      <x:c r="AD16" s="85" t="str">
        <x:f>IF(B16="","",M16)</x:f>
      </x:c>
      <x:c r="AE16" s="85" t="str">
        <x:f>IF(B16="","",N16)</x:f>
      </x:c>
      <x:c r="AF16" s="85" t="str">
        <x:f>IF(B16="","",O16)</x:f>
      </x:c>
      <x:c r="AG16" s="85" t="str">
        <x:f>IF(B16="","",P16)</x:f>
      </x:c>
      <x:c r="AH16" s="85" t="str">
        <x:f>IF(B16="","",Q16)</x:f>
      </x:c>
      <x:c r="AI16" s="85" t="str">
        <x:f>IF(B16="","",R16)</x:f>
      </x:c>
      <x:c r="AJ16" s="85" t="str">
        <x:f>IF(B16="","",S16)</x:f>
      </x:c>
      <x:c r="AK16" s="85" t="str">
        <x:f>IF(B16="","",T16)</x:f>
      </x:c>
    </x:row>
    <x:row r="17">
      <x:c r="A17" s="94" t="str">
        <x:f>IF(OR(B17="",G17=""),"",B17&amp;"|"&amp;G17)</x:f>
      </x:c>
      <x:c r="B17" s="92"/>
      <x:c r="C17" s="94" t="str">
        <x:f>IFERROR(VLOOKUP(B17,'01 Staff Master'!$A$6:$M$105,2,FALSE),"")</x:f>
      </x:c>
      <x:c r="D17" s="94" t="str">
        <x:f>IFERROR(VLOOKUP(B17,'01 Staff Master'!$A$6:$M$105,3,FALSE),"")</x:f>
      </x:c>
      <x:c r="E17" s="94" t="str">
        <x:f>IFERROR(VLOOKUP(B17,'01 Staff Master'!$A$6:$M$105,5,FALSE),"")</x:f>
      </x:c>
      <x:c r="F17" s="94" t="str">
        <x:f>IFERROR(VLOOKUP(B17,'01 Staff Master'!$A$6:$M$105,4,FALSE),"")</x:f>
      </x:c>
      <x:c r="G17" s="92"/>
      <x:c r="H17" s="94" t="str">
        <x:f>IFERROR(VLOOKUP(G17,'02 Skill Catalogue'!$A$6:$K$95,4,FALSE),"")</x:f>
      </x:c>
      <x:c r="I17" s="94" t="str">
        <x:f>IFERROR(VLOOKUP(D17&amp;"|"&amp;E17&amp;"|"&amp;G17,'03 Position Requirements'!$A$6:$R$285,8,FALSE),"")</x:f>
      </x:c>
      <x:c r="J17" s="94" t="str">
        <x:f>IFERROR(VLOOKUP(D17&amp;"|"&amp;E17&amp;"|"&amp;G17,'03 Position Requirements'!$A$6:$R$285,10,FALSE),"")</x:f>
      </x:c>
      <x:c r="K17" s="94" t="str">
        <x:f>IF(OR(B17="",G17=""),"",IF(COUNTIFS('04 Assessment Log'!$D$6:$D$155,B17,'04 Assessment Log'!$J$6:$J$155,G17,'04 Assessment Log'!$AA$6:$AA$155,"Yes")=0,"",SUMIFS('04 Assessment Log'!$O$6:$O$155,'04 Assessment Log'!$D$6:$D$155,B17,'04 Assessment Log'!$J$6:$J$155,G17,'04 Assessment Log'!$AA$6:$AA$155,"Yes")))</x:f>
      </x:c>
      <x:c r="L17" s="94" t="str">
        <x:f>IF(OR(J17="",K17=""),"",MAX(J17-K17,0))</x:f>
      </x:c>
      <x:c r="M17" s="102" t="str">
        <x:f>IF(COUNTIFS('04 Assessment Log'!$D$6:$D$155,B17,'04 Assessment Log'!$J$6:$J$155,G17,'04 Assessment Log'!$AA$6:$AA$155,"Yes")=0,"",SUMIFS('04 Assessment Log'!$B$6:$B$155,'04 Assessment Log'!$D$6:$D$155,B17,'04 Assessment Log'!$J$6:$J$155,G17,'04 Assessment Log'!$AA$6:$AA$155,"Yes"))</x:f>
      </x:c>
      <x:c r="N17" s="102" t="str">
        <x:f>IF(M17="","",SUMIFS('04 Assessment Log'!$Z$6:$Z$155,'04 Assessment Log'!$D$6:$D$155,B17,'04 Assessment Log'!$J$6:$J$155,G17,'04 Assessment Log'!$AA$6:$AA$155,"Yes"))</x:f>
      </x:c>
      <x:c r="O17" s="94" t="str">
        <x:f>IF(M17="","Not Assessed",IF(N17&lt;TODAY(),"Expired",IF(N17&lt;=TODAY()+30,"Due Soon","Current")))</x:f>
        <x:v>Not Assessed</x:v>
      </x:c>
      <x:c r="P17" s="94" t="str">
        <x:f>IF(OR(B17="",G17=""),"",COUNTIFS('05 Development Actions'!$C$6:$C$105,B17,'05 Development Actions'!$G$6:$G$105,G17,'05 Development Actions'!$A$6:$A$105,"&lt;&gt;",'05 Development Actions'!$AB$6:$AB$105,"&lt;&gt;Closed — Competent",'05 Development Actions'!$AB$6:$AB$105,"&lt;&gt;Cancelled"))</x:f>
      </x:c>
      <x:c r="Q17" s="94" t="str">
        <x:f>IF(OR(B17="",G17=""),"",COUNTIFS('11 Training Attendance'!$E$6:$E$155,B17,'11 Training Attendance'!$K$6:$K$155,"Attended",'11 Training Attendance'!$I$6:$I$155,G17))</x:f>
      </x:c>
      <x:c r="R17" s="102" t="str">
        <x:f>IF(Q17=0,"",MAXIFS('11 Training Attendance'!$D$6:$D$155,'11 Training Attendance'!$E$6:$E$155,B17,'11 Training Attendance'!$K$6:$K$155,"Attended",'11 Training Attendance'!$I$6:$I$155,G17))</x:f>
      </x:c>
      <x:c r="S17" s="94" t="str">
        <x:f>IF(OR(B17="",G17=""),"",COUNTIFS('13 Effectiveness Review'!$C$6:$C$155,B17,'13 Effectiveness Review'!$F$6:$F$155,G17,'13 Effectiveness Review'!$X$6:$X$155,"Closed — Effective"))</x:f>
      </x:c>
      <x:c r="T17" s="94" t="str">
        <x:f>IF(B17="","",IF(K17="","Not Assessed",IF(O17="Expired","Renewal Due",IF(L17=0,"Competent","Skill Gap"))))</x:f>
      </x:c>
      <x:c r="U17" s="94" t="str">
        <x:f>IFERROR(VLOOKUP(D17&amp;"|"&amp;E17&amp;"|"&amp;G17,'03 Position Requirements'!$A$6:$R$285,14,FALSE),"")</x:f>
      </x:c>
      <x:c r="V17" s="92"/>
      <x:c r="W17" s="85" t="str">
        <x:f>IF(B17="","",B17&amp;"|"&amp;COUNTIF($B$6:B17,B17))</x:f>
      </x:c>
      <x:c r="X17" s="85" t="str">
        <x:f>IF(B17="","",G17)</x:f>
      </x:c>
      <x:c r="Y17" s="85" t="str">
        <x:f>IF(B17="","",H17)</x:f>
      </x:c>
      <x:c r="Z17" s="85" t="str">
        <x:f>IF(B17="","",I17)</x:f>
      </x:c>
      <x:c r="AA17" s="85" t="str">
        <x:f>IF(B17="","",J17)</x:f>
      </x:c>
      <x:c r="AB17" s="85" t="str">
        <x:f>IF(B17="","",K17)</x:f>
      </x:c>
      <x:c r="AC17" s="85" t="str">
        <x:f>IF(B17="","",L17)</x:f>
      </x:c>
      <x:c r="AD17" s="85" t="str">
        <x:f>IF(B17="","",M17)</x:f>
      </x:c>
      <x:c r="AE17" s="85" t="str">
        <x:f>IF(B17="","",N17)</x:f>
      </x:c>
      <x:c r="AF17" s="85" t="str">
        <x:f>IF(B17="","",O17)</x:f>
      </x:c>
      <x:c r="AG17" s="85" t="str">
        <x:f>IF(B17="","",P17)</x:f>
      </x:c>
      <x:c r="AH17" s="85" t="str">
        <x:f>IF(B17="","",Q17)</x:f>
      </x:c>
      <x:c r="AI17" s="85" t="str">
        <x:f>IF(B17="","",R17)</x:f>
      </x:c>
      <x:c r="AJ17" s="85" t="str">
        <x:f>IF(B17="","",S17)</x:f>
      </x:c>
      <x:c r="AK17" s="85" t="str">
        <x:f>IF(B17="","",T17)</x:f>
      </x:c>
    </x:row>
    <x:row r="18">
      <x:c r="A18" s="94" t="str">
        <x:f>IF(OR(B18="",G18=""),"",B18&amp;"|"&amp;G18)</x:f>
      </x:c>
      <x:c r="B18" s="92"/>
      <x:c r="C18" s="94" t="str">
        <x:f>IFERROR(VLOOKUP(B18,'01 Staff Master'!$A$6:$M$105,2,FALSE),"")</x:f>
      </x:c>
      <x:c r="D18" s="94" t="str">
        <x:f>IFERROR(VLOOKUP(B18,'01 Staff Master'!$A$6:$M$105,3,FALSE),"")</x:f>
      </x:c>
      <x:c r="E18" s="94" t="str">
        <x:f>IFERROR(VLOOKUP(B18,'01 Staff Master'!$A$6:$M$105,5,FALSE),"")</x:f>
      </x:c>
      <x:c r="F18" s="94" t="str">
        <x:f>IFERROR(VLOOKUP(B18,'01 Staff Master'!$A$6:$M$105,4,FALSE),"")</x:f>
      </x:c>
      <x:c r="G18" s="92"/>
      <x:c r="H18" s="94" t="str">
        <x:f>IFERROR(VLOOKUP(G18,'02 Skill Catalogue'!$A$6:$K$95,4,FALSE),"")</x:f>
      </x:c>
      <x:c r="I18" s="94" t="str">
        <x:f>IFERROR(VLOOKUP(D18&amp;"|"&amp;E18&amp;"|"&amp;G18,'03 Position Requirements'!$A$6:$R$285,8,FALSE),"")</x:f>
      </x:c>
      <x:c r="J18" s="94" t="str">
        <x:f>IFERROR(VLOOKUP(D18&amp;"|"&amp;E18&amp;"|"&amp;G18,'03 Position Requirements'!$A$6:$R$285,10,FALSE),"")</x:f>
      </x:c>
      <x:c r="K18" s="94" t="str">
        <x:f>IF(OR(B18="",G18=""),"",IF(COUNTIFS('04 Assessment Log'!$D$6:$D$155,B18,'04 Assessment Log'!$J$6:$J$155,G18,'04 Assessment Log'!$AA$6:$AA$155,"Yes")=0,"",SUMIFS('04 Assessment Log'!$O$6:$O$155,'04 Assessment Log'!$D$6:$D$155,B18,'04 Assessment Log'!$J$6:$J$155,G18,'04 Assessment Log'!$AA$6:$AA$155,"Yes")))</x:f>
      </x:c>
      <x:c r="L18" s="94" t="str">
        <x:f>IF(OR(J18="",K18=""),"",MAX(J18-K18,0))</x:f>
      </x:c>
      <x:c r="M18" s="102" t="str">
        <x:f>IF(COUNTIFS('04 Assessment Log'!$D$6:$D$155,B18,'04 Assessment Log'!$J$6:$J$155,G18,'04 Assessment Log'!$AA$6:$AA$155,"Yes")=0,"",SUMIFS('04 Assessment Log'!$B$6:$B$155,'04 Assessment Log'!$D$6:$D$155,B18,'04 Assessment Log'!$J$6:$J$155,G18,'04 Assessment Log'!$AA$6:$AA$155,"Yes"))</x:f>
      </x:c>
      <x:c r="N18" s="102" t="str">
        <x:f>IF(M18="","",SUMIFS('04 Assessment Log'!$Z$6:$Z$155,'04 Assessment Log'!$D$6:$D$155,B18,'04 Assessment Log'!$J$6:$J$155,G18,'04 Assessment Log'!$AA$6:$AA$155,"Yes"))</x:f>
      </x:c>
      <x:c r="O18" s="94" t="str">
        <x:f>IF(M18="","Not Assessed",IF(N18&lt;TODAY(),"Expired",IF(N18&lt;=TODAY()+30,"Due Soon","Current")))</x:f>
        <x:v>Not Assessed</x:v>
      </x:c>
      <x:c r="P18" s="94" t="str">
        <x:f>IF(OR(B18="",G18=""),"",COUNTIFS('05 Development Actions'!$C$6:$C$105,B18,'05 Development Actions'!$G$6:$G$105,G18,'05 Development Actions'!$A$6:$A$105,"&lt;&gt;",'05 Development Actions'!$AB$6:$AB$105,"&lt;&gt;Closed — Competent",'05 Development Actions'!$AB$6:$AB$105,"&lt;&gt;Cancelled"))</x:f>
      </x:c>
      <x:c r="Q18" s="94" t="str">
        <x:f>IF(OR(B18="",G18=""),"",COUNTIFS('11 Training Attendance'!$E$6:$E$155,B18,'11 Training Attendance'!$K$6:$K$155,"Attended",'11 Training Attendance'!$I$6:$I$155,G18))</x:f>
      </x:c>
      <x:c r="R18" s="102" t="str">
        <x:f>IF(Q18=0,"",MAXIFS('11 Training Attendance'!$D$6:$D$155,'11 Training Attendance'!$E$6:$E$155,B18,'11 Training Attendance'!$K$6:$K$155,"Attended",'11 Training Attendance'!$I$6:$I$155,G18))</x:f>
      </x:c>
      <x:c r="S18" s="94" t="str">
        <x:f>IF(OR(B18="",G18=""),"",COUNTIFS('13 Effectiveness Review'!$C$6:$C$155,B18,'13 Effectiveness Review'!$F$6:$F$155,G18,'13 Effectiveness Review'!$X$6:$X$155,"Closed — Effective"))</x:f>
      </x:c>
      <x:c r="T18" s="94" t="str">
        <x:f>IF(B18="","",IF(K18="","Not Assessed",IF(O18="Expired","Renewal Due",IF(L18=0,"Competent","Skill Gap"))))</x:f>
      </x:c>
      <x:c r="U18" s="94" t="str">
        <x:f>IFERROR(VLOOKUP(D18&amp;"|"&amp;E18&amp;"|"&amp;G18,'03 Position Requirements'!$A$6:$R$285,14,FALSE),"")</x:f>
      </x:c>
      <x:c r="V18" s="92"/>
      <x:c r="W18" s="85" t="str">
        <x:f>IF(B18="","",B18&amp;"|"&amp;COUNTIF($B$6:B18,B18))</x:f>
      </x:c>
      <x:c r="X18" s="85" t="str">
        <x:f>IF(B18="","",G18)</x:f>
      </x:c>
      <x:c r="Y18" s="85" t="str">
        <x:f>IF(B18="","",H18)</x:f>
      </x:c>
      <x:c r="Z18" s="85" t="str">
        <x:f>IF(B18="","",I18)</x:f>
      </x:c>
      <x:c r="AA18" s="85" t="str">
        <x:f>IF(B18="","",J18)</x:f>
      </x:c>
      <x:c r="AB18" s="85" t="str">
        <x:f>IF(B18="","",K18)</x:f>
      </x:c>
      <x:c r="AC18" s="85" t="str">
        <x:f>IF(B18="","",L18)</x:f>
      </x:c>
      <x:c r="AD18" s="85" t="str">
        <x:f>IF(B18="","",M18)</x:f>
      </x:c>
      <x:c r="AE18" s="85" t="str">
        <x:f>IF(B18="","",N18)</x:f>
      </x:c>
      <x:c r="AF18" s="85" t="str">
        <x:f>IF(B18="","",O18)</x:f>
      </x:c>
      <x:c r="AG18" s="85" t="str">
        <x:f>IF(B18="","",P18)</x:f>
      </x:c>
      <x:c r="AH18" s="85" t="str">
        <x:f>IF(B18="","",Q18)</x:f>
      </x:c>
      <x:c r="AI18" s="85" t="str">
        <x:f>IF(B18="","",R18)</x:f>
      </x:c>
      <x:c r="AJ18" s="85" t="str">
        <x:f>IF(B18="","",S18)</x:f>
      </x:c>
      <x:c r="AK18" s="85" t="str">
        <x:f>IF(B18="","",T18)</x:f>
      </x:c>
    </x:row>
    <x:row r="19">
      <x:c r="A19" s="94" t="str">
        <x:f>IF(OR(B19="",G19=""),"",B19&amp;"|"&amp;G19)</x:f>
      </x:c>
      <x:c r="B19" s="92"/>
      <x:c r="C19" s="94" t="str">
        <x:f>IFERROR(VLOOKUP(B19,'01 Staff Master'!$A$6:$M$105,2,FALSE),"")</x:f>
      </x:c>
      <x:c r="D19" s="94" t="str">
        <x:f>IFERROR(VLOOKUP(B19,'01 Staff Master'!$A$6:$M$105,3,FALSE),"")</x:f>
      </x:c>
      <x:c r="E19" s="94" t="str">
        <x:f>IFERROR(VLOOKUP(B19,'01 Staff Master'!$A$6:$M$105,5,FALSE),"")</x:f>
      </x:c>
      <x:c r="F19" s="94" t="str">
        <x:f>IFERROR(VLOOKUP(B19,'01 Staff Master'!$A$6:$M$105,4,FALSE),"")</x:f>
      </x:c>
      <x:c r="G19" s="92"/>
      <x:c r="H19" s="94" t="str">
        <x:f>IFERROR(VLOOKUP(G19,'02 Skill Catalogue'!$A$6:$K$95,4,FALSE),"")</x:f>
      </x:c>
      <x:c r="I19" s="94" t="str">
        <x:f>IFERROR(VLOOKUP(D19&amp;"|"&amp;E19&amp;"|"&amp;G19,'03 Position Requirements'!$A$6:$R$285,8,FALSE),"")</x:f>
      </x:c>
      <x:c r="J19" s="94" t="str">
        <x:f>IFERROR(VLOOKUP(D19&amp;"|"&amp;E19&amp;"|"&amp;G19,'03 Position Requirements'!$A$6:$R$285,10,FALSE),"")</x:f>
      </x:c>
      <x:c r="K19" s="94" t="str">
        <x:f>IF(OR(B19="",G19=""),"",IF(COUNTIFS('04 Assessment Log'!$D$6:$D$155,B19,'04 Assessment Log'!$J$6:$J$155,G19,'04 Assessment Log'!$AA$6:$AA$155,"Yes")=0,"",SUMIFS('04 Assessment Log'!$O$6:$O$155,'04 Assessment Log'!$D$6:$D$155,B19,'04 Assessment Log'!$J$6:$J$155,G19,'04 Assessment Log'!$AA$6:$AA$155,"Yes")))</x:f>
      </x:c>
      <x:c r="L19" s="94" t="str">
        <x:f>IF(OR(J19="",K19=""),"",MAX(J19-K19,0))</x:f>
      </x:c>
      <x:c r="M19" s="102" t="str">
        <x:f>IF(COUNTIFS('04 Assessment Log'!$D$6:$D$155,B19,'04 Assessment Log'!$J$6:$J$155,G19,'04 Assessment Log'!$AA$6:$AA$155,"Yes")=0,"",SUMIFS('04 Assessment Log'!$B$6:$B$155,'04 Assessment Log'!$D$6:$D$155,B19,'04 Assessment Log'!$J$6:$J$155,G19,'04 Assessment Log'!$AA$6:$AA$155,"Yes"))</x:f>
      </x:c>
      <x:c r="N19" s="102" t="str">
        <x:f>IF(M19="","",SUMIFS('04 Assessment Log'!$Z$6:$Z$155,'04 Assessment Log'!$D$6:$D$155,B19,'04 Assessment Log'!$J$6:$J$155,G19,'04 Assessment Log'!$AA$6:$AA$155,"Yes"))</x:f>
      </x:c>
      <x:c r="O19" s="94" t="str">
        <x:f>IF(M19="","Not Assessed",IF(N19&lt;TODAY(),"Expired",IF(N19&lt;=TODAY()+30,"Due Soon","Current")))</x:f>
        <x:v>Not Assessed</x:v>
      </x:c>
      <x:c r="P19" s="94" t="str">
        <x:f>IF(OR(B19="",G19=""),"",COUNTIFS('05 Development Actions'!$C$6:$C$105,B19,'05 Development Actions'!$G$6:$G$105,G19,'05 Development Actions'!$A$6:$A$105,"&lt;&gt;",'05 Development Actions'!$AB$6:$AB$105,"&lt;&gt;Closed — Competent",'05 Development Actions'!$AB$6:$AB$105,"&lt;&gt;Cancelled"))</x:f>
      </x:c>
      <x:c r="Q19" s="94" t="str">
        <x:f>IF(OR(B19="",G19=""),"",COUNTIFS('11 Training Attendance'!$E$6:$E$155,B19,'11 Training Attendance'!$K$6:$K$155,"Attended",'11 Training Attendance'!$I$6:$I$155,G19))</x:f>
      </x:c>
      <x:c r="R19" s="102" t="str">
        <x:f>IF(Q19=0,"",MAXIFS('11 Training Attendance'!$D$6:$D$155,'11 Training Attendance'!$E$6:$E$155,B19,'11 Training Attendance'!$K$6:$K$155,"Attended",'11 Training Attendance'!$I$6:$I$155,G19))</x:f>
      </x:c>
      <x:c r="S19" s="94" t="str">
        <x:f>IF(OR(B19="",G19=""),"",COUNTIFS('13 Effectiveness Review'!$C$6:$C$155,B19,'13 Effectiveness Review'!$F$6:$F$155,G19,'13 Effectiveness Review'!$X$6:$X$155,"Closed — Effective"))</x:f>
      </x:c>
      <x:c r="T19" s="94" t="str">
        <x:f>IF(B19="","",IF(K19="","Not Assessed",IF(O19="Expired","Renewal Due",IF(L19=0,"Competent","Skill Gap"))))</x:f>
      </x:c>
      <x:c r="U19" s="94" t="str">
        <x:f>IFERROR(VLOOKUP(D19&amp;"|"&amp;E19&amp;"|"&amp;G19,'03 Position Requirements'!$A$6:$R$285,14,FALSE),"")</x:f>
      </x:c>
      <x:c r="V19" s="92"/>
      <x:c r="W19" s="85" t="str">
        <x:f>IF(B19="","",B19&amp;"|"&amp;COUNTIF($B$6:B19,B19))</x:f>
      </x:c>
      <x:c r="X19" s="85" t="str">
        <x:f>IF(B19="","",G19)</x:f>
      </x:c>
      <x:c r="Y19" s="85" t="str">
        <x:f>IF(B19="","",H19)</x:f>
      </x:c>
      <x:c r="Z19" s="85" t="str">
        <x:f>IF(B19="","",I19)</x:f>
      </x:c>
      <x:c r="AA19" s="85" t="str">
        <x:f>IF(B19="","",J19)</x:f>
      </x:c>
      <x:c r="AB19" s="85" t="str">
        <x:f>IF(B19="","",K19)</x:f>
      </x:c>
      <x:c r="AC19" s="85" t="str">
        <x:f>IF(B19="","",L19)</x:f>
      </x:c>
      <x:c r="AD19" s="85" t="str">
        <x:f>IF(B19="","",M19)</x:f>
      </x:c>
      <x:c r="AE19" s="85" t="str">
        <x:f>IF(B19="","",N19)</x:f>
      </x:c>
      <x:c r="AF19" s="85" t="str">
        <x:f>IF(B19="","",O19)</x:f>
      </x:c>
      <x:c r="AG19" s="85" t="str">
        <x:f>IF(B19="","",P19)</x:f>
      </x:c>
      <x:c r="AH19" s="85" t="str">
        <x:f>IF(B19="","",Q19)</x:f>
      </x:c>
      <x:c r="AI19" s="85" t="str">
        <x:f>IF(B19="","",R19)</x:f>
      </x:c>
      <x:c r="AJ19" s="85" t="str">
        <x:f>IF(B19="","",S19)</x:f>
      </x:c>
      <x:c r="AK19" s="85" t="str">
        <x:f>IF(B19="","",T19)</x:f>
      </x:c>
    </x:row>
    <x:row r="20">
      <x:c r="A20" s="94" t="str">
        <x:f>IF(OR(B20="",G20=""),"",B20&amp;"|"&amp;G20)</x:f>
      </x:c>
      <x:c r="B20" s="92"/>
      <x:c r="C20" s="94" t="str">
        <x:f>IFERROR(VLOOKUP(B20,'01 Staff Master'!$A$6:$M$105,2,FALSE),"")</x:f>
      </x:c>
      <x:c r="D20" s="94" t="str">
        <x:f>IFERROR(VLOOKUP(B20,'01 Staff Master'!$A$6:$M$105,3,FALSE),"")</x:f>
      </x:c>
      <x:c r="E20" s="94" t="str">
        <x:f>IFERROR(VLOOKUP(B20,'01 Staff Master'!$A$6:$M$105,5,FALSE),"")</x:f>
      </x:c>
      <x:c r="F20" s="94" t="str">
        <x:f>IFERROR(VLOOKUP(B20,'01 Staff Master'!$A$6:$M$105,4,FALSE),"")</x:f>
      </x:c>
      <x:c r="G20" s="92"/>
      <x:c r="H20" s="94" t="str">
        <x:f>IFERROR(VLOOKUP(G20,'02 Skill Catalogue'!$A$6:$K$95,4,FALSE),"")</x:f>
      </x:c>
      <x:c r="I20" s="94" t="str">
        <x:f>IFERROR(VLOOKUP(D20&amp;"|"&amp;E20&amp;"|"&amp;G20,'03 Position Requirements'!$A$6:$R$285,8,FALSE),"")</x:f>
      </x:c>
      <x:c r="J20" s="94" t="str">
        <x:f>IFERROR(VLOOKUP(D20&amp;"|"&amp;E20&amp;"|"&amp;G20,'03 Position Requirements'!$A$6:$R$285,10,FALSE),"")</x:f>
      </x:c>
      <x:c r="K20" s="94" t="str">
        <x:f>IF(OR(B20="",G20=""),"",IF(COUNTIFS('04 Assessment Log'!$D$6:$D$155,B20,'04 Assessment Log'!$J$6:$J$155,G20,'04 Assessment Log'!$AA$6:$AA$155,"Yes")=0,"",SUMIFS('04 Assessment Log'!$O$6:$O$155,'04 Assessment Log'!$D$6:$D$155,B20,'04 Assessment Log'!$J$6:$J$155,G20,'04 Assessment Log'!$AA$6:$AA$155,"Yes")))</x:f>
      </x:c>
      <x:c r="L20" s="94" t="str">
        <x:f>IF(OR(J20="",K20=""),"",MAX(J20-K20,0))</x:f>
      </x:c>
      <x:c r="M20" s="102" t="str">
        <x:f>IF(COUNTIFS('04 Assessment Log'!$D$6:$D$155,B20,'04 Assessment Log'!$J$6:$J$155,G20,'04 Assessment Log'!$AA$6:$AA$155,"Yes")=0,"",SUMIFS('04 Assessment Log'!$B$6:$B$155,'04 Assessment Log'!$D$6:$D$155,B20,'04 Assessment Log'!$J$6:$J$155,G20,'04 Assessment Log'!$AA$6:$AA$155,"Yes"))</x:f>
      </x:c>
      <x:c r="N20" s="102" t="str">
        <x:f>IF(M20="","",SUMIFS('04 Assessment Log'!$Z$6:$Z$155,'04 Assessment Log'!$D$6:$D$155,B20,'04 Assessment Log'!$J$6:$J$155,G20,'04 Assessment Log'!$AA$6:$AA$155,"Yes"))</x:f>
      </x:c>
      <x:c r="O20" s="94" t="str">
        <x:f>IF(M20="","Not Assessed",IF(N20&lt;TODAY(),"Expired",IF(N20&lt;=TODAY()+30,"Due Soon","Current")))</x:f>
        <x:v>Not Assessed</x:v>
      </x:c>
      <x:c r="P20" s="94" t="str">
        <x:f>IF(OR(B20="",G20=""),"",COUNTIFS('05 Development Actions'!$C$6:$C$105,B20,'05 Development Actions'!$G$6:$G$105,G20,'05 Development Actions'!$A$6:$A$105,"&lt;&gt;",'05 Development Actions'!$AB$6:$AB$105,"&lt;&gt;Closed — Competent",'05 Development Actions'!$AB$6:$AB$105,"&lt;&gt;Cancelled"))</x:f>
      </x:c>
      <x:c r="Q20" s="94" t="str">
        <x:f>IF(OR(B20="",G20=""),"",COUNTIFS('11 Training Attendance'!$E$6:$E$155,B20,'11 Training Attendance'!$K$6:$K$155,"Attended",'11 Training Attendance'!$I$6:$I$155,G20))</x:f>
      </x:c>
      <x:c r="R20" s="102" t="str">
        <x:f>IF(Q20=0,"",MAXIFS('11 Training Attendance'!$D$6:$D$155,'11 Training Attendance'!$E$6:$E$155,B20,'11 Training Attendance'!$K$6:$K$155,"Attended",'11 Training Attendance'!$I$6:$I$155,G20))</x:f>
      </x:c>
      <x:c r="S20" s="94" t="str">
        <x:f>IF(OR(B20="",G20=""),"",COUNTIFS('13 Effectiveness Review'!$C$6:$C$155,B20,'13 Effectiveness Review'!$F$6:$F$155,G20,'13 Effectiveness Review'!$X$6:$X$155,"Closed — Effective"))</x:f>
      </x:c>
      <x:c r="T20" s="94" t="str">
        <x:f>IF(B20="","",IF(K20="","Not Assessed",IF(O20="Expired","Renewal Due",IF(L20=0,"Competent","Skill Gap"))))</x:f>
      </x:c>
      <x:c r="U20" s="94" t="str">
        <x:f>IFERROR(VLOOKUP(D20&amp;"|"&amp;E20&amp;"|"&amp;G20,'03 Position Requirements'!$A$6:$R$285,14,FALSE),"")</x:f>
      </x:c>
      <x:c r="V20" s="92"/>
      <x:c r="W20" s="85" t="str">
        <x:f>IF(B20="","",B20&amp;"|"&amp;COUNTIF($B$6:B20,B20))</x:f>
      </x:c>
      <x:c r="X20" s="85" t="str">
        <x:f>IF(B20="","",G20)</x:f>
      </x:c>
      <x:c r="Y20" s="85" t="str">
        <x:f>IF(B20="","",H20)</x:f>
      </x:c>
      <x:c r="Z20" s="85" t="str">
        <x:f>IF(B20="","",I20)</x:f>
      </x:c>
      <x:c r="AA20" s="85" t="str">
        <x:f>IF(B20="","",J20)</x:f>
      </x:c>
      <x:c r="AB20" s="85" t="str">
        <x:f>IF(B20="","",K20)</x:f>
      </x:c>
      <x:c r="AC20" s="85" t="str">
        <x:f>IF(B20="","",L20)</x:f>
      </x:c>
      <x:c r="AD20" s="85" t="str">
        <x:f>IF(B20="","",M20)</x:f>
      </x:c>
      <x:c r="AE20" s="85" t="str">
        <x:f>IF(B20="","",N20)</x:f>
      </x:c>
      <x:c r="AF20" s="85" t="str">
        <x:f>IF(B20="","",O20)</x:f>
      </x:c>
      <x:c r="AG20" s="85" t="str">
        <x:f>IF(B20="","",P20)</x:f>
      </x:c>
      <x:c r="AH20" s="85" t="str">
        <x:f>IF(B20="","",Q20)</x:f>
      </x:c>
      <x:c r="AI20" s="85" t="str">
        <x:f>IF(B20="","",R20)</x:f>
      </x:c>
      <x:c r="AJ20" s="85" t="str">
        <x:f>IF(B20="","",S20)</x:f>
      </x:c>
      <x:c r="AK20" s="85" t="str">
        <x:f>IF(B20="","",T20)</x:f>
      </x:c>
    </x:row>
    <x:row r="21">
      <x:c r="A21" s="94" t="str">
        <x:f>IF(OR(B21="",G21=""),"",B21&amp;"|"&amp;G21)</x:f>
      </x:c>
      <x:c r="B21" s="92"/>
      <x:c r="C21" s="94" t="str">
        <x:f>IFERROR(VLOOKUP(B21,'01 Staff Master'!$A$6:$M$105,2,FALSE),"")</x:f>
      </x:c>
      <x:c r="D21" s="94" t="str">
        <x:f>IFERROR(VLOOKUP(B21,'01 Staff Master'!$A$6:$M$105,3,FALSE),"")</x:f>
      </x:c>
      <x:c r="E21" s="94" t="str">
        <x:f>IFERROR(VLOOKUP(B21,'01 Staff Master'!$A$6:$M$105,5,FALSE),"")</x:f>
      </x:c>
      <x:c r="F21" s="94" t="str">
        <x:f>IFERROR(VLOOKUP(B21,'01 Staff Master'!$A$6:$M$105,4,FALSE),"")</x:f>
      </x:c>
      <x:c r="G21" s="92"/>
      <x:c r="H21" s="94" t="str">
        <x:f>IFERROR(VLOOKUP(G21,'02 Skill Catalogue'!$A$6:$K$95,4,FALSE),"")</x:f>
      </x:c>
      <x:c r="I21" s="94" t="str">
        <x:f>IFERROR(VLOOKUP(D21&amp;"|"&amp;E21&amp;"|"&amp;G21,'03 Position Requirements'!$A$6:$R$285,8,FALSE),"")</x:f>
      </x:c>
      <x:c r="J21" s="94" t="str">
        <x:f>IFERROR(VLOOKUP(D21&amp;"|"&amp;E21&amp;"|"&amp;G21,'03 Position Requirements'!$A$6:$R$285,10,FALSE),"")</x:f>
      </x:c>
      <x:c r="K21" s="94" t="str">
        <x:f>IF(OR(B21="",G21=""),"",IF(COUNTIFS('04 Assessment Log'!$D$6:$D$155,B21,'04 Assessment Log'!$J$6:$J$155,G21,'04 Assessment Log'!$AA$6:$AA$155,"Yes")=0,"",SUMIFS('04 Assessment Log'!$O$6:$O$155,'04 Assessment Log'!$D$6:$D$155,B21,'04 Assessment Log'!$J$6:$J$155,G21,'04 Assessment Log'!$AA$6:$AA$155,"Yes")))</x:f>
      </x:c>
      <x:c r="L21" s="94" t="str">
        <x:f>IF(OR(J21="",K21=""),"",MAX(J21-K21,0))</x:f>
      </x:c>
      <x:c r="M21" s="102" t="str">
        <x:f>IF(COUNTIFS('04 Assessment Log'!$D$6:$D$155,B21,'04 Assessment Log'!$J$6:$J$155,G21,'04 Assessment Log'!$AA$6:$AA$155,"Yes")=0,"",SUMIFS('04 Assessment Log'!$B$6:$B$155,'04 Assessment Log'!$D$6:$D$155,B21,'04 Assessment Log'!$J$6:$J$155,G21,'04 Assessment Log'!$AA$6:$AA$155,"Yes"))</x:f>
      </x:c>
      <x:c r="N21" s="102" t="str">
        <x:f>IF(M21="","",SUMIFS('04 Assessment Log'!$Z$6:$Z$155,'04 Assessment Log'!$D$6:$D$155,B21,'04 Assessment Log'!$J$6:$J$155,G21,'04 Assessment Log'!$AA$6:$AA$155,"Yes"))</x:f>
      </x:c>
      <x:c r="O21" s="94" t="str">
        <x:f>IF(M21="","Not Assessed",IF(N21&lt;TODAY(),"Expired",IF(N21&lt;=TODAY()+30,"Due Soon","Current")))</x:f>
        <x:v>Not Assessed</x:v>
      </x:c>
      <x:c r="P21" s="94" t="str">
        <x:f>IF(OR(B21="",G21=""),"",COUNTIFS('05 Development Actions'!$C$6:$C$105,B21,'05 Development Actions'!$G$6:$G$105,G21,'05 Development Actions'!$A$6:$A$105,"&lt;&gt;",'05 Development Actions'!$AB$6:$AB$105,"&lt;&gt;Closed — Competent",'05 Development Actions'!$AB$6:$AB$105,"&lt;&gt;Cancelled"))</x:f>
      </x:c>
      <x:c r="Q21" s="94" t="str">
        <x:f>IF(OR(B21="",G21=""),"",COUNTIFS('11 Training Attendance'!$E$6:$E$155,B21,'11 Training Attendance'!$K$6:$K$155,"Attended",'11 Training Attendance'!$I$6:$I$155,G21))</x:f>
      </x:c>
      <x:c r="R21" s="102" t="str">
        <x:f>IF(Q21=0,"",MAXIFS('11 Training Attendance'!$D$6:$D$155,'11 Training Attendance'!$E$6:$E$155,B21,'11 Training Attendance'!$K$6:$K$155,"Attended",'11 Training Attendance'!$I$6:$I$155,G21))</x:f>
      </x:c>
      <x:c r="S21" s="94" t="str">
        <x:f>IF(OR(B21="",G21=""),"",COUNTIFS('13 Effectiveness Review'!$C$6:$C$155,B21,'13 Effectiveness Review'!$F$6:$F$155,G21,'13 Effectiveness Review'!$X$6:$X$155,"Closed — Effective"))</x:f>
      </x:c>
      <x:c r="T21" s="94" t="str">
        <x:f>IF(B21="","",IF(K21="","Not Assessed",IF(O21="Expired","Renewal Due",IF(L21=0,"Competent","Skill Gap"))))</x:f>
      </x:c>
      <x:c r="U21" s="94" t="str">
        <x:f>IFERROR(VLOOKUP(D21&amp;"|"&amp;E21&amp;"|"&amp;G21,'03 Position Requirements'!$A$6:$R$285,14,FALSE),"")</x:f>
      </x:c>
      <x:c r="V21" s="92"/>
      <x:c r="W21" s="85" t="str">
        <x:f>IF(B21="","",B21&amp;"|"&amp;COUNTIF($B$6:B21,B21))</x:f>
      </x:c>
      <x:c r="X21" s="85" t="str">
        <x:f>IF(B21="","",G21)</x:f>
      </x:c>
      <x:c r="Y21" s="85" t="str">
        <x:f>IF(B21="","",H21)</x:f>
      </x:c>
      <x:c r="Z21" s="85" t="str">
        <x:f>IF(B21="","",I21)</x:f>
      </x:c>
      <x:c r="AA21" s="85" t="str">
        <x:f>IF(B21="","",J21)</x:f>
      </x:c>
      <x:c r="AB21" s="85" t="str">
        <x:f>IF(B21="","",K21)</x:f>
      </x:c>
      <x:c r="AC21" s="85" t="str">
        <x:f>IF(B21="","",L21)</x:f>
      </x:c>
      <x:c r="AD21" s="85" t="str">
        <x:f>IF(B21="","",M21)</x:f>
      </x:c>
      <x:c r="AE21" s="85" t="str">
        <x:f>IF(B21="","",N21)</x:f>
      </x:c>
      <x:c r="AF21" s="85" t="str">
        <x:f>IF(B21="","",O21)</x:f>
      </x:c>
      <x:c r="AG21" s="85" t="str">
        <x:f>IF(B21="","",P21)</x:f>
      </x:c>
      <x:c r="AH21" s="85" t="str">
        <x:f>IF(B21="","",Q21)</x:f>
      </x:c>
      <x:c r="AI21" s="85" t="str">
        <x:f>IF(B21="","",R21)</x:f>
      </x:c>
      <x:c r="AJ21" s="85" t="str">
        <x:f>IF(B21="","",S21)</x:f>
      </x:c>
      <x:c r="AK21" s="85" t="str">
        <x:f>IF(B21="","",T21)</x:f>
      </x:c>
    </x:row>
    <x:row r="22">
      <x:c r="A22" s="94" t="str">
        <x:f>IF(OR(B22="",G22=""),"",B22&amp;"|"&amp;G22)</x:f>
      </x:c>
      <x:c r="B22" s="92"/>
      <x:c r="C22" s="94" t="str">
        <x:f>IFERROR(VLOOKUP(B22,'01 Staff Master'!$A$6:$M$105,2,FALSE),"")</x:f>
      </x:c>
      <x:c r="D22" s="94" t="str">
        <x:f>IFERROR(VLOOKUP(B22,'01 Staff Master'!$A$6:$M$105,3,FALSE),"")</x:f>
      </x:c>
      <x:c r="E22" s="94" t="str">
        <x:f>IFERROR(VLOOKUP(B22,'01 Staff Master'!$A$6:$M$105,5,FALSE),"")</x:f>
      </x:c>
      <x:c r="F22" s="94" t="str">
        <x:f>IFERROR(VLOOKUP(B22,'01 Staff Master'!$A$6:$M$105,4,FALSE),"")</x:f>
      </x:c>
      <x:c r="G22" s="92"/>
      <x:c r="H22" s="94" t="str">
        <x:f>IFERROR(VLOOKUP(G22,'02 Skill Catalogue'!$A$6:$K$95,4,FALSE),"")</x:f>
      </x:c>
      <x:c r="I22" s="94" t="str">
        <x:f>IFERROR(VLOOKUP(D22&amp;"|"&amp;E22&amp;"|"&amp;G22,'03 Position Requirements'!$A$6:$R$285,8,FALSE),"")</x:f>
      </x:c>
      <x:c r="J22" s="94" t="str">
        <x:f>IFERROR(VLOOKUP(D22&amp;"|"&amp;E22&amp;"|"&amp;G22,'03 Position Requirements'!$A$6:$R$285,10,FALSE),"")</x:f>
      </x:c>
      <x:c r="K22" s="94" t="str">
        <x:f>IF(OR(B22="",G22=""),"",IF(COUNTIFS('04 Assessment Log'!$D$6:$D$155,B22,'04 Assessment Log'!$J$6:$J$155,G22,'04 Assessment Log'!$AA$6:$AA$155,"Yes")=0,"",SUMIFS('04 Assessment Log'!$O$6:$O$155,'04 Assessment Log'!$D$6:$D$155,B22,'04 Assessment Log'!$J$6:$J$155,G22,'04 Assessment Log'!$AA$6:$AA$155,"Yes")))</x:f>
      </x:c>
      <x:c r="L22" s="94" t="str">
        <x:f>IF(OR(J22="",K22=""),"",MAX(J22-K22,0))</x:f>
      </x:c>
      <x:c r="M22" s="102" t="str">
        <x:f>IF(COUNTIFS('04 Assessment Log'!$D$6:$D$155,B22,'04 Assessment Log'!$J$6:$J$155,G22,'04 Assessment Log'!$AA$6:$AA$155,"Yes")=0,"",SUMIFS('04 Assessment Log'!$B$6:$B$155,'04 Assessment Log'!$D$6:$D$155,B22,'04 Assessment Log'!$J$6:$J$155,G22,'04 Assessment Log'!$AA$6:$AA$155,"Yes"))</x:f>
      </x:c>
      <x:c r="N22" s="102" t="str">
        <x:f>IF(M22="","",SUMIFS('04 Assessment Log'!$Z$6:$Z$155,'04 Assessment Log'!$D$6:$D$155,B22,'04 Assessment Log'!$J$6:$J$155,G22,'04 Assessment Log'!$AA$6:$AA$155,"Yes"))</x:f>
      </x:c>
      <x:c r="O22" s="94" t="str">
        <x:f>IF(M22="","Not Assessed",IF(N22&lt;TODAY(),"Expired",IF(N22&lt;=TODAY()+30,"Due Soon","Current")))</x:f>
        <x:v>Not Assessed</x:v>
      </x:c>
      <x:c r="P22" s="94" t="str">
        <x:f>IF(OR(B22="",G22=""),"",COUNTIFS('05 Development Actions'!$C$6:$C$105,B22,'05 Development Actions'!$G$6:$G$105,G22,'05 Development Actions'!$A$6:$A$105,"&lt;&gt;",'05 Development Actions'!$AB$6:$AB$105,"&lt;&gt;Closed — Competent",'05 Development Actions'!$AB$6:$AB$105,"&lt;&gt;Cancelled"))</x:f>
      </x:c>
      <x:c r="Q22" s="94" t="str">
        <x:f>IF(OR(B22="",G22=""),"",COUNTIFS('11 Training Attendance'!$E$6:$E$155,B22,'11 Training Attendance'!$K$6:$K$155,"Attended",'11 Training Attendance'!$I$6:$I$155,G22))</x:f>
      </x:c>
      <x:c r="R22" s="102" t="str">
        <x:f>IF(Q22=0,"",MAXIFS('11 Training Attendance'!$D$6:$D$155,'11 Training Attendance'!$E$6:$E$155,B22,'11 Training Attendance'!$K$6:$K$155,"Attended",'11 Training Attendance'!$I$6:$I$155,G22))</x:f>
      </x:c>
      <x:c r="S22" s="94" t="str">
        <x:f>IF(OR(B22="",G22=""),"",COUNTIFS('13 Effectiveness Review'!$C$6:$C$155,B22,'13 Effectiveness Review'!$F$6:$F$155,G22,'13 Effectiveness Review'!$X$6:$X$155,"Closed — Effective"))</x:f>
      </x:c>
      <x:c r="T22" s="94" t="str">
        <x:f>IF(B22="","",IF(K22="","Not Assessed",IF(O22="Expired","Renewal Due",IF(L22=0,"Competent","Skill Gap"))))</x:f>
      </x:c>
      <x:c r="U22" s="94" t="str">
        <x:f>IFERROR(VLOOKUP(D22&amp;"|"&amp;E22&amp;"|"&amp;G22,'03 Position Requirements'!$A$6:$R$285,14,FALSE),"")</x:f>
      </x:c>
      <x:c r="V22" s="92"/>
      <x:c r="W22" s="85" t="str">
        <x:f>IF(B22="","",B22&amp;"|"&amp;COUNTIF($B$6:B22,B22))</x:f>
      </x:c>
      <x:c r="X22" s="85" t="str">
        <x:f>IF(B22="","",G22)</x:f>
      </x:c>
      <x:c r="Y22" s="85" t="str">
        <x:f>IF(B22="","",H22)</x:f>
      </x:c>
      <x:c r="Z22" s="85" t="str">
        <x:f>IF(B22="","",I22)</x:f>
      </x:c>
      <x:c r="AA22" s="85" t="str">
        <x:f>IF(B22="","",J22)</x:f>
      </x:c>
      <x:c r="AB22" s="85" t="str">
        <x:f>IF(B22="","",K22)</x:f>
      </x:c>
      <x:c r="AC22" s="85" t="str">
        <x:f>IF(B22="","",L22)</x:f>
      </x:c>
      <x:c r="AD22" s="85" t="str">
        <x:f>IF(B22="","",M22)</x:f>
      </x:c>
      <x:c r="AE22" s="85" t="str">
        <x:f>IF(B22="","",N22)</x:f>
      </x:c>
      <x:c r="AF22" s="85" t="str">
        <x:f>IF(B22="","",O22)</x:f>
      </x:c>
      <x:c r="AG22" s="85" t="str">
        <x:f>IF(B22="","",P22)</x:f>
      </x:c>
      <x:c r="AH22" s="85" t="str">
        <x:f>IF(B22="","",Q22)</x:f>
      </x:c>
      <x:c r="AI22" s="85" t="str">
        <x:f>IF(B22="","",R22)</x:f>
      </x:c>
      <x:c r="AJ22" s="85" t="str">
        <x:f>IF(B22="","",S22)</x:f>
      </x:c>
      <x:c r="AK22" s="85" t="str">
        <x:f>IF(B22="","",T22)</x:f>
      </x:c>
    </x:row>
    <x:row r="23">
      <x:c r="A23" s="94" t="str">
        <x:f>IF(OR(B23="",G23=""),"",B23&amp;"|"&amp;G23)</x:f>
      </x:c>
      <x:c r="B23" s="92"/>
      <x:c r="C23" s="94" t="str">
        <x:f>IFERROR(VLOOKUP(B23,'01 Staff Master'!$A$6:$M$105,2,FALSE),"")</x:f>
      </x:c>
      <x:c r="D23" s="94" t="str">
        <x:f>IFERROR(VLOOKUP(B23,'01 Staff Master'!$A$6:$M$105,3,FALSE),"")</x:f>
      </x:c>
      <x:c r="E23" s="94" t="str">
        <x:f>IFERROR(VLOOKUP(B23,'01 Staff Master'!$A$6:$M$105,5,FALSE),"")</x:f>
      </x:c>
      <x:c r="F23" s="94" t="str">
        <x:f>IFERROR(VLOOKUP(B23,'01 Staff Master'!$A$6:$M$105,4,FALSE),"")</x:f>
      </x:c>
      <x:c r="G23" s="92"/>
      <x:c r="H23" s="94" t="str">
        <x:f>IFERROR(VLOOKUP(G23,'02 Skill Catalogue'!$A$6:$K$95,4,FALSE),"")</x:f>
      </x:c>
      <x:c r="I23" s="94" t="str">
        <x:f>IFERROR(VLOOKUP(D23&amp;"|"&amp;E23&amp;"|"&amp;G23,'03 Position Requirements'!$A$6:$R$285,8,FALSE),"")</x:f>
      </x:c>
      <x:c r="J23" s="94" t="str">
        <x:f>IFERROR(VLOOKUP(D23&amp;"|"&amp;E23&amp;"|"&amp;G23,'03 Position Requirements'!$A$6:$R$285,10,FALSE),"")</x:f>
      </x:c>
      <x:c r="K23" s="94" t="str">
        <x:f>IF(OR(B23="",G23=""),"",IF(COUNTIFS('04 Assessment Log'!$D$6:$D$155,B23,'04 Assessment Log'!$J$6:$J$155,G23,'04 Assessment Log'!$AA$6:$AA$155,"Yes")=0,"",SUMIFS('04 Assessment Log'!$O$6:$O$155,'04 Assessment Log'!$D$6:$D$155,B23,'04 Assessment Log'!$J$6:$J$155,G23,'04 Assessment Log'!$AA$6:$AA$155,"Yes")))</x:f>
      </x:c>
      <x:c r="L23" s="94" t="str">
        <x:f>IF(OR(J23="",K23=""),"",MAX(J23-K23,0))</x:f>
      </x:c>
      <x:c r="M23" s="102" t="str">
        <x:f>IF(COUNTIFS('04 Assessment Log'!$D$6:$D$155,B23,'04 Assessment Log'!$J$6:$J$155,G23,'04 Assessment Log'!$AA$6:$AA$155,"Yes")=0,"",SUMIFS('04 Assessment Log'!$B$6:$B$155,'04 Assessment Log'!$D$6:$D$155,B23,'04 Assessment Log'!$J$6:$J$155,G23,'04 Assessment Log'!$AA$6:$AA$155,"Yes"))</x:f>
      </x:c>
      <x:c r="N23" s="102" t="str">
        <x:f>IF(M23="","",SUMIFS('04 Assessment Log'!$Z$6:$Z$155,'04 Assessment Log'!$D$6:$D$155,B23,'04 Assessment Log'!$J$6:$J$155,G23,'04 Assessment Log'!$AA$6:$AA$155,"Yes"))</x:f>
      </x:c>
      <x:c r="O23" s="94" t="str">
        <x:f>IF(M23="","Not Assessed",IF(N23&lt;TODAY(),"Expired",IF(N23&lt;=TODAY()+30,"Due Soon","Current")))</x:f>
        <x:v>Not Assessed</x:v>
      </x:c>
      <x:c r="P23" s="94" t="str">
        <x:f>IF(OR(B23="",G23=""),"",COUNTIFS('05 Development Actions'!$C$6:$C$105,B23,'05 Development Actions'!$G$6:$G$105,G23,'05 Development Actions'!$A$6:$A$105,"&lt;&gt;",'05 Development Actions'!$AB$6:$AB$105,"&lt;&gt;Closed — Competent",'05 Development Actions'!$AB$6:$AB$105,"&lt;&gt;Cancelled"))</x:f>
      </x:c>
      <x:c r="Q23" s="94" t="str">
        <x:f>IF(OR(B23="",G23=""),"",COUNTIFS('11 Training Attendance'!$E$6:$E$155,B23,'11 Training Attendance'!$K$6:$K$155,"Attended",'11 Training Attendance'!$I$6:$I$155,G23))</x:f>
      </x:c>
      <x:c r="R23" s="102" t="str">
        <x:f>IF(Q23=0,"",MAXIFS('11 Training Attendance'!$D$6:$D$155,'11 Training Attendance'!$E$6:$E$155,B23,'11 Training Attendance'!$K$6:$K$155,"Attended",'11 Training Attendance'!$I$6:$I$155,G23))</x:f>
      </x:c>
      <x:c r="S23" s="94" t="str">
        <x:f>IF(OR(B23="",G23=""),"",COUNTIFS('13 Effectiveness Review'!$C$6:$C$155,B23,'13 Effectiveness Review'!$F$6:$F$155,G23,'13 Effectiveness Review'!$X$6:$X$155,"Closed — Effective"))</x:f>
      </x:c>
      <x:c r="T23" s="94" t="str">
        <x:f>IF(B23="","",IF(K23="","Not Assessed",IF(O23="Expired","Renewal Due",IF(L23=0,"Competent","Skill Gap"))))</x:f>
      </x:c>
      <x:c r="U23" s="94" t="str">
        <x:f>IFERROR(VLOOKUP(D23&amp;"|"&amp;E23&amp;"|"&amp;G23,'03 Position Requirements'!$A$6:$R$285,14,FALSE),"")</x:f>
      </x:c>
      <x:c r="V23" s="92"/>
      <x:c r="W23" s="85" t="str">
        <x:f>IF(B23="","",B23&amp;"|"&amp;COUNTIF($B$6:B23,B23))</x:f>
      </x:c>
      <x:c r="X23" s="85" t="str">
        <x:f>IF(B23="","",G23)</x:f>
      </x:c>
      <x:c r="Y23" s="85" t="str">
        <x:f>IF(B23="","",H23)</x:f>
      </x:c>
      <x:c r="Z23" s="85" t="str">
        <x:f>IF(B23="","",I23)</x:f>
      </x:c>
      <x:c r="AA23" s="85" t="str">
        <x:f>IF(B23="","",J23)</x:f>
      </x:c>
      <x:c r="AB23" s="85" t="str">
        <x:f>IF(B23="","",K23)</x:f>
      </x:c>
      <x:c r="AC23" s="85" t="str">
        <x:f>IF(B23="","",L23)</x:f>
      </x:c>
      <x:c r="AD23" s="85" t="str">
        <x:f>IF(B23="","",M23)</x:f>
      </x:c>
      <x:c r="AE23" s="85" t="str">
        <x:f>IF(B23="","",N23)</x:f>
      </x:c>
      <x:c r="AF23" s="85" t="str">
        <x:f>IF(B23="","",O23)</x:f>
      </x:c>
      <x:c r="AG23" s="85" t="str">
        <x:f>IF(B23="","",P23)</x:f>
      </x:c>
      <x:c r="AH23" s="85" t="str">
        <x:f>IF(B23="","",Q23)</x:f>
      </x:c>
      <x:c r="AI23" s="85" t="str">
        <x:f>IF(B23="","",R23)</x:f>
      </x:c>
      <x:c r="AJ23" s="85" t="str">
        <x:f>IF(B23="","",S23)</x:f>
      </x:c>
      <x:c r="AK23" s="85" t="str">
        <x:f>IF(B23="","",T23)</x:f>
      </x:c>
    </x:row>
    <x:row r="24">
      <x:c r="A24" s="94" t="str">
        <x:f>IF(OR(B24="",G24=""),"",B24&amp;"|"&amp;G24)</x:f>
      </x:c>
      <x:c r="B24" s="92"/>
      <x:c r="C24" s="94" t="str">
        <x:f>IFERROR(VLOOKUP(B24,'01 Staff Master'!$A$6:$M$105,2,FALSE),"")</x:f>
      </x:c>
      <x:c r="D24" s="94" t="str">
        <x:f>IFERROR(VLOOKUP(B24,'01 Staff Master'!$A$6:$M$105,3,FALSE),"")</x:f>
      </x:c>
      <x:c r="E24" s="94" t="str">
        <x:f>IFERROR(VLOOKUP(B24,'01 Staff Master'!$A$6:$M$105,5,FALSE),"")</x:f>
      </x:c>
      <x:c r="F24" s="94" t="str">
        <x:f>IFERROR(VLOOKUP(B24,'01 Staff Master'!$A$6:$M$105,4,FALSE),"")</x:f>
      </x:c>
      <x:c r="G24" s="92"/>
      <x:c r="H24" s="94" t="str">
        <x:f>IFERROR(VLOOKUP(G24,'02 Skill Catalogue'!$A$6:$K$95,4,FALSE),"")</x:f>
      </x:c>
      <x:c r="I24" s="94" t="str">
        <x:f>IFERROR(VLOOKUP(D24&amp;"|"&amp;E24&amp;"|"&amp;G24,'03 Position Requirements'!$A$6:$R$285,8,FALSE),"")</x:f>
      </x:c>
      <x:c r="J24" s="94" t="str">
        <x:f>IFERROR(VLOOKUP(D24&amp;"|"&amp;E24&amp;"|"&amp;G24,'03 Position Requirements'!$A$6:$R$285,10,FALSE),"")</x:f>
      </x:c>
      <x:c r="K24" s="94" t="str">
        <x:f>IF(OR(B24="",G24=""),"",IF(COUNTIFS('04 Assessment Log'!$D$6:$D$155,B24,'04 Assessment Log'!$J$6:$J$155,G24,'04 Assessment Log'!$AA$6:$AA$155,"Yes")=0,"",SUMIFS('04 Assessment Log'!$O$6:$O$155,'04 Assessment Log'!$D$6:$D$155,B24,'04 Assessment Log'!$J$6:$J$155,G24,'04 Assessment Log'!$AA$6:$AA$155,"Yes")))</x:f>
      </x:c>
      <x:c r="L24" s="94" t="str">
        <x:f>IF(OR(J24="",K24=""),"",MAX(J24-K24,0))</x:f>
      </x:c>
      <x:c r="M24" s="102" t="str">
        <x:f>IF(COUNTIFS('04 Assessment Log'!$D$6:$D$155,B24,'04 Assessment Log'!$J$6:$J$155,G24,'04 Assessment Log'!$AA$6:$AA$155,"Yes")=0,"",SUMIFS('04 Assessment Log'!$B$6:$B$155,'04 Assessment Log'!$D$6:$D$155,B24,'04 Assessment Log'!$J$6:$J$155,G24,'04 Assessment Log'!$AA$6:$AA$155,"Yes"))</x:f>
      </x:c>
      <x:c r="N24" s="102" t="str">
        <x:f>IF(M24="","",SUMIFS('04 Assessment Log'!$Z$6:$Z$155,'04 Assessment Log'!$D$6:$D$155,B24,'04 Assessment Log'!$J$6:$J$155,G24,'04 Assessment Log'!$AA$6:$AA$155,"Yes"))</x:f>
      </x:c>
      <x:c r="O24" s="94" t="str">
        <x:f>IF(M24="","Not Assessed",IF(N24&lt;TODAY(),"Expired",IF(N24&lt;=TODAY()+30,"Due Soon","Current")))</x:f>
        <x:v>Not Assessed</x:v>
      </x:c>
      <x:c r="P24" s="94" t="str">
        <x:f>IF(OR(B24="",G24=""),"",COUNTIFS('05 Development Actions'!$C$6:$C$105,B24,'05 Development Actions'!$G$6:$G$105,G24,'05 Development Actions'!$A$6:$A$105,"&lt;&gt;",'05 Development Actions'!$AB$6:$AB$105,"&lt;&gt;Closed — Competent",'05 Development Actions'!$AB$6:$AB$105,"&lt;&gt;Cancelled"))</x:f>
      </x:c>
      <x:c r="Q24" s="94" t="str">
        <x:f>IF(OR(B24="",G24=""),"",COUNTIFS('11 Training Attendance'!$E$6:$E$155,B24,'11 Training Attendance'!$K$6:$K$155,"Attended",'11 Training Attendance'!$I$6:$I$155,G24))</x:f>
      </x:c>
      <x:c r="R24" s="102" t="str">
        <x:f>IF(Q24=0,"",MAXIFS('11 Training Attendance'!$D$6:$D$155,'11 Training Attendance'!$E$6:$E$155,B24,'11 Training Attendance'!$K$6:$K$155,"Attended",'11 Training Attendance'!$I$6:$I$155,G24))</x:f>
      </x:c>
      <x:c r="S24" s="94" t="str">
        <x:f>IF(OR(B24="",G24=""),"",COUNTIFS('13 Effectiveness Review'!$C$6:$C$155,B24,'13 Effectiveness Review'!$F$6:$F$155,G24,'13 Effectiveness Review'!$X$6:$X$155,"Closed — Effective"))</x:f>
      </x:c>
      <x:c r="T24" s="94" t="str">
        <x:f>IF(B24="","",IF(K24="","Not Assessed",IF(O24="Expired","Renewal Due",IF(L24=0,"Competent","Skill Gap"))))</x:f>
      </x:c>
      <x:c r="U24" s="94" t="str">
        <x:f>IFERROR(VLOOKUP(D24&amp;"|"&amp;E24&amp;"|"&amp;G24,'03 Position Requirements'!$A$6:$R$285,14,FALSE),"")</x:f>
      </x:c>
      <x:c r="V24" s="92"/>
      <x:c r="W24" s="85" t="str">
        <x:f>IF(B24="","",B24&amp;"|"&amp;COUNTIF($B$6:B24,B24))</x:f>
      </x:c>
      <x:c r="X24" s="85" t="str">
        <x:f>IF(B24="","",G24)</x:f>
      </x:c>
      <x:c r="Y24" s="85" t="str">
        <x:f>IF(B24="","",H24)</x:f>
      </x:c>
      <x:c r="Z24" s="85" t="str">
        <x:f>IF(B24="","",I24)</x:f>
      </x:c>
      <x:c r="AA24" s="85" t="str">
        <x:f>IF(B24="","",J24)</x:f>
      </x:c>
      <x:c r="AB24" s="85" t="str">
        <x:f>IF(B24="","",K24)</x:f>
      </x:c>
      <x:c r="AC24" s="85" t="str">
        <x:f>IF(B24="","",L24)</x:f>
      </x:c>
      <x:c r="AD24" s="85" t="str">
        <x:f>IF(B24="","",M24)</x:f>
      </x:c>
      <x:c r="AE24" s="85" t="str">
        <x:f>IF(B24="","",N24)</x:f>
      </x:c>
      <x:c r="AF24" s="85" t="str">
        <x:f>IF(B24="","",O24)</x:f>
      </x:c>
      <x:c r="AG24" s="85" t="str">
        <x:f>IF(B24="","",P24)</x:f>
      </x:c>
      <x:c r="AH24" s="85" t="str">
        <x:f>IF(B24="","",Q24)</x:f>
      </x:c>
      <x:c r="AI24" s="85" t="str">
        <x:f>IF(B24="","",R24)</x:f>
      </x:c>
      <x:c r="AJ24" s="85" t="str">
        <x:f>IF(B24="","",S24)</x:f>
      </x:c>
      <x:c r="AK24" s="85" t="str">
        <x:f>IF(B24="","",T24)</x:f>
      </x:c>
    </x:row>
    <x:row r="25">
      <x:c r="A25" s="94" t="str">
        <x:f>IF(OR(B25="",G25=""),"",B25&amp;"|"&amp;G25)</x:f>
      </x:c>
      <x:c r="B25" s="92"/>
      <x:c r="C25" s="94" t="str">
        <x:f>IFERROR(VLOOKUP(B25,'01 Staff Master'!$A$6:$M$105,2,FALSE),"")</x:f>
      </x:c>
      <x:c r="D25" s="94" t="str">
        <x:f>IFERROR(VLOOKUP(B25,'01 Staff Master'!$A$6:$M$105,3,FALSE),"")</x:f>
      </x:c>
      <x:c r="E25" s="94" t="str">
        <x:f>IFERROR(VLOOKUP(B25,'01 Staff Master'!$A$6:$M$105,5,FALSE),"")</x:f>
      </x:c>
      <x:c r="F25" s="94" t="str">
        <x:f>IFERROR(VLOOKUP(B25,'01 Staff Master'!$A$6:$M$105,4,FALSE),"")</x:f>
      </x:c>
      <x:c r="G25" s="92"/>
      <x:c r="H25" s="94" t="str">
        <x:f>IFERROR(VLOOKUP(G25,'02 Skill Catalogue'!$A$6:$K$95,4,FALSE),"")</x:f>
      </x:c>
      <x:c r="I25" s="94" t="str">
        <x:f>IFERROR(VLOOKUP(D25&amp;"|"&amp;E25&amp;"|"&amp;G25,'03 Position Requirements'!$A$6:$R$285,8,FALSE),"")</x:f>
      </x:c>
      <x:c r="J25" s="94" t="str">
        <x:f>IFERROR(VLOOKUP(D25&amp;"|"&amp;E25&amp;"|"&amp;G25,'03 Position Requirements'!$A$6:$R$285,10,FALSE),"")</x:f>
      </x:c>
      <x:c r="K25" s="94" t="str">
        <x:f>IF(OR(B25="",G25=""),"",IF(COUNTIFS('04 Assessment Log'!$D$6:$D$155,B25,'04 Assessment Log'!$J$6:$J$155,G25,'04 Assessment Log'!$AA$6:$AA$155,"Yes")=0,"",SUMIFS('04 Assessment Log'!$O$6:$O$155,'04 Assessment Log'!$D$6:$D$155,B25,'04 Assessment Log'!$J$6:$J$155,G25,'04 Assessment Log'!$AA$6:$AA$155,"Yes")))</x:f>
      </x:c>
      <x:c r="L25" s="94" t="str">
        <x:f>IF(OR(J25="",K25=""),"",MAX(J25-K25,0))</x:f>
      </x:c>
      <x:c r="M25" s="102" t="str">
        <x:f>IF(COUNTIFS('04 Assessment Log'!$D$6:$D$155,B25,'04 Assessment Log'!$J$6:$J$155,G25,'04 Assessment Log'!$AA$6:$AA$155,"Yes")=0,"",SUMIFS('04 Assessment Log'!$B$6:$B$155,'04 Assessment Log'!$D$6:$D$155,B25,'04 Assessment Log'!$J$6:$J$155,G25,'04 Assessment Log'!$AA$6:$AA$155,"Yes"))</x:f>
      </x:c>
      <x:c r="N25" s="102" t="str">
        <x:f>IF(M25="","",SUMIFS('04 Assessment Log'!$Z$6:$Z$155,'04 Assessment Log'!$D$6:$D$155,B25,'04 Assessment Log'!$J$6:$J$155,G25,'04 Assessment Log'!$AA$6:$AA$155,"Yes"))</x:f>
      </x:c>
      <x:c r="O25" s="94" t="str">
        <x:f>IF(M25="","Not Assessed",IF(N25&lt;TODAY(),"Expired",IF(N25&lt;=TODAY()+30,"Due Soon","Current")))</x:f>
        <x:v>Not Assessed</x:v>
      </x:c>
      <x:c r="P25" s="94" t="str">
        <x:f>IF(OR(B25="",G25=""),"",COUNTIFS('05 Development Actions'!$C$6:$C$105,B25,'05 Development Actions'!$G$6:$G$105,G25,'05 Development Actions'!$A$6:$A$105,"&lt;&gt;",'05 Development Actions'!$AB$6:$AB$105,"&lt;&gt;Closed — Competent",'05 Development Actions'!$AB$6:$AB$105,"&lt;&gt;Cancelled"))</x:f>
      </x:c>
      <x:c r="Q25" s="94" t="str">
        <x:f>IF(OR(B25="",G25=""),"",COUNTIFS('11 Training Attendance'!$E$6:$E$155,B25,'11 Training Attendance'!$K$6:$K$155,"Attended",'11 Training Attendance'!$I$6:$I$155,G25))</x:f>
      </x:c>
      <x:c r="R25" s="102" t="str">
        <x:f>IF(Q25=0,"",MAXIFS('11 Training Attendance'!$D$6:$D$155,'11 Training Attendance'!$E$6:$E$155,B25,'11 Training Attendance'!$K$6:$K$155,"Attended",'11 Training Attendance'!$I$6:$I$155,G25))</x:f>
      </x:c>
      <x:c r="S25" s="94" t="str">
        <x:f>IF(OR(B25="",G25=""),"",COUNTIFS('13 Effectiveness Review'!$C$6:$C$155,B25,'13 Effectiveness Review'!$F$6:$F$155,G25,'13 Effectiveness Review'!$X$6:$X$155,"Closed — Effective"))</x:f>
      </x:c>
      <x:c r="T25" s="94" t="str">
        <x:f>IF(B25="","",IF(K25="","Not Assessed",IF(O25="Expired","Renewal Due",IF(L25=0,"Competent","Skill Gap"))))</x:f>
      </x:c>
      <x:c r="U25" s="94" t="str">
        <x:f>IFERROR(VLOOKUP(D25&amp;"|"&amp;E25&amp;"|"&amp;G25,'03 Position Requirements'!$A$6:$R$285,14,FALSE),"")</x:f>
      </x:c>
      <x:c r="V25" s="92"/>
      <x:c r="W25" s="85" t="str">
        <x:f>IF(B25="","",B25&amp;"|"&amp;COUNTIF($B$6:B25,B25))</x:f>
      </x:c>
      <x:c r="X25" s="85" t="str">
        <x:f>IF(B25="","",G25)</x:f>
      </x:c>
      <x:c r="Y25" s="85" t="str">
        <x:f>IF(B25="","",H25)</x:f>
      </x:c>
      <x:c r="Z25" s="85" t="str">
        <x:f>IF(B25="","",I25)</x:f>
      </x:c>
      <x:c r="AA25" s="85" t="str">
        <x:f>IF(B25="","",J25)</x:f>
      </x:c>
      <x:c r="AB25" s="85" t="str">
        <x:f>IF(B25="","",K25)</x:f>
      </x:c>
      <x:c r="AC25" s="85" t="str">
        <x:f>IF(B25="","",L25)</x:f>
      </x:c>
      <x:c r="AD25" s="85" t="str">
        <x:f>IF(B25="","",M25)</x:f>
      </x:c>
      <x:c r="AE25" s="85" t="str">
        <x:f>IF(B25="","",N25)</x:f>
      </x:c>
      <x:c r="AF25" s="85" t="str">
        <x:f>IF(B25="","",O25)</x:f>
      </x:c>
      <x:c r="AG25" s="85" t="str">
        <x:f>IF(B25="","",P25)</x:f>
      </x:c>
      <x:c r="AH25" s="85" t="str">
        <x:f>IF(B25="","",Q25)</x:f>
      </x:c>
      <x:c r="AI25" s="85" t="str">
        <x:f>IF(B25="","",R25)</x:f>
      </x:c>
      <x:c r="AJ25" s="85" t="str">
        <x:f>IF(B25="","",S25)</x:f>
      </x:c>
      <x:c r="AK25" s="85" t="str">
        <x:f>IF(B25="","",T25)</x:f>
      </x:c>
    </x:row>
    <x:row r="26">
      <x:c r="A26" s="94" t="str">
        <x:f>IF(OR(B26="",G26=""),"",B26&amp;"|"&amp;G26)</x:f>
      </x:c>
      <x:c r="B26" s="92"/>
      <x:c r="C26" s="94" t="str">
        <x:f>IFERROR(VLOOKUP(B26,'01 Staff Master'!$A$6:$M$105,2,FALSE),"")</x:f>
      </x:c>
      <x:c r="D26" s="94" t="str">
        <x:f>IFERROR(VLOOKUP(B26,'01 Staff Master'!$A$6:$M$105,3,FALSE),"")</x:f>
      </x:c>
      <x:c r="E26" s="94" t="str">
        <x:f>IFERROR(VLOOKUP(B26,'01 Staff Master'!$A$6:$M$105,5,FALSE),"")</x:f>
      </x:c>
      <x:c r="F26" s="94" t="str">
        <x:f>IFERROR(VLOOKUP(B26,'01 Staff Master'!$A$6:$M$105,4,FALSE),"")</x:f>
      </x:c>
      <x:c r="G26" s="92"/>
      <x:c r="H26" s="94" t="str">
        <x:f>IFERROR(VLOOKUP(G26,'02 Skill Catalogue'!$A$6:$K$95,4,FALSE),"")</x:f>
      </x:c>
      <x:c r="I26" s="94" t="str">
        <x:f>IFERROR(VLOOKUP(D26&amp;"|"&amp;E26&amp;"|"&amp;G26,'03 Position Requirements'!$A$6:$R$285,8,FALSE),"")</x:f>
      </x:c>
      <x:c r="J26" s="94" t="str">
        <x:f>IFERROR(VLOOKUP(D26&amp;"|"&amp;E26&amp;"|"&amp;G26,'03 Position Requirements'!$A$6:$R$285,10,FALSE),"")</x:f>
      </x:c>
      <x:c r="K26" s="94" t="str">
        <x:f>IF(OR(B26="",G26=""),"",IF(COUNTIFS('04 Assessment Log'!$D$6:$D$155,B26,'04 Assessment Log'!$J$6:$J$155,G26,'04 Assessment Log'!$AA$6:$AA$155,"Yes")=0,"",SUMIFS('04 Assessment Log'!$O$6:$O$155,'04 Assessment Log'!$D$6:$D$155,B26,'04 Assessment Log'!$J$6:$J$155,G26,'04 Assessment Log'!$AA$6:$AA$155,"Yes")))</x:f>
      </x:c>
      <x:c r="L26" s="94" t="str">
        <x:f>IF(OR(J26="",K26=""),"",MAX(J26-K26,0))</x:f>
      </x:c>
      <x:c r="M26" s="102" t="str">
        <x:f>IF(COUNTIFS('04 Assessment Log'!$D$6:$D$155,B26,'04 Assessment Log'!$J$6:$J$155,G26,'04 Assessment Log'!$AA$6:$AA$155,"Yes")=0,"",SUMIFS('04 Assessment Log'!$B$6:$B$155,'04 Assessment Log'!$D$6:$D$155,B26,'04 Assessment Log'!$J$6:$J$155,G26,'04 Assessment Log'!$AA$6:$AA$155,"Yes"))</x:f>
      </x:c>
      <x:c r="N26" s="102" t="str">
        <x:f>IF(M26="","",SUMIFS('04 Assessment Log'!$Z$6:$Z$155,'04 Assessment Log'!$D$6:$D$155,B26,'04 Assessment Log'!$J$6:$J$155,G26,'04 Assessment Log'!$AA$6:$AA$155,"Yes"))</x:f>
      </x:c>
      <x:c r="O26" s="94" t="str">
        <x:f>IF(M26="","Not Assessed",IF(N26&lt;TODAY(),"Expired",IF(N26&lt;=TODAY()+30,"Due Soon","Current")))</x:f>
        <x:v>Not Assessed</x:v>
      </x:c>
      <x:c r="P26" s="94" t="str">
        <x:f>IF(OR(B26="",G26=""),"",COUNTIFS('05 Development Actions'!$C$6:$C$105,B26,'05 Development Actions'!$G$6:$G$105,G26,'05 Development Actions'!$A$6:$A$105,"&lt;&gt;",'05 Development Actions'!$AB$6:$AB$105,"&lt;&gt;Closed — Competent",'05 Development Actions'!$AB$6:$AB$105,"&lt;&gt;Cancelled"))</x:f>
      </x:c>
      <x:c r="Q26" s="94" t="str">
        <x:f>IF(OR(B26="",G26=""),"",COUNTIFS('11 Training Attendance'!$E$6:$E$155,B26,'11 Training Attendance'!$K$6:$K$155,"Attended",'11 Training Attendance'!$I$6:$I$155,G26))</x:f>
      </x:c>
      <x:c r="R26" s="102" t="str">
        <x:f>IF(Q26=0,"",MAXIFS('11 Training Attendance'!$D$6:$D$155,'11 Training Attendance'!$E$6:$E$155,B26,'11 Training Attendance'!$K$6:$K$155,"Attended",'11 Training Attendance'!$I$6:$I$155,G26))</x:f>
      </x:c>
      <x:c r="S26" s="94" t="str">
        <x:f>IF(OR(B26="",G26=""),"",COUNTIFS('13 Effectiveness Review'!$C$6:$C$155,B26,'13 Effectiveness Review'!$F$6:$F$155,G26,'13 Effectiveness Review'!$X$6:$X$155,"Closed — Effective"))</x:f>
      </x:c>
      <x:c r="T26" s="94" t="str">
        <x:f>IF(B26="","",IF(K26="","Not Assessed",IF(O26="Expired","Renewal Due",IF(L26=0,"Competent","Skill Gap"))))</x:f>
      </x:c>
      <x:c r="U26" s="94" t="str">
        <x:f>IFERROR(VLOOKUP(D26&amp;"|"&amp;E26&amp;"|"&amp;G26,'03 Position Requirements'!$A$6:$R$285,14,FALSE),"")</x:f>
      </x:c>
      <x:c r="V26" s="92"/>
      <x:c r="W26" s="85" t="str">
        <x:f>IF(B26="","",B26&amp;"|"&amp;COUNTIF($B$6:B26,B26))</x:f>
      </x:c>
      <x:c r="X26" s="85" t="str">
        <x:f>IF(B26="","",G26)</x:f>
      </x:c>
      <x:c r="Y26" s="85" t="str">
        <x:f>IF(B26="","",H26)</x:f>
      </x:c>
      <x:c r="Z26" s="85" t="str">
        <x:f>IF(B26="","",I26)</x:f>
      </x:c>
      <x:c r="AA26" s="85" t="str">
        <x:f>IF(B26="","",J26)</x:f>
      </x:c>
      <x:c r="AB26" s="85" t="str">
        <x:f>IF(B26="","",K26)</x:f>
      </x:c>
      <x:c r="AC26" s="85" t="str">
        <x:f>IF(B26="","",L26)</x:f>
      </x:c>
      <x:c r="AD26" s="85" t="str">
        <x:f>IF(B26="","",M26)</x:f>
      </x:c>
      <x:c r="AE26" s="85" t="str">
        <x:f>IF(B26="","",N26)</x:f>
      </x:c>
      <x:c r="AF26" s="85" t="str">
        <x:f>IF(B26="","",O26)</x:f>
      </x:c>
      <x:c r="AG26" s="85" t="str">
        <x:f>IF(B26="","",P26)</x:f>
      </x:c>
      <x:c r="AH26" s="85" t="str">
        <x:f>IF(B26="","",Q26)</x:f>
      </x:c>
      <x:c r="AI26" s="85" t="str">
        <x:f>IF(B26="","",R26)</x:f>
      </x:c>
      <x:c r="AJ26" s="85" t="str">
        <x:f>IF(B26="","",S26)</x:f>
      </x:c>
      <x:c r="AK26" s="85" t="str">
        <x:f>IF(B26="","",T26)</x:f>
      </x:c>
    </x:row>
    <x:row r="27">
      <x:c r="A27" s="94" t="str">
        <x:f>IF(OR(B27="",G27=""),"",B27&amp;"|"&amp;G27)</x:f>
      </x:c>
      <x:c r="B27" s="92"/>
      <x:c r="C27" s="94" t="str">
        <x:f>IFERROR(VLOOKUP(B27,'01 Staff Master'!$A$6:$M$105,2,FALSE),"")</x:f>
      </x:c>
      <x:c r="D27" s="94" t="str">
        <x:f>IFERROR(VLOOKUP(B27,'01 Staff Master'!$A$6:$M$105,3,FALSE),"")</x:f>
      </x:c>
      <x:c r="E27" s="94" t="str">
        <x:f>IFERROR(VLOOKUP(B27,'01 Staff Master'!$A$6:$M$105,5,FALSE),"")</x:f>
      </x:c>
      <x:c r="F27" s="94" t="str">
        <x:f>IFERROR(VLOOKUP(B27,'01 Staff Master'!$A$6:$M$105,4,FALSE),"")</x:f>
      </x:c>
      <x:c r="G27" s="92"/>
      <x:c r="H27" s="94" t="str">
        <x:f>IFERROR(VLOOKUP(G27,'02 Skill Catalogue'!$A$6:$K$95,4,FALSE),"")</x:f>
      </x:c>
      <x:c r="I27" s="94" t="str">
        <x:f>IFERROR(VLOOKUP(D27&amp;"|"&amp;E27&amp;"|"&amp;G27,'03 Position Requirements'!$A$6:$R$285,8,FALSE),"")</x:f>
      </x:c>
      <x:c r="J27" s="94" t="str">
        <x:f>IFERROR(VLOOKUP(D27&amp;"|"&amp;E27&amp;"|"&amp;G27,'03 Position Requirements'!$A$6:$R$285,10,FALSE),"")</x:f>
      </x:c>
      <x:c r="K27" s="94" t="str">
        <x:f>IF(OR(B27="",G27=""),"",IF(COUNTIFS('04 Assessment Log'!$D$6:$D$155,B27,'04 Assessment Log'!$J$6:$J$155,G27,'04 Assessment Log'!$AA$6:$AA$155,"Yes")=0,"",SUMIFS('04 Assessment Log'!$O$6:$O$155,'04 Assessment Log'!$D$6:$D$155,B27,'04 Assessment Log'!$J$6:$J$155,G27,'04 Assessment Log'!$AA$6:$AA$155,"Yes")))</x:f>
      </x:c>
      <x:c r="L27" s="94" t="str">
        <x:f>IF(OR(J27="",K27=""),"",MAX(J27-K27,0))</x:f>
      </x:c>
      <x:c r="M27" s="102" t="str">
        <x:f>IF(COUNTIFS('04 Assessment Log'!$D$6:$D$155,B27,'04 Assessment Log'!$J$6:$J$155,G27,'04 Assessment Log'!$AA$6:$AA$155,"Yes")=0,"",SUMIFS('04 Assessment Log'!$B$6:$B$155,'04 Assessment Log'!$D$6:$D$155,B27,'04 Assessment Log'!$J$6:$J$155,G27,'04 Assessment Log'!$AA$6:$AA$155,"Yes"))</x:f>
      </x:c>
      <x:c r="N27" s="102" t="str">
        <x:f>IF(M27="","",SUMIFS('04 Assessment Log'!$Z$6:$Z$155,'04 Assessment Log'!$D$6:$D$155,B27,'04 Assessment Log'!$J$6:$J$155,G27,'04 Assessment Log'!$AA$6:$AA$155,"Yes"))</x:f>
      </x:c>
      <x:c r="O27" s="94" t="str">
        <x:f>IF(M27="","Not Assessed",IF(N27&lt;TODAY(),"Expired",IF(N27&lt;=TODAY()+30,"Due Soon","Current")))</x:f>
        <x:v>Not Assessed</x:v>
      </x:c>
      <x:c r="P27" s="94" t="str">
        <x:f>IF(OR(B27="",G27=""),"",COUNTIFS('05 Development Actions'!$C$6:$C$105,B27,'05 Development Actions'!$G$6:$G$105,G27,'05 Development Actions'!$A$6:$A$105,"&lt;&gt;",'05 Development Actions'!$AB$6:$AB$105,"&lt;&gt;Closed — Competent",'05 Development Actions'!$AB$6:$AB$105,"&lt;&gt;Cancelled"))</x:f>
      </x:c>
      <x:c r="Q27" s="94" t="str">
        <x:f>IF(OR(B27="",G27=""),"",COUNTIFS('11 Training Attendance'!$E$6:$E$155,B27,'11 Training Attendance'!$K$6:$K$155,"Attended",'11 Training Attendance'!$I$6:$I$155,G27))</x:f>
      </x:c>
      <x:c r="R27" s="102" t="str">
        <x:f>IF(Q27=0,"",MAXIFS('11 Training Attendance'!$D$6:$D$155,'11 Training Attendance'!$E$6:$E$155,B27,'11 Training Attendance'!$K$6:$K$155,"Attended",'11 Training Attendance'!$I$6:$I$155,G27))</x:f>
      </x:c>
      <x:c r="S27" s="94" t="str">
        <x:f>IF(OR(B27="",G27=""),"",COUNTIFS('13 Effectiveness Review'!$C$6:$C$155,B27,'13 Effectiveness Review'!$F$6:$F$155,G27,'13 Effectiveness Review'!$X$6:$X$155,"Closed — Effective"))</x:f>
      </x:c>
      <x:c r="T27" s="94" t="str">
        <x:f>IF(B27="","",IF(K27="","Not Assessed",IF(O27="Expired","Renewal Due",IF(L27=0,"Competent","Skill Gap"))))</x:f>
      </x:c>
      <x:c r="U27" s="94" t="str">
        <x:f>IFERROR(VLOOKUP(D27&amp;"|"&amp;E27&amp;"|"&amp;G27,'03 Position Requirements'!$A$6:$R$285,14,FALSE),"")</x:f>
      </x:c>
      <x:c r="V27" s="92"/>
      <x:c r="W27" s="85" t="str">
        <x:f>IF(B27="","",B27&amp;"|"&amp;COUNTIF($B$6:B27,B27))</x:f>
      </x:c>
      <x:c r="X27" s="85" t="str">
        <x:f>IF(B27="","",G27)</x:f>
      </x:c>
      <x:c r="Y27" s="85" t="str">
        <x:f>IF(B27="","",H27)</x:f>
      </x:c>
      <x:c r="Z27" s="85" t="str">
        <x:f>IF(B27="","",I27)</x:f>
      </x:c>
      <x:c r="AA27" s="85" t="str">
        <x:f>IF(B27="","",J27)</x:f>
      </x:c>
      <x:c r="AB27" s="85" t="str">
        <x:f>IF(B27="","",K27)</x:f>
      </x:c>
      <x:c r="AC27" s="85" t="str">
        <x:f>IF(B27="","",L27)</x:f>
      </x:c>
      <x:c r="AD27" s="85" t="str">
        <x:f>IF(B27="","",M27)</x:f>
      </x:c>
      <x:c r="AE27" s="85" t="str">
        <x:f>IF(B27="","",N27)</x:f>
      </x:c>
      <x:c r="AF27" s="85" t="str">
        <x:f>IF(B27="","",O27)</x:f>
      </x:c>
      <x:c r="AG27" s="85" t="str">
        <x:f>IF(B27="","",P27)</x:f>
      </x:c>
      <x:c r="AH27" s="85" t="str">
        <x:f>IF(B27="","",Q27)</x:f>
      </x:c>
      <x:c r="AI27" s="85" t="str">
        <x:f>IF(B27="","",R27)</x:f>
      </x:c>
      <x:c r="AJ27" s="85" t="str">
        <x:f>IF(B27="","",S27)</x:f>
      </x:c>
      <x:c r="AK27" s="85" t="str">
        <x:f>IF(B27="","",T27)</x:f>
      </x:c>
    </x:row>
    <x:row r="28">
      <x:c r="A28" s="94" t="str">
        <x:f>IF(OR(B28="",G28=""),"",B28&amp;"|"&amp;G28)</x:f>
      </x:c>
      <x:c r="B28" s="92"/>
      <x:c r="C28" s="94" t="str">
        <x:f>IFERROR(VLOOKUP(B28,'01 Staff Master'!$A$6:$M$105,2,FALSE),"")</x:f>
      </x:c>
      <x:c r="D28" s="94" t="str">
        <x:f>IFERROR(VLOOKUP(B28,'01 Staff Master'!$A$6:$M$105,3,FALSE),"")</x:f>
      </x:c>
      <x:c r="E28" s="94" t="str">
        <x:f>IFERROR(VLOOKUP(B28,'01 Staff Master'!$A$6:$M$105,5,FALSE),"")</x:f>
      </x:c>
      <x:c r="F28" s="94" t="str">
        <x:f>IFERROR(VLOOKUP(B28,'01 Staff Master'!$A$6:$M$105,4,FALSE),"")</x:f>
      </x:c>
      <x:c r="G28" s="92"/>
      <x:c r="H28" s="94" t="str">
        <x:f>IFERROR(VLOOKUP(G28,'02 Skill Catalogue'!$A$6:$K$95,4,FALSE),"")</x:f>
      </x:c>
      <x:c r="I28" s="94" t="str">
        <x:f>IFERROR(VLOOKUP(D28&amp;"|"&amp;E28&amp;"|"&amp;G28,'03 Position Requirements'!$A$6:$R$285,8,FALSE),"")</x:f>
      </x:c>
      <x:c r="J28" s="94" t="str">
        <x:f>IFERROR(VLOOKUP(D28&amp;"|"&amp;E28&amp;"|"&amp;G28,'03 Position Requirements'!$A$6:$R$285,10,FALSE),"")</x:f>
      </x:c>
      <x:c r="K28" s="94" t="str">
        <x:f>IF(OR(B28="",G28=""),"",IF(COUNTIFS('04 Assessment Log'!$D$6:$D$155,B28,'04 Assessment Log'!$J$6:$J$155,G28,'04 Assessment Log'!$AA$6:$AA$155,"Yes")=0,"",SUMIFS('04 Assessment Log'!$O$6:$O$155,'04 Assessment Log'!$D$6:$D$155,B28,'04 Assessment Log'!$J$6:$J$155,G28,'04 Assessment Log'!$AA$6:$AA$155,"Yes")))</x:f>
      </x:c>
      <x:c r="L28" s="94" t="str">
        <x:f>IF(OR(J28="",K28=""),"",MAX(J28-K28,0))</x:f>
      </x:c>
      <x:c r="M28" s="102" t="str">
        <x:f>IF(COUNTIFS('04 Assessment Log'!$D$6:$D$155,B28,'04 Assessment Log'!$J$6:$J$155,G28,'04 Assessment Log'!$AA$6:$AA$155,"Yes")=0,"",SUMIFS('04 Assessment Log'!$B$6:$B$155,'04 Assessment Log'!$D$6:$D$155,B28,'04 Assessment Log'!$J$6:$J$155,G28,'04 Assessment Log'!$AA$6:$AA$155,"Yes"))</x:f>
      </x:c>
      <x:c r="N28" s="102" t="str">
        <x:f>IF(M28="","",SUMIFS('04 Assessment Log'!$Z$6:$Z$155,'04 Assessment Log'!$D$6:$D$155,B28,'04 Assessment Log'!$J$6:$J$155,G28,'04 Assessment Log'!$AA$6:$AA$155,"Yes"))</x:f>
      </x:c>
      <x:c r="O28" s="94" t="str">
        <x:f>IF(M28="","Not Assessed",IF(N28&lt;TODAY(),"Expired",IF(N28&lt;=TODAY()+30,"Due Soon","Current")))</x:f>
        <x:v>Not Assessed</x:v>
      </x:c>
      <x:c r="P28" s="94" t="str">
        <x:f>IF(OR(B28="",G28=""),"",COUNTIFS('05 Development Actions'!$C$6:$C$105,B28,'05 Development Actions'!$G$6:$G$105,G28,'05 Development Actions'!$A$6:$A$105,"&lt;&gt;",'05 Development Actions'!$AB$6:$AB$105,"&lt;&gt;Closed — Competent",'05 Development Actions'!$AB$6:$AB$105,"&lt;&gt;Cancelled"))</x:f>
      </x:c>
      <x:c r="Q28" s="94" t="str">
        <x:f>IF(OR(B28="",G28=""),"",COUNTIFS('11 Training Attendance'!$E$6:$E$155,B28,'11 Training Attendance'!$K$6:$K$155,"Attended",'11 Training Attendance'!$I$6:$I$155,G28))</x:f>
      </x:c>
      <x:c r="R28" s="102" t="str">
        <x:f>IF(Q28=0,"",MAXIFS('11 Training Attendance'!$D$6:$D$155,'11 Training Attendance'!$E$6:$E$155,B28,'11 Training Attendance'!$K$6:$K$155,"Attended",'11 Training Attendance'!$I$6:$I$155,G28))</x:f>
      </x:c>
      <x:c r="S28" s="94" t="str">
        <x:f>IF(OR(B28="",G28=""),"",COUNTIFS('13 Effectiveness Review'!$C$6:$C$155,B28,'13 Effectiveness Review'!$F$6:$F$155,G28,'13 Effectiveness Review'!$X$6:$X$155,"Closed — Effective"))</x:f>
      </x:c>
      <x:c r="T28" s="94" t="str">
        <x:f>IF(B28="","",IF(K28="","Not Assessed",IF(O28="Expired","Renewal Due",IF(L28=0,"Competent","Skill Gap"))))</x:f>
      </x:c>
      <x:c r="U28" s="94" t="str">
        <x:f>IFERROR(VLOOKUP(D28&amp;"|"&amp;E28&amp;"|"&amp;G28,'03 Position Requirements'!$A$6:$R$285,14,FALSE),"")</x:f>
      </x:c>
      <x:c r="V28" s="92"/>
      <x:c r="W28" s="85" t="str">
        <x:f>IF(B28="","",B28&amp;"|"&amp;COUNTIF($B$6:B28,B28))</x:f>
      </x:c>
      <x:c r="X28" s="85" t="str">
        <x:f>IF(B28="","",G28)</x:f>
      </x:c>
      <x:c r="Y28" s="85" t="str">
        <x:f>IF(B28="","",H28)</x:f>
      </x:c>
      <x:c r="Z28" s="85" t="str">
        <x:f>IF(B28="","",I28)</x:f>
      </x:c>
      <x:c r="AA28" s="85" t="str">
        <x:f>IF(B28="","",J28)</x:f>
      </x:c>
      <x:c r="AB28" s="85" t="str">
        <x:f>IF(B28="","",K28)</x:f>
      </x:c>
      <x:c r="AC28" s="85" t="str">
        <x:f>IF(B28="","",L28)</x:f>
      </x:c>
      <x:c r="AD28" s="85" t="str">
        <x:f>IF(B28="","",M28)</x:f>
      </x:c>
      <x:c r="AE28" s="85" t="str">
        <x:f>IF(B28="","",N28)</x:f>
      </x:c>
      <x:c r="AF28" s="85" t="str">
        <x:f>IF(B28="","",O28)</x:f>
      </x:c>
      <x:c r="AG28" s="85" t="str">
        <x:f>IF(B28="","",P28)</x:f>
      </x:c>
      <x:c r="AH28" s="85" t="str">
        <x:f>IF(B28="","",Q28)</x:f>
      </x:c>
      <x:c r="AI28" s="85" t="str">
        <x:f>IF(B28="","",R28)</x:f>
      </x:c>
      <x:c r="AJ28" s="85" t="str">
        <x:f>IF(B28="","",S28)</x:f>
      </x:c>
      <x:c r="AK28" s="85" t="str">
        <x:f>IF(B28="","",T28)</x:f>
      </x:c>
    </x:row>
    <x:row r="29">
      <x:c r="A29" s="94" t="str">
        <x:f>IF(OR(B29="",G29=""),"",B29&amp;"|"&amp;G29)</x:f>
      </x:c>
      <x:c r="B29" s="92"/>
      <x:c r="C29" s="94" t="str">
        <x:f>IFERROR(VLOOKUP(B29,'01 Staff Master'!$A$6:$M$105,2,FALSE),"")</x:f>
      </x:c>
      <x:c r="D29" s="94" t="str">
        <x:f>IFERROR(VLOOKUP(B29,'01 Staff Master'!$A$6:$M$105,3,FALSE),"")</x:f>
      </x:c>
      <x:c r="E29" s="94" t="str">
        <x:f>IFERROR(VLOOKUP(B29,'01 Staff Master'!$A$6:$M$105,5,FALSE),"")</x:f>
      </x:c>
      <x:c r="F29" s="94" t="str">
        <x:f>IFERROR(VLOOKUP(B29,'01 Staff Master'!$A$6:$M$105,4,FALSE),"")</x:f>
      </x:c>
      <x:c r="G29" s="92"/>
      <x:c r="H29" s="94" t="str">
        <x:f>IFERROR(VLOOKUP(G29,'02 Skill Catalogue'!$A$6:$K$95,4,FALSE),"")</x:f>
      </x:c>
      <x:c r="I29" s="94" t="str">
        <x:f>IFERROR(VLOOKUP(D29&amp;"|"&amp;E29&amp;"|"&amp;G29,'03 Position Requirements'!$A$6:$R$285,8,FALSE),"")</x:f>
      </x:c>
      <x:c r="J29" s="94" t="str">
        <x:f>IFERROR(VLOOKUP(D29&amp;"|"&amp;E29&amp;"|"&amp;G29,'03 Position Requirements'!$A$6:$R$285,10,FALSE),"")</x:f>
      </x:c>
      <x:c r="K29" s="94" t="str">
        <x:f>IF(OR(B29="",G29=""),"",IF(COUNTIFS('04 Assessment Log'!$D$6:$D$155,B29,'04 Assessment Log'!$J$6:$J$155,G29,'04 Assessment Log'!$AA$6:$AA$155,"Yes")=0,"",SUMIFS('04 Assessment Log'!$O$6:$O$155,'04 Assessment Log'!$D$6:$D$155,B29,'04 Assessment Log'!$J$6:$J$155,G29,'04 Assessment Log'!$AA$6:$AA$155,"Yes")))</x:f>
      </x:c>
      <x:c r="L29" s="94" t="str">
        <x:f>IF(OR(J29="",K29=""),"",MAX(J29-K29,0))</x:f>
      </x:c>
      <x:c r="M29" s="102" t="str">
        <x:f>IF(COUNTIFS('04 Assessment Log'!$D$6:$D$155,B29,'04 Assessment Log'!$J$6:$J$155,G29,'04 Assessment Log'!$AA$6:$AA$155,"Yes")=0,"",SUMIFS('04 Assessment Log'!$B$6:$B$155,'04 Assessment Log'!$D$6:$D$155,B29,'04 Assessment Log'!$J$6:$J$155,G29,'04 Assessment Log'!$AA$6:$AA$155,"Yes"))</x:f>
      </x:c>
      <x:c r="N29" s="102" t="str">
        <x:f>IF(M29="","",SUMIFS('04 Assessment Log'!$Z$6:$Z$155,'04 Assessment Log'!$D$6:$D$155,B29,'04 Assessment Log'!$J$6:$J$155,G29,'04 Assessment Log'!$AA$6:$AA$155,"Yes"))</x:f>
      </x:c>
      <x:c r="O29" s="94" t="str">
        <x:f>IF(M29="","Not Assessed",IF(N29&lt;TODAY(),"Expired",IF(N29&lt;=TODAY()+30,"Due Soon","Current")))</x:f>
        <x:v>Not Assessed</x:v>
      </x:c>
      <x:c r="P29" s="94" t="str">
        <x:f>IF(OR(B29="",G29=""),"",COUNTIFS('05 Development Actions'!$C$6:$C$105,B29,'05 Development Actions'!$G$6:$G$105,G29,'05 Development Actions'!$A$6:$A$105,"&lt;&gt;",'05 Development Actions'!$AB$6:$AB$105,"&lt;&gt;Closed — Competent",'05 Development Actions'!$AB$6:$AB$105,"&lt;&gt;Cancelled"))</x:f>
      </x:c>
      <x:c r="Q29" s="94" t="str">
        <x:f>IF(OR(B29="",G29=""),"",COUNTIFS('11 Training Attendance'!$E$6:$E$155,B29,'11 Training Attendance'!$K$6:$K$155,"Attended",'11 Training Attendance'!$I$6:$I$155,G29))</x:f>
      </x:c>
      <x:c r="R29" s="102" t="str">
        <x:f>IF(Q29=0,"",MAXIFS('11 Training Attendance'!$D$6:$D$155,'11 Training Attendance'!$E$6:$E$155,B29,'11 Training Attendance'!$K$6:$K$155,"Attended",'11 Training Attendance'!$I$6:$I$155,G29))</x:f>
      </x:c>
      <x:c r="S29" s="94" t="str">
        <x:f>IF(OR(B29="",G29=""),"",COUNTIFS('13 Effectiveness Review'!$C$6:$C$155,B29,'13 Effectiveness Review'!$F$6:$F$155,G29,'13 Effectiveness Review'!$X$6:$X$155,"Closed — Effective"))</x:f>
      </x:c>
      <x:c r="T29" s="94" t="str">
        <x:f>IF(B29="","",IF(K29="","Not Assessed",IF(O29="Expired","Renewal Due",IF(L29=0,"Competent","Skill Gap"))))</x:f>
      </x:c>
      <x:c r="U29" s="94" t="str">
        <x:f>IFERROR(VLOOKUP(D29&amp;"|"&amp;E29&amp;"|"&amp;G29,'03 Position Requirements'!$A$6:$R$285,14,FALSE),"")</x:f>
      </x:c>
      <x:c r="V29" s="92"/>
      <x:c r="W29" s="85" t="str">
        <x:f>IF(B29="","",B29&amp;"|"&amp;COUNTIF($B$6:B29,B29))</x:f>
      </x:c>
      <x:c r="X29" s="85" t="str">
        <x:f>IF(B29="","",G29)</x:f>
      </x:c>
      <x:c r="Y29" s="85" t="str">
        <x:f>IF(B29="","",H29)</x:f>
      </x:c>
      <x:c r="Z29" s="85" t="str">
        <x:f>IF(B29="","",I29)</x:f>
      </x:c>
      <x:c r="AA29" s="85" t="str">
        <x:f>IF(B29="","",J29)</x:f>
      </x:c>
      <x:c r="AB29" s="85" t="str">
        <x:f>IF(B29="","",K29)</x:f>
      </x:c>
      <x:c r="AC29" s="85" t="str">
        <x:f>IF(B29="","",L29)</x:f>
      </x:c>
      <x:c r="AD29" s="85" t="str">
        <x:f>IF(B29="","",M29)</x:f>
      </x:c>
      <x:c r="AE29" s="85" t="str">
        <x:f>IF(B29="","",N29)</x:f>
      </x:c>
      <x:c r="AF29" s="85" t="str">
        <x:f>IF(B29="","",O29)</x:f>
      </x:c>
      <x:c r="AG29" s="85" t="str">
        <x:f>IF(B29="","",P29)</x:f>
      </x:c>
      <x:c r="AH29" s="85" t="str">
        <x:f>IF(B29="","",Q29)</x:f>
      </x:c>
      <x:c r="AI29" s="85" t="str">
        <x:f>IF(B29="","",R29)</x:f>
      </x:c>
      <x:c r="AJ29" s="85" t="str">
        <x:f>IF(B29="","",S29)</x:f>
      </x:c>
      <x:c r="AK29" s="85" t="str">
        <x:f>IF(B29="","",T29)</x:f>
      </x:c>
    </x:row>
    <x:row r="30">
      <x:c r="A30" s="94" t="str">
        <x:f>IF(OR(B30="",G30=""),"",B30&amp;"|"&amp;G30)</x:f>
      </x:c>
      <x:c r="B30" s="92"/>
      <x:c r="C30" s="94" t="str">
        <x:f>IFERROR(VLOOKUP(B30,'01 Staff Master'!$A$6:$M$105,2,FALSE),"")</x:f>
      </x:c>
      <x:c r="D30" s="94" t="str">
        <x:f>IFERROR(VLOOKUP(B30,'01 Staff Master'!$A$6:$M$105,3,FALSE),"")</x:f>
      </x:c>
      <x:c r="E30" s="94" t="str">
        <x:f>IFERROR(VLOOKUP(B30,'01 Staff Master'!$A$6:$M$105,5,FALSE),"")</x:f>
      </x:c>
      <x:c r="F30" s="94" t="str">
        <x:f>IFERROR(VLOOKUP(B30,'01 Staff Master'!$A$6:$M$105,4,FALSE),"")</x:f>
      </x:c>
      <x:c r="G30" s="92"/>
      <x:c r="H30" s="94" t="str">
        <x:f>IFERROR(VLOOKUP(G30,'02 Skill Catalogue'!$A$6:$K$95,4,FALSE),"")</x:f>
      </x:c>
      <x:c r="I30" s="94" t="str">
        <x:f>IFERROR(VLOOKUP(D30&amp;"|"&amp;E30&amp;"|"&amp;G30,'03 Position Requirements'!$A$6:$R$285,8,FALSE),"")</x:f>
      </x:c>
      <x:c r="J30" s="94" t="str">
        <x:f>IFERROR(VLOOKUP(D30&amp;"|"&amp;E30&amp;"|"&amp;G30,'03 Position Requirements'!$A$6:$R$285,10,FALSE),"")</x:f>
      </x:c>
      <x:c r="K30" s="94" t="str">
        <x:f>IF(OR(B30="",G30=""),"",IF(COUNTIFS('04 Assessment Log'!$D$6:$D$155,B30,'04 Assessment Log'!$J$6:$J$155,G30,'04 Assessment Log'!$AA$6:$AA$155,"Yes")=0,"",SUMIFS('04 Assessment Log'!$O$6:$O$155,'04 Assessment Log'!$D$6:$D$155,B30,'04 Assessment Log'!$J$6:$J$155,G30,'04 Assessment Log'!$AA$6:$AA$155,"Yes")))</x:f>
      </x:c>
      <x:c r="L30" s="94" t="str">
        <x:f>IF(OR(J30="",K30=""),"",MAX(J30-K30,0))</x:f>
      </x:c>
      <x:c r="M30" s="102" t="str">
        <x:f>IF(COUNTIFS('04 Assessment Log'!$D$6:$D$155,B30,'04 Assessment Log'!$J$6:$J$155,G30,'04 Assessment Log'!$AA$6:$AA$155,"Yes")=0,"",SUMIFS('04 Assessment Log'!$B$6:$B$155,'04 Assessment Log'!$D$6:$D$155,B30,'04 Assessment Log'!$J$6:$J$155,G30,'04 Assessment Log'!$AA$6:$AA$155,"Yes"))</x:f>
      </x:c>
      <x:c r="N30" s="102" t="str">
        <x:f>IF(M30="","",SUMIFS('04 Assessment Log'!$Z$6:$Z$155,'04 Assessment Log'!$D$6:$D$155,B30,'04 Assessment Log'!$J$6:$J$155,G30,'04 Assessment Log'!$AA$6:$AA$155,"Yes"))</x:f>
      </x:c>
      <x:c r="O30" s="94" t="str">
        <x:f>IF(M30="","Not Assessed",IF(N30&lt;TODAY(),"Expired",IF(N30&lt;=TODAY()+30,"Due Soon","Current")))</x:f>
        <x:v>Not Assessed</x:v>
      </x:c>
      <x:c r="P30" s="94" t="str">
        <x:f>IF(OR(B30="",G30=""),"",COUNTIFS('05 Development Actions'!$C$6:$C$105,B30,'05 Development Actions'!$G$6:$G$105,G30,'05 Development Actions'!$A$6:$A$105,"&lt;&gt;",'05 Development Actions'!$AB$6:$AB$105,"&lt;&gt;Closed — Competent",'05 Development Actions'!$AB$6:$AB$105,"&lt;&gt;Cancelled"))</x:f>
      </x:c>
      <x:c r="Q30" s="94" t="str">
        <x:f>IF(OR(B30="",G30=""),"",COUNTIFS('11 Training Attendance'!$E$6:$E$155,B30,'11 Training Attendance'!$K$6:$K$155,"Attended",'11 Training Attendance'!$I$6:$I$155,G30))</x:f>
      </x:c>
      <x:c r="R30" s="102" t="str">
        <x:f>IF(Q30=0,"",MAXIFS('11 Training Attendance'!$D$6:$D$155,'11 Training Attendance'!$E$6:$E$155,B30,'11 Training Attendance'!$K$6:$K$155,"Attended",'11 Training Attendance'!$I$6:$I$155,G30))</x:f>
      </x:c>
      <x:c r="S30" s="94" t="str">
        <x:f>IF(OR(B30="",G30=""),"",COUNTIFS('13 Effectiveness Review'!$C$6:$C$155,B30,'13 Effectiveness Review'!$F$6:$F$155,G30,'13 Effectiveness Review'!$X$6:$X$155,"Closed — Effective"))</x:f>
      </x:c>
      <x:c r="T30" s="94" t="str">
        <x:f>IF(B30="","",IF(K30="","Not Assessed",IF(O30="Expired","Renewal Due",IF(L30=0,"Competent","Skill Gap"))))</x:f>
      </x:c>
      <x:c r="U30" s="94" t="str">
        <x:f>IFERROR(VLOOKUP(D30&amp;"|"&amp;E30&amp;"|"&amp;G30,'03 Position Requirements'!$A$6:$R$285,14,FALSE),"")</x:f>
      </x:c>
      <x:c r="V30" s="92"/>
      <x:c r="W30" s="85" t="str">
        <x:f>IF(B30="","",B30&amp;"|"&amp;COUNTIF($B$6:B30,B30))</x:f>
      </x:c>
      <x:c r="X30" s="85" t="str">
        <x:f>IF(B30="","",G30)</x:f>
      </x:c>
      <x:c r="Y30" s="85" t="str">
        <x:f>IF(B30="","",H30)</x:f>
      </x:c>
      <x:c r="Z30" s="85" t="str">
        <x:f>IF(B30="","",I30)</x:f>
      </x:c>
      <x:c r="AA30" s="85" t="str">
        <x:f>IF(B30="","",J30)</x:f>
      </x:c>
      <x:c r="AB30" s="85" t="str">
        <x:f>IF(B30="","",K30)</x:f>
      </x:c>
      <x:c r="AC30" s="85" t="str">
        <x:f>IF(B30="","",L30)</x:f>
      </x:c>
      <x:c r="AD30" s="85" t="str">
        <x:f>IF(B30="","",M30)</x:f>
      </x:c>
      <x:c r="AE30" s="85" t="str">
        <x:f>IF(B30="","",N30)</x:f>
      </x:c>
      <x:c r="AF30" s="85" t="str">
        <x:f>IF(B30="","",O30)</x:f>
      </x:c>
      <x:c r="AG30" s="85" t="str">
        <x:f>IF(B30="","",P30)</x:f>
      </x:c>
      <x:c r="AH30" s="85" t="str">
        <x:f>IF(B30="","",Q30)</x:f>
      </x:c>
      <x:c r="AI30" s="85" t="str">
        <x:f>IF(B30="","",R30)</x:f>
      </x:c>
      <x:c r="AJ30" s="85" t="str">
        <x:f>IF(B30="","",S30)</x:f>
      </x:c>
      <x:c r="AK30" s="85" t="str">
        <x:f>IF(B30="","",T30)</x:f>
      </x:c>
    </x:row>
    <x:row r="31">
      <x:c r="A31" s="94" t="str">
        <x:f>IF(OR(B31="",G31=""),"",B31&amp;"|"&amp;G31)</x:f>
      </x:c>
      <x:c r="B31" s="92"/>
      <x:c r="C31" s="94" t="str">
        <x:f>IFERROR(VLOOKUP(B31,'01 Staff Master'!$A$6:$M$105,2,FALSE),"")</x:f>
      </x:c>
      <x:c r="D31" s="94" t="str">
        <x:f>IFERROR(VLOOKUP(B31,'01 Staff Master'!$A$6:$M$105,3,FALSE),"")</x:f>
      </x:c>
      <x:c r="E31" s="94" t="str">
        <x:f>IFERROR(VLOOKUP(B31,'01 Staff Master'!$A$6:$M$105,5,FALSE),"")</x:f>
      </x:c>
      <x:c r="F31" s="94" t="str">
        <x:f>IFERROR(VLOOKUP(B31,'01 Staff Master'!$A$6:$M$105,4,FALSE),"")</x:f>
      </x:c>
      <x:c r="G31" s="92"/>
      <x:c r="H31" s="94" t="str">
        <x:f>IFERROR(VLOOKUP(G31,'02 Skill Catalogue'!$A$6:$K$95,4,FALSE),"")</x:f>
      </x:c>
      <x:c r="I31" s="94" t="str">
        <x:f>IFERROR(VLOOKUP(D31&amp;"|"&amp;E31&amp;"|"&amp;G31,'03 Position Requirements'!$A$6:$R$285,8,FALSE),"")</x:f>
      </x:c>
      <x:c r="J31" s="94" t="str">
        <x:f>IFERROR(VLOOKUP(D31&amp;"|"&amp;E31&amp;"|"&amp;G31,'03 Position Requirements'!$A$6:$R$285,10,FALSE),"")</x:f>
      </x:c>
      <x:c r="K31" s="94" t="str">
        <x:f>IF(OR(B31="",G31=""),"",IF(COUNTIFS('04 Assessment Log'!$D$6:$D$155,B31,'04 Assessment Log'!$J$6:$J$155,G31,'04 Assessment Log'!$AA$6:$AA$155,"Yes")=0,"",SUMIFS('04 Assessment Log'!$O$6:$O$155,'04 Assessment Log'!$D$6:$D$155,B31,'04 Assessment Log'!$J$6:$J$155,G31,'04 Assessment Log'!$AA$6:$AA$155,"Yes")))</x:f>
      </x:c>
      <x:c r="L31" s="94" t="str">
        <x:f>IF(OR(J31="",K31=""),"",MAX(J31-K31,0))</x:f>
      </x:c>
      <x:c r="M31" s="102" t="str">
        <x:f>IF(COUNTIFS('04 Assessment Log'!$D$6:$D$155,B31,'04 Assessment Log'!$J$6:$J$155,G31,'04 Assessment Log'!$AA$6:$AA$155,"Yes")=0,"",SUMIFS('04 Assessment Log'!$B$6:$B$155,'04 Assessment Log'!$D$6:$D$155,B31,'04 Assessment Log'!$J$6:$J$155,G31,'04 Assessment Log'!$AA$6:$AA$155,"Yes"))</x:f>
      </x:c>
      <x:c r="N31" s="102" t="str">
        <x:f>IF(M31="","",SUMIFS('04 Assessment Log'!$Z$6:$Z$155,'04 Assessment Log'!$D$6:$D$155,B31,'04 Assessment Log'!$J$6:$J$155,G31,'04 Assessment Log'!$AA$6:$AA$155,"Yes"))</x:f>
      </x:c>
      <x:c r="O31" s="94" t="str">
        <x:f>IF(M31="","Not Assessed",IF(N31&lt;TODAY(),"Expired",IF(N31&lt;=TODAY()+30,"Due Soon","Current")))</x:f>
        <x:v>Not Assessed</x:v>
      </x:c>
      <x:c r="P31" s="94" t="str">
        <x:f>IF(OR(B31="",G31=""),"",COUNTIFS('05 Development Actions'!$C$6:$C$105,B31,'05 Development Actions'!$G$6:$G$105,G31,'05 Development Actions'!$A$6:$A$105,"&lt;&gt;",'05 Development Actions'!$AB$6:$AB$105,"&lt;&gt;Closed — Competent",'05 Development Actions'!$AB$6:$AB$105,"&lt;&gt;Cancelled"))</x:f>
      </x:c>
      <x:c r="Q31" s="94" t="str">
        <x:f>IF(OR(B31="",G31=""),"",COUNTIFS('11 Training Attendance'!$E$6:$E$155,B31,'11 Training Attendance'!$K$6:$K$155,"Attended",'11 Training Attendance'!$I$6:$I$155,G31))</x:f>
      </x:c>
      <x:c r="R31" s="102" t="str">
        <x:f>IF(Q31=0,"",MAXIFS('11 Training Attendance'!$D$6:$D$155,'11 Training Attendance'!$E$6:$E$155,B31,'11 Training Attendance'!$K$6:$K$155,"Attended",'11 Training Attendance'!$I$6:$I$155,G31))</x:f>
      </x:c>
      <x:c r="S31" s="94" t="str">
        <x:f>IF(OR(B31="",G31=""),"",COUNTIFS('13 Effectiveness Review'!$C$6:$C$155,B31,'13 Effectiveness Review'!$F$6:$F$155,G31,'13 Effectiveness Review'!$X$6:$X$155,"Closed — Effective"))</x:f>
      </x:c>
      <x:c r="T31" s="94" t="str">
        <x:f>IF(B31="","",IF(K31="","Not Assessed",IF(O31="Expired","Renewal Due",IF(L31=0,"Competent","Skill Gap"))))</x:f>
      </x:c>
      <x:c r="U31" s="94" t="str">
        <x:f>IFERROR(VLOOKUP(D31&amp;"|"&amp;E31&amp;"|"&amp;G31,'03 Position Requirements'!$A$6:$R$285,14,FALSE),"")</x:f>
      </x:c>
      <x:c r="V31" s="92"/>
      <x:c r="W31" s="85" t="str">
        <x:f>IF(B31="","",B31&amp;"|"&amp;COUNTIF($B$6:B31,B31))</x:f>
      </x:c>
      <x:c r="X31" s="85" t="str">
        <x:f>IF(B31="","",G31)</x:f>
      </x:c>
      <x:c r="Y31" s="85" t="str">
        <x:f>IF(B31="","",H31)</x:f>
      </x:c>
      <x:c r="Z31" s="85" t="str">
        <x:f>IF(B31="","",I31)</x:f>
      </x:c>
      <x:c r="AA31" s="85" t="str">
        <x:f>IF(B31="","",J31)</x:f>
      </x:c>
      <x:c r="AB31" s="85" t="str">
        <x:f>IF(B31="","",K31)</x:f>
      </x:c>
      <x:c r="AC31" s="85" t="str">
        <x:f>IF(B31="","",L31)</x:f>
      </x:c>
      <x:c r="AD31" s="85" t="str">
        <x:f>IF(B31="","",M31)</x:f>
      </x:c>
      <x:c r="AE31" s="85" t="str">
        <x:f>IF(B31="","",N31)</x:f>
      </x:c>
      <x:c r="AF31" s="85" t="str">
        <x:f>IF(B31="","",O31)</x:f>
      </x:c>
      <x:c r="AG31" s="85" t="str">
        <x:f>IF(B31="","",P31)</x:f>
      </x:c>
      <x:c r="AH31" s="85" t="str">
        <x:f>IF(B31="","",Q31)</x:f>
      </x:c>
      <x:c r="AI31" s="85" t="str">
        <x:f>IF(B31="","",R31)</x:f>
      </x:c>
      <x:c r="AJ31" s="85" t="str">
        <x:f>IF(B31="","",S31)</x:f>
      </x:c>
      <x:c r="AK31" s="85" t="str">
        <x:f>IF(B31="","",T31)</x:f>
      </x:c>
    </x:row>
    <x:row r="32">
      <x:c r="A32" s="94" t="str">
        <x:f>IF(OR(B32="",G32=""),"",B32&amp;"|"&amp;G32)</x:f>
      </x:c>
      <x:c r="B32" s="92"/>
      <x:c r="C32" s="94" t="str">
        <x:f>IFERROR(VLOOKUP(B32,'01 Staff Master'!$A$6:$M$105,2,FALSE),"")</x:f>
      </x:c>
      <x:c r="D32" s="94" t="str">
        <x:f>IFERROR(VLOOKUP(B32,'01 Staff Master'!$A$6:$M$105,3,FALSE),"")</x:f>
      </x:c>
      <x:c r="E32" s="94" t="str">
        <x:f>IFERROR(VLOOKUP(B32,'01 Staff Master'!$A$6:$M$105,5,FALSE),"")</x:f>
      </x:c>
      <x:c r="F32" s="94" t="str">
        <x:f>IFERROR(VLOOKUP(B32,'01 Staff Master'!$A$6:$M$105,4,FALSE),"")</x:f>
      </x:c>
      <x:c r="G32" s="92"/>
      <x:c r="H32" s="94" t="str">
        <x:f>IFERROR(VLOOKUP(G32,'02 Skill Catalogue'!$A$6:$K$95,4,FALSE),"")</x:f>
      </x:c>
      <x:c r="I32" s="94" t="str">
        <x:f>IFERROR(VLOOKUP(D32&amp;"|"&amp;E32&amp;"|"&amp;G32,'03 Position Requirements'!$A$6:$R$285,8,FALSE),"")</x:f>
      </x:c>
      <x:c r="J32" s="94" t="str">
        <x:f>IFERROR(VLOOKUP(D32&amp;"|"&amp;E32&amp;"|"&amp;G32,'03 Position Requirements'!$A$6:$R$285,10,FALSE),"")</x:f>
      </x:c>
      <x:c r="K32" s="94" t="str">
        <x:f>IF(OR(B32="",G32=""),"",IF(COUNTIFS('04 Assessment Log'!$D$6:$D$155,B32,'04 Assessment Log'!$J$6:$J$155,G32,'04 Assessment Log'!$AA$6:$AA$155,"Yes")=0,"",SUMIFS('04 Assessment Log'!$O$6:$O$155,'04 Assessment Log'!$D$6:$D$155,B32,'04 Assessment Log'!$J$6:$J$155,G32,'04 Assessment Log'!$AA$6:$AA$155,"Yes")))</x:f>
      </x:c>
      <x:c r="L32" s="94" t="str">
        <x:f>IF(OR(J32="",K32=""),"",MAX(J32-K32,0))</x:f>
      </x:c>
      <x:c r="M32" s="102" t="str">
        <x:f>IF(COUNTIFS('04 Assessment Log'!$D$6:$D$155,B32,'04 Assessment Log'!$J$6:$J$155,G32,'04 Assessment Log'!$AA$6:$AA$155,"Yes")=0,"",SUMIFS('04 Assessment Log'!$B$6:$B$155,'04 Assessment Log'!$D$6:$D$155,B32,'04 Assessment Log'!$J$6:$J$155,G32,'04 Assessment Log'!$AA$6:$AA$155,"Yes"))</x:f>
      </x:c>
      <x:c r="N32" s="102" t="str">
        <x:f>IF(M32="","",SUMIFS('04 Assessment Log'!$Z$6:$Z$155,'04 Assessment Log'!$D$6:$D$155,B32,'04 Assessment Log'!$J$6:$J$155,G32,'04 Assessment Log'!$AA$6:$AA$155,"Yes"))</x:f>
      </x:c>
      <x:c r="O32" s="94" t="str">
        <x:f>IF(M32="","Not Assessed",IF(N32&lt;TODAY(),"Expired",IF(N32&lt;=TODAY()+30,"Due Soon","Current")))</x:f>
        <x:v>Not Assessed</x:v>
      </x:c>
      <x:c r="P32" s="94" t="str">
        <x:f>IF(OR(B32="",G32=""),"",COUNTIFS('05 Development Actions'!$C$6:$C$105,B32,'05 Development Actions'!$G$6:$G$105,G32,'05 Development Actions'!$A$6:$A$105,"&lt;&gt;",'05 Development Actions'!$AB$6:$AB$105,"&lt;&gt;Closed — Competent",'05 Development Actions'!$AB$6:$AB$105,"&lt;&gt;Cancelled"))</x:f>
      </x:c>
      <x:c r="Q32" s="94" t="str">
        <x:f>IF(OR(B32="",G32=""),"",COUNTIFS('11 Training Attendance'!$E$6:$E$155,B32,'11 Training Attendance'!$K$6:$K$155,"Attended",'11 Training Attendance'!$I$6:$I$155,G32))</x:f>
      </x:c>
      <x:c r="R32" s="102" t="str">
        <x:f>IF(Q32=0,"",MAXIFS('11 Training Attendance'!$D$6:$D$155,'11 Training Attendance'!$E$6:$E$155,B32,'11 Training Attendance'!$K$6:$K$155,"Attended",'11 Training Attendance'!$I$6:$I$155,G32))</x:f>
      </x:c>
      <x:c r="S32" s="94" t="str">
        <x:f>IF(OR(B32="",G32=""),"",COUNTIFS('13 Effectiveness Review'!$C$6:$C$155,B32,'13 Effectiveness Review'!$F$6:$F$155,G32,'13 Effectiveness Review'!$X$6:$X$155,"Closed — Effective"))</x:f>
      </x:c>
      <x:c r="T32" s="94" t="str">
        <x:f>IF(B32="","",IF(K32="","Not Assessed",IF(O32="Expired","Renewal Due",IF(L32=0,"Competent","Skill Gap"))))</x:f>
      </x:c>
      <x:c r="U32" s="94" t="str">
        <x:f>IFERROR(VLOOKUP(D32&amp;"|"&amp;E32&amp;"|"&amp;G32,'03 Position Requirements'!$A$6:$R$285,14,FALSE),"")</x:f>
      </x:c>
      <x:c r="V32" s="92"/>
      <x:c r="W32" s="85" t="str">
        <x:f>IF(B32="","",B32&amp;"|"&amp;COUNTIF($B$6:B32,B32))</x:f>
      </x:c>
      <x:c r="X32" s="85" t="str">
        <x:f>IF(B32="","",G32)</x:f>
      </x:c>
      <x:c r="Y32" s="85" t="str">
        <x:f>IF(B32="","",H32)</x:f>
      </x:c>
      <x:c r="Z32" s="85" t="str">
        <x:f>IF(B32="","",I32)</x:f>
      </x:c>
      <x:c r="AA32" s="85" t="str">
        <x:f>IF(B32="","",J32)</x:f>
      </x:c>
      <x:c r="AB32" s="85" t="str">
        <x:f>IF(B32="","",K32)</x:f>
      </x:c>
      <x:c r="AC32" s="85" t="str">
        <x:f>IF(B32="","",L32)</x:f>
      </x:c>
      <x:c r="AD32" s="85" t="str">
        <x:f>IF(B32="","",M32)</x:f>
      </x:c>
      <x:c r="AE32" s="85" t="str">
        <x:f>IF(B32="","",N32)</x:f>
      </x:c>
      <x:c r="AF32" s="85" t="str">
        <x:f>IF(B32="","",O32)</x:f>
      </x:c>
      <x:c r="AG32" s="85" t="str">
        <x:f>IF(B32="","",P32)</x:f>
      </x:c>
      <x:c r="AH32" s="85" t="str">
        <x:f>IF(B32="","",Q32)</x:f>
      </x:c>
      <x:c r="AI32" s="85" t="str">
        <x:f>IF(B32="","",R32)</x:f>
      </x:c>
      <x:c r="AJ32" s="85" t="str">
        <x:f>IF(B32="","",S32)</x:f>
      </x:c>
      <x:c r="AK32" s="85" t="str">
        <x:f>IF(B32="","",T32)</x:f>
      </x:c>
    </x:row>
    <x:row r="33">
      <x:c r="A33" s="94" t="str">
        <x:f>IF(OR(B33="",G33=""),"",B33&amp;"|"&amp;G33)</x:f>
      </x:c>
      <x:c r="B33" s="92"/>
      <x:c r="C33" s="94" t="str">
        <x:f>IFERROR(VLOOKUP(B33,'01 Staff Master'!$A$6:$M$105,2,FALSE),"")</x:f>
      </x:c>
      <x:c r="D33" s="94" t="str">
        <x:f>IFERROR(VLOOKUP(B33,'01 Staff Master'!$A$6:$M$105,3,FALSE),"")</x:f>
      </x:c>
      <x:c r="E33" s="94" t="str">
        <x:f>IFERROR(VLOOKUP(B33,'01 Staff Master'!$A$6:$M$105,5,FALSE),"")</x:f>
      </x:c>
      <x:c r="F33" s="94" t="str">
        <x:f>IFERROR(VLOOKUP(B33,'01 Staff Master'!$A$6:$M$105,4,FALSE),"")</x:f>
      </x:c>
      <x:c r="G33" s="92"/>
      <x:c r="H33" s="94" t="str">
        <x:f>IFERROR(VLOOKUP(G33,'02 Skill Catalogue'!$A$6:$K$95,4,FALSE),"")</x:f>
      </x:c>
      <x:c r="I33" s="94" t="str">
        <x:f>IFERROR(VLOOKUP(D33&amp;"|"&amp;E33&amp;"|"&amp;G33,'03 Position Requirements'!$A$6:$R$285,8,FALSE),"")</x:f>
      </x:c>
      <x:c r="J33" s="94" t="str">
        <x:f>IFERROR(VLOOKUP(D33&amp;"|"&amp;E33&amp;"|"&amp;G33,'03 Position Requirements'!$A$6:$R$285,10,FALSE),"")</x:f>
      </x:c>
      <x:c r="K33" s="94" t="str">
        <x:f>IF(OR(B33="",G33=""),"",IF(COUNTIFS('04 Assessment Log'!$D$6:$D$155,B33,'04 Assessment Log'!$J$6:$J$155,G33,'04 Assessment Log'!$AA$6:$AA$155,"Yes")=0,"",SUMIFS('04 Assessment Log'!$O$6:$O$155,'04 Assessment Log'!$D$6:$D$155,B33,'04 Assessment Log'!$J$6:$J$155,G33,'04 Assessment Log'!$AA$6:$AA$155,"Yes")))</x:f>
      </x:c>
      <x:c r="L33" s="94" t="str">
        <x:f>IF(OR(J33="",K33=""),"",MAX(J33-K33,0))</x:f>
      </x:c>
      <x:c r="M33" s="102" t="str">
        <x:f>IF(COUNTIFS('04 Assessment Log'!$D$6:$D$155,B33,'04 Assessment Log'!$J$6:$J$155,G33,'04 Assessment Log'!$AA$6:$AA$155,"Yes")=0,"",SUMIFS('04 Assessment Log'!$B$6:$B$155,'04 Assessment Log'!$D$6:$D$155,B33,'04 Assessment Log'!$J$6:$J$155,G33,'04 Assessment Log'!$AA$6:$AA$155,"Yes"))</x:f>
      </x:c>
      <x:c r="N33" s="102" t="str">
        <x:f>IF(M33="","",SUMIFS('04 Assessment Log'!$Z$6:$Z$155,'04 Assessment Log'!$D$6:$D$155,B33,'04 Assessment Log'!$J$6:$J$155,G33,'04 Assessment Log'!$AA$6:$AA$155,"Yes"))</x:f>
      </x:c>
      <x:c r="O33" s="94" t="str">
        <x:f>IF(M33="","Not Assessed",IF(N33&lt;TODAY(),"Expired",IF(N33&lt;=TODAY()+30,"Due Soon","Current")))</x:f>
        <x:v>Not Assessed</x:v>
      </x:c>
      <x:c r="P33" s="94" t="str">
        <x:f>IF(OR(B33="",G33=""),"",COUNTIFS('05 Development Actions'!$C$6:$C$105,B33,'05 Development Actions'!$G$6:$G$105,G33,'05 Development Actions'!$A$6:$A$105,"&lt;&gt;",'05 Development Actions'!$AB$6:$AB$105,"&lt;&gt;Closed — Competent",'05 Development Actions'!$AB$6:$AB$105,"&lt;&gt;Cancelled"))</x:f>
      </x:c>
      <x:c r="Q33" s="94" t="str">
        <x:f>IF(OR(B33="",G33=""),"",COUNTIFS('11 Training Attendance'!$E$6:$E$155,B33,'11 Training Attendance'!$K$6:$K$155,"Attended",'11 Training Attendance'!$I$6:$I$155,G33))</x:f>
      </x:c>
      <x:c r="R33" s="102" t="str">
        <x:f>IF(Q33=0,"",MAXIFS('11 Training Attendance'!$D$6:$D$155,'11 Training Attendance'!$E$6:$E$155,B33,'11 Training Attendance'!$K$6:$K$155,"Attended",'11 Training Attendance'!$I$6:$I$155,G33))</x:f>
      </x:c>
      <x:c r="S33" s="94" t="str">
        <x:f>IF(OR(B33="",G33=""),"",COUNTIFS('13 Effectiveness Review'!$C$6:$C$155,B33,'13 Effectiveness Review'!$F$6:$F$155,G33,'13 Effectiveness Review'!$X$6:$X$155,"Closed — Effective"))</x:f>
      </x:c>
      <x:c r="T33" s="94" t="str">
        <x:f>IF(B33="","",IF(K33="","Not Assessed",IF(O33="Expired","Renewal Due",IF(L33=0,"Competent","Skill Gap"))))</x:f>
      </x:c>
      <x:c r="U33" s="94" t="str">
        <x:f>IFERROR(VLOOKUP(D33&amp;"|"&amp;E33&amp;"|"&amp;G33,'03 Position Requirements'!$A$6:$R$285,14,FALSE),"")</x:f>
      </x:c>
      <x:c r="V33" s="92"/>
      <x:c r="W33" s="85" t="str">
        <x:f>IF(B33="","",B33&amp;"|"&amp;COUNTIF($B$6:B33,B33))</x:f>
      </x:c>
      <x:c r="X33" s="85" t="str">
        <x:f>IF(B33="","",G33)</x:f>
      </x:c>
      <x:c r="Y33" s="85" t="str">
        <x:f>IF(B33="","",H33)</x:f>
      </x:c>
      <x:c r="Z33" s="85" t="str">
        <x:f>IF(B33="","",I33)</x:f>
      </x:c>
      <x:c r="AA33" s="85" t="str">
        <x:f>IF(B33="","",J33)</x:f>
      </x:c>
      <x:c r="AB33" s="85" t="str">
        <x:f>IF(B33="","",K33)</x:f>
      </x:c>
      <x:c r="AC33" s="85" t="str">
        <x:f>IF(B33="","",L33)</x:f>
      </x:c>
      <x:c r="AD33" s="85" t="str">
        <x:f>IF(B33="","",M33)</x:f>
      </x:c>
      <x:c r="AE33" s="85" t="str">
        <x:f>IF(B33="","",N33)</x:f>
      </x:c>
      <x:c r="AF33" s="85" t="str">
        <x:f>IF(B33="","",O33)</x:f>
      </x:c>
      <x:c r="AG33" s="85" t="str">
        <x:f>IF(B33="","",P33)</x:f>
      </x:c>
      <x:c r="AH33" s="85" t="str">
        <x:f>IF(B33="","",Q33)</x:f>
      </x:c>
      <x:c r="AI33" s="85" t="str">
        <x:f>IF(B33="","",R33)</x:f>
      </x:c>
      <x:c r="AJ33" s="85" t="str">
        <x:f>IF(B33="","",S33)</x:f>
      </x:c>
      <x:c r="AK33" s="85" t="str">
        <x:f>IF(B33="","",T33)</x:f>
      </x:c>
    </x:row>
    <x:row r="34">
      <x:c r="A34" s="94" t="str">
        <x:f>IF(OR(B34="",G34=""),"",B34&amp;"|"&amp;G34)</x:f>
      </x:c>
      <x:c r="B34" s="92"/>
      <x:c r="C34" s="94" t="str">
        <x:f>IFERROR(VLOOKUP(B34,'01 Staff Master'!$A$6:$M$105,2,FALSE),"")</x:f>
      </x:c>
      <x:c r="D34" s="94" t="str">
        <x:f>IFERROR(VLOOKUP(B34,'01 Staff Master'!$A$6:$M$105,3,FALSE),"")</x:f>
      </x:c>
      <x:c r="E34" s="94" t="str">
        <x:f>IFERROR(VLOOKUP(B34,'01 Staff Master'!$A$6:$M$105,5,FALSE),"")</x:f>
      </x:c>
      <x:c r="F34" s="94" t="str">
        <x:f>IFERROR(VLOOKUP(B34,'01 Staff Master'!$A$6:$M$105,4,FALSE),"")</x:f>
      </x:c>
      <x:c r="G34" s="92"/>
      <x:c r="H34" s="94" t="str">
        <x:f>IFERROR(VLOOKUP(G34,'02 Skill Catalogue'!$A$6:$K$95,4,FALSE),"")</x:f>
      </x:c>
      <x:c r="I34" s="94" t="str">
        <x:f>IFERROR(VLOOKUP(D34&amp;"|"&amp;E34&amp;"|"&amp;G34,'03 Position Requirements'!$A$6:$R$285,8,FALSE),"")</x:f>
      </x:c>
      <x:c r="J34" s="94" t="str">
        <x:f>IFERROR(VLOOKUP(D34&amp;"|"&amp;E34&amp;"|"&amp;G34,'03 Position Requirements'!$A$6:$R$285,10,FALSE),"")</x:f>
      </x:c>
      <x:c r="K34" s="94" t="str">
        <x:f>IF(OR(B34="",G34=""),"",IF(COUNTIFS('04 Assessment Log'!$D$6:$D$155,B34,'04 Assessment Log'!$J$6:$J$155,G34,'04 Assessment Log'!$AA$6:$AA$155,"Yes")=0,"",SUMIFS('04 Assessment Log'!$O$6:$O$155,'04 Assessment Log'!$D$6:$D$155,B34,'04 Assessment Log'!$J$6:$J$155,G34,'04 Assessment Log'!$AA$6:$AA$155,"Yes")))</x:f>
      </x:c>
      <x:c r="L34" s="94" t="str">
        <x:f>IF(OR(J34="",K34=""),"",MAX(J34-K34,0))</x:f>
      </x:c>
      <x:c r="M34" s="102" t="str">
        <x:f>IF(COUNTIFS('04 Assessment Log'!$D$6:$D$155,B34,'04 Assessment Log'!$J$6:$J$155,G34,'04 Assessment Log'!$AA$6:$AA$155,"Yes")=0,"",SUMIFS('04 Assessment Log'!$B$6:$B$155,'04 Assessment Log'!$D$6:$D$155,B34,'04 Assessment Log'!$J$6:$J$155,G34,'04 Assessment Log'!$AA$6:$AA$155,"Yes"))</x:f>
      </x:c>
      <x:c r="N34" s="102" t="str">
        <x:f>IF(M34="","",SUMIFS('04 Assessment Log'!$Z$6:$Z$155,'04 Assessment Log'!$D$6:$D$155,B34,'04 Assessment Log'!$J$6:$J$155,G34,'04 Assessment Log'!$AA$6:$AA$155,"Yes"))</x:f>
      </x:c>
      <x:c r="O34" s="94" t="str">
        <x:f>IF(M34="","Not Assessed",IF(N34&lt;TODAY(),"Expired",IF(N34&lt;=TODAY()+30,"Due Soon","Current")))</x:f>
        <x:v>Not Assessed</x:v>
      </x:c>
      <x:c r="P34" s="94" t="str">
        <x:f>IF(OR(B34="",G34=""),"",COUNTIFS('05 Development Actions'!$C$6:$C$105,B34,'05 Development Actions'!$G$6:$G$105,G34,'05 Development Actions'!$A$6:$A$105,"&lt;&gt;",'05 Development Actions'!$AB$6:$AB$105,"&lt;&gt;Closed — Competent",'05 Development Actions'!$AB$6:$AB$105,"&lt;&gt;Cancelled"))</x:f>
      </x:c>
      <x:c r="Q34" s="94" t="str">
        <x:f>IF(OR(B34="",G34=""),"",COUNTIFS('11 Training Attendance'!$E$6:$E$155,B34,'11 Training Attendance'!$K$6:$K$155,"Attended",'11 Training Attendance'!$I$6:$I$155,G34))</x:f>
      </x:c>
      <x:c r="R34" s="102" t="str">
        <x:f>IF(Q34=0,"",MAXIFS('11 Training Attendance'!$D$6:$D$155,'11 Training Attendance'!$E$6:$E$155,B34,'11 Training Attendance'!$K$6:$K$155,"Attended",'11 Training Attendance'!$I$6:$I$155,G34))</x:f>
      </x:c>
      <x:c r="S34" s="94" t="str">
        <x:f>IF(OR(B34="",G34=""),"",COUNTIFS('13 Effectiveness Review'!$C$6:$C$155,B34,'13 Effectiveness Review'!$F$6:$F$155,G34,'13 Effectiveness Review'!$X$6:$X$155,"Closed — Effective"))</x:f>
      </x:c>
      <x:c r="T34" s="94" t="str">
        <x:f>IF(B34="","",IF(K34="","Not Assessed",IF(O34="Expired","Renewal Due",IF(L34=0,"Competent","Skill Gap"))))</x:f>
      </x:c>
      <x:c r="U34" s="94" t="str">
        <x:f>IFERROR(VLOOKUP(D34&amp;"|"&amp;E34&amp;"|"&amp;G34,'03 Position Requirements'!$A$6:$R$285,14,FALSE),"")</x:f>
      </x:c>
      <x:c r="V34" s="92"/>
      <x:c r="W34" s="85" t="str">
        <x:f>IF(B34="","",B34&amp;"|"&amp;COUNTIF($B$6:B34,B34))</x:f>
      </x:c>
      <x:c r="X34" s="85" t="str">
        <x:f>IF(B34="","",G34)</x:f>
      </x:c>
      <x:c r="Y34" s="85" t="str">
        <x:f>IF(B34="","",H34)</x:f>
      </x:c>
      <x:c r="Z34" s="85" t="str">
        <x:f>IF(B34="","",I34)</x:f>
      </x:c>
      <x:c r="AA34" s="85" t="str">
        <x:f>IF(B34="","",J34)</x:f>
      </x:c>
      <x:c r="AB34" s="85" t="str">
        <x:f>IF(B34="","",K34)</x:f>
      </x:c>
      <x:c r="AC34" s="85" t="str">
        <x:f>IF(B34="","",L34)</x:f>
      </x:c>
      <x:c r="AD34" s="85" t="str">
        <x:f>IF(B34="","",M34)</x:f>
      </x:c>
      <x:c r="AE34" s="85" t="str">
        <x:f>IF(B34="","",N34)</x:f>
      </x:c>
      <x:c r="AF34" s="85" t="str">
        <x:f>IF(B34="","",O34)</x:f>
      </x:c>
      <x:c r="AG34" s="85" t="str">
        <x:f>IF(B34="","",P34)</x:f>
      </x:c>
      <x:c r="AH34" s="85" t="str">
        <x:f>IF(B34="","",Q34)</x:f>
      </x:c>
      <x:c r="AI34" s="85" t="str">
        <x:f>IF(B34="","",R34)</x:f>
      </x:c>
      <x:c r="AJ34" s="85" t="str">
        <x:f>IF(B34="","",S34)</x:f>
      </x:c>
      <x:c r="AK34" s="85" t="str">
        <x:f>IF(B34="","",T34)</x:f>
      </x:c>
    </x:row>
    <x:row r="35">
      <x:c r="A35" s="94" t="str">
        <x:f>IF(OR(B35="",G35=""),"",B35&amp;"|"&amp;G35)</x:f>
      </x:c>
      <x:c r="B35" s="92"/>
      <x:c r="C35" s="94" t="str">
        <x:f>IFERROR(VLOOKUP(B35,'01 Staff Master'!$A$6:$M$105,2,FALSE),"")</x:f>
      </x:c>
      <x:c r="D35" s="94" t="str">
        <x:f>IFERROR(VLOOKUP(B35,'01 Staff Master'!$A$6:$M$105,3,FALSE),"")</x:f>
      </x:c>
      <x:c r="E35" s="94" t="str">
        <x:f>IFERROR(VLOOKUP(B35,'01 Staff Master'!$A$6:$M$105,5,FALSE),"")</x:f>
      </x:c>
      <x:c r="F35" s="94" t="str">
        <x:f>IFERROR(VLOOKUP(B35,'01 Staff Master'!$A$6:$M$105,4,FALSE),"")</x:f>
      </x:c>
      <x:c r="G35" s="92"/>
      <x:c r="H35" s="94" t="str">
        <x:f>IFERROR(VLOOKUP(G35,'02 Skill Catalogue'!$A$6:$K$95,4,FALSE),"")</x:f>
      </x:c>
      <x:c r="I35" s="94" t="str">
        <x:f>IFERROR(VLOOKUP(D35&amp;"|"&amp;E35&amp;"|"&amp;G35,'03 Position Requirements'!$A$6:$R$285,8,FALSE),"")</x:f>
      </x:c>
      <x:c r="J35" s="94" t="str">
        <x:f>IFERROR(VLOOKUP(D35&amp;"|"&amp;E35&amp;"|"&amp;G35,'03 Position Requirements'!$A$6:$R$285,10,FALSE),"")</x:f>
      </x:c>
      <x:c r="K35" s="94" t="str">
        <x:f>IF(OR(B35="",G35=""),"",IF(COUNTIFS('04 Assessment Log'!$D$6:$D$155,B35,'04 Assessment Log'!$J$6:$J$155,G35,'04 Assessment Log'!$AA$6:$AA$155,"Yes")=0,"",SUMIFS('04 Assessment Log'!$O$6:$O$155,'04 Assessment Log'!$D$6:$D$155,B35,'04 Assessment Log'!$J$6:$J$155,G35,'04 Assessment Log'!$AA$6:$AA$155,"Yes")))</x:f>
      </x:c>
      <x:c r="L35" s="94" t="str">
        <x:f>IF(OR(J35="",K35=""),"",MAX(J35-K35,0))</x:f>
      </x:c>
      <x:c r="M35" s="102" t="str">
        <x:f>IF(COUNTIFS('04 Assessment Log'!$D$6:$D$155,B35,'04 Assessment Log'!$J$6:$J$155,G35,'04 Assessment Log'!$AA$6:$AA$155,"Yes")=0,"",SUMIFS('04 Assessment Log'!$B$6:$B$155,'04 Assessment Log'!$D$6:$D$155,B35,'04 Assessment Log'!$J$6:$J$155,G35,'04 Assessment Log'!$AA$6:$AA$155,"Yes"))</x:f>
      </x:c>
      <x:c r="N35" s="102" t="str">
        <x:f>IF(M35="","",SUMIFS('04 Assessment Log'!$Z$6:$Z$155,'04 Assessment Log'!$D$6:$D$155,B35,'04 Assessment Log'!$J$6:$J$155,G35,'04 Assessment Log'!$AA$6:$AA$155,"Yes"))</x:f>
      </x:c>
      <x:c r="O35" s="94" t="str">
        <x:f>IF(M35="","Not Assessed",IF(N35&lt;TODAY(),"Expired",IF(N35&lt;=TODAY()+30,"Due Soon","Current")))</x:f>
        <x:v>Not Assessed</x:v>
      </x:c>
      <x:c r="P35" s="94" t="str">
        <x:f>IF(OR(B35="",G35=""),"",COUNTIFS('05 Development Actions'!$C$6:$C$105,B35,'05 Development Actions'!$G$6:$G$105,G35,'05 Development Actions'!$A$6:$A$105,"&lt;&gt;",'05 Development Actions'!$AB$6:$AB$105,"&lt;&gt;Closed — Competent",'05 Development Actions'!$AB$6:$AB$105,"&lt;&gt;Cancelled"))</x:f>
      </x:c>
      <x:c r="Q35" s="94" t="str">
        <x:f>IF(OR(B35="",G35=""),"",COUNTIFS('11 Training Attendance'!$E$6:$E$155,B35,'11 Training Attendance'!$K$6:$K$155,"Attended",'11 Training Attendance'!$I$6:$I$155,G35))</x:f>
      </x:c>
      <x:c r="R35" s="102" t="str">
        <x:f>IF(Q35=0,"",MAXIFS('11 Training Attendance'!$D$6:$D$155,'11 Training Attendance'!$E$6:$E$155,B35,'11 Training Attendance'!$K$6:$K$155,"Attended",'11 Training Attendance'!$I$6:$I$155,G35))</x:f>
      </x:c>
      <x:c r="S35" s="94" t="str">
        <x:f>IF(OR(B35="",G35=""),"",COUNTIFS('13 Effectiveness Review'!$C$6:$C$155,B35,'13 Effectiveness Review'!$F$6:$F$155,G35,'13 Effectiveness Review'!$X$6:$X$155,"Closed — Effective"))</x:f>
      </x:c>
      <x:c r="T35" s="94" t="str">
        <x:f>IF(B35="","",IF(K35="","Not Assessed",IF(O35="Expired","Renewal Due",IF(L35=0,"Competent","Skill Gap"))))</x:f>
      </x:c>
      <x:c r="U35" s="94" t="str">
        <x:f>IFERROR(VLOOKUP(D35&amp;"|"&amp;E35&amp;"|"&amp;G35,'03 Position Requirements'!$A$6:$R$285,14,FALSE),"")</x:f>
      </x:c>
      <x:c r="V35" s="92"/>
      <x:c r="W35" s="85" t="str">
        <x:f>IF(B35="","",B35&amp;"|"&amp;COUNTIF($B$6:B35,B35))</x:f>
      </x:c>
      <x:c r="X35" s="85" t="str">
        <x:f>IF(B35="","",G35)</x:f>
      </x:c>
      <x:c r="Y35" s="85" t="str">
        <x:f>IF(B35="","",H35)</x:f>
      </x:c>
      <x:c r="Z35" s="85" t="str">
        <x:f>IF(B35="","",I35)</x:f>
      </x:c>
      <x:c r="AA35" s="85" t="str">
        <x:f>IF(B35="","",J35)</x:f>
      </x:c>
      <x:c r="AB35" s="85" t="str">
        <x:f>IF(B35="","",K35)</x:f>
      </x:c>
      <x:c r="AC35" s="85" t="str">
        <x:f>IF(B35="","",L35)</x:f>
      </x:c>
      <x:c r="AD35" s="85" t="str">
        <x:f>IF(B35="","",M35)</x:f>
      </x:c>
      <x:c r="AE35" s="85" t="str">
        <x:f>IF(B35="","",N35)</x:f>
      </x:c>
      <x:c r="AF35" s="85" t="str">
        <x:f>IF(B35="","",O35)</x:f>
      </x:c>
      <x:c r="AG35" s="85" t="str">
        <x:f>IF(B35="","",P35)</x:f>
      </x:c>
      <x:c r="AH35" s="85" t="str">
        <x:f>IF(B35="","",Q35)</x:f>
      </x:c>
      <x:c r="AI35" s="85" t="str">
        <x:f>IF(B35="","",R35)</x:f>
      </x:c>
      <x:c r="AJ35" s="85" t="str">
        <x:f>IF(B35="","",S35)</x:f>
      </x:c>
      <x:c r="AK35" s="85" t="str">
        <x:f>IF(B35="","",T35)</x:f>
      </x:c>
    </x:row>
    <x:row r="36">
      <x:c r="A36" s="94" t="str">
        <x:f>IF(OR(B36="",G36=""),"",B36&amp;"|"&amp;G36)</x:f>
      </x:c>
      <x:c r="B36" s="92"/>
      <x:c r="C36" s="94" t="str">
        <x:f>IFERROR(VLOOKUP(B36,'01 Staff Master'!$A$6:$M$105,2,FALSE),"")</x:f>
      </x:c>
      <x:c r="D36" s="94" t="str">
        <x:f>IFERROR(VLOOKUP(B36,'01 Staff Master'!$A$6:$M$105,3,FALSE),"")</x:f>
      </x:c>
      <x:c r="E36" s="94" t="str">
        <x:f>IFERROR(VLOOKUP(B36,'01 Staff Master'!$A$6:$M$105,5,FALSE),"")</x:f>
      </x:c>
      <x:c r="F36" s="94" t="str">
        <x:f>IFERROR(VLOOKUP(B36,'01 Staff Master'!$A$6:$M$105,4,FALSE),"")</x:f>
      </x:c>
      <x:c r="G36" s="92"/>
      <x:c r="H36" s="94" t="str">
        <x:f>IFERROR(VLOOKUP(G36,'02 Skill Catalogue'!$A$6:$K$95,4,FALSE),"")</x:f>
      </x:c>
      <x:c r="I36" s="94" t="str">
        <x:f>IFERROR(VLOOKUP(D36&amp;"|"&amp;E36&amp;"|"&amp;G36,'03 Position Requirements'!$A$6:$R$285,8,FALSE),"")</x:f>
      </x:c>
      <x:c r="J36" s="94" t="str">
        <x:f>IFERROR(VLOOKUP(D36&amp;"|"&amp;E36&amp;"|"&amp;G36,'03 Position Requirements'!$A$6:$R$285,10,FALSE),"")</x:f>
      </x:c>
      <x:c r="K36" s="94" t="str">
        <x:f>IF(OR(B36="",G36=""),"",IF(COUNTIFS('04 Assessment Log'!$D$6:$D$155,B36,'04 Assessment Log'!$J$6:$J$155,G36,'04 Assessment Log'!$AA$6:$AA$155,"Yes")=0,"",SUMIFS('04 Assessment Log'!$O$6:$O$155,'04 Assessment Log'!$D$6:$D$155,B36,'04 Assessment Log'!$J$6:$J$155,G36,'04 Assessment Log'!$AA$6:$AA$155,"Yes")))</x:f>
      </x:c>
      <x:c r="L36" s="94" t="str">
        <x:f>IF(OR(J36="",K36=""),"",MAX(J36-K36,0))</x:f>
      </x:c>
      <x:c r="M36" s="102" t="str">
        <x:f>IF(COUNTIFS('04 Assessment Log'!$D$6:$D$155,B36,'04 Assessment Log'!$J$6:$J$155,G36,'04 Assessment Log'!$AA$6:$AA$155,"Yes")=0,"",SUMIFS('04 Assessment Log'!$B$6:$B$155,'04 Assessment Log'!$D$6:$D$155,B36,'04 Assessment Log'!$J$6:$J$155,G36,'04 Assessment Log'!$AA$6:$AA$155,"Yes"))</x:f>
      </x:c>
      <x:c r="N36" s="102" t="str">
        <x:f>IF(M36="","",SUMIFS('04 Assessment Log'!$Z$6:$Z$155,'04 Assessment Log'!$D$6:$D$155,B36,'04 Assessment Log'!$J$6:$J$155,G36,'04 Assessment Log'!$AA$6:$AA$155,"Yes"))</x:f>
      </x:c>
      <x:c r="O36" s="94" t="str">
        <x:f>IF(M36="","Not Assessed",IF(N36&lt;TODAY(),"Expired",IF(N36&lt;=TODAY()+30,"Due Soon","Current")))</x:f>
        <x:v>Not Assessed</x:v>
      </x:c>
      <x:c r="P36" s="94" t="str">
        <x:f>IF(OR(B36="",G36=""),"",COUNTIFS('05 Development Actions'!$C$6:$C$105,B36,'05 Development Actions'!$G$6:$G$105,G36,'05 Development Actions'!$A$6:$A$105,"&lt;&gt;",'05 Development Actions'!$AB$6:$AB$105,"&lt;&gt;Closed — Competent",'05 Development Actions'!$AB$6:$AB$105,"&lt;&gt;Cancelled"))</x:f>
      </x:c>
      <x:c r="Q36" s="94" t="str">
        <x:f>IF(OR(B36="",G36=""),"",COUNTIFS('11 Training Attendance'!$E$6:$E$155,B36,'11 Training Attendance'!$K$6:$K$155,"Attended",'11 Training Attendance'!$I$6:$I$155,G36))</x:f>
      </x:c>
      <x:c r="R36" s="102" t="str">
        <x:f>IF(Q36=0,"",MAXIFS('11 Training Attendance'!$D$6:$D$155,'11 Training Attendance'!$E$6:$E$155,B36,'11 Training Attendance'!$K$6:$K$155,"Attended",'11 Training Attendance'!$I$6:$I$155,G36))</x:f>
      </x:c>
      <x:c r="S36" s="94" t="str">
        <x:f>IF(OR(B36="",G36=""),"",COUNTIFS('13 Effectiveness Review'!$C$6:$C$155,B36,'13 Effectiveness Review'!$F$6:$F$155,G36,'13 Effectiveness Review'!$X$6:$X$155,"Closed — Effective"))</x:f>
      </x:c>
      <x:c r="T36" s="94" t="str">
        <x:f>IF(B36="","",IF(K36="","Not Assessed",IF(O36="Expired","Renewal Due",IF(L36=0,"Competent","Skill Gap"))))</x:f>
      </x:c>
      <x:c r="U36" s="94" t="str">
        <x:f>IFERROR(VLOOKUP(D36&amp;"|"&amp;E36&amp;"|"&amp;G36,'03 Position Requirements'!$A$6:$R$285,14,FALSE),"")</x:f>
      </x:c>
      <x:c r="V36" s="92"/>
      <x:c r="W36" s="85" t="str">
        <x:f>IF(B36="","",B36&amp;"|"&amp;COUNTIF($B$6:B36,B36))</x:f>
      </x:c>
      <x:c r="X36" s="85" t="str">
        <x:f>IF(B36="","",G36)</x:f>
      </x:c>
      <x:c r="Y36" s="85" t="str">
        <x:f>IF(B36="","",H36)</x:f>
      </x:c>
      <x:c r="Z36" s="85" t="str">
        <x:f>IF(B36="","",I36)</x:f>
      </x:c>
      <x:c r="AA36" s="85" t="str">
        <x:f>IF(B36="","",J36)</x:f>
      </x:c>
      <x:c r="AB36" s="85" t="str">
        <x:f>IF(B36="","",K36)</x:f>
      </x:c>
      <x:c r="AC36" s="85" t="str">
        <x:f>IF(B36="","",L36)</x:f>
      </x:c>
      <x:c r="AD36" s="85" t="str">
        <x:f>IF(B36="","",M36)</x:f>
      </x:c>
      <x:c r="AE36" s="85" t="str">
        <x:f>IF(B36="","",N36)</x:f>
      </x:c>
      <x:c r="AF36" s="85" t="str">
        <x:f>IF(B36="","",O36)</x:f>
      </x:c>
      <x:c r="AG36" s="85" t="str">
        <x:f>IF(B36="","",P36)</x:f>
      </x:c>
      <x:c r="AH36" s="85" t="str">
        <x:f>IF(B36="","",Q36)</x:f>
      </x:c>
      <x:c r="AI36" s="85" t="str">
        <x:f>IF(B36="","",R36)</x:f>
      </x:c>
      <x:c r="AJ36" s="85" t="str">
        <x:f>IF(B36="","",S36)</x:f>
      </x:c>
      <x:c r="AK36" s="85" t="str">
        <x:f>IF(B36="","",T36)</x:f>
      </x:c>
    </x:row>
    <x:row r="37">
      <x:c r="A37" s="94" t="str">
        <x:f>IF(OR(B37="",G37=""),"",B37&amp;"|"&amp;G37)</x:f>
      </x:c>
      <x:c r="B37" s="92"/>
      <x:c r="C37" s="94" t="str">
        <x:f>IFERROR(VLOOKUP(B37,'01 Staff Master'!$A$6:$M$105,2,FALSE),"")</x:f>
      </x:c>
      <x:c r="D37" s="94" t="str">
        <x:f>IFERROR(VLOOKUP(B37,'01 Staff Master'!$A$6:$M$105,3,FALSE),"")</x:f>
      </x:c>
      <x:c r="E37" s="94" t="str">
        <x:f>IFERROR(VLOOKUP(B37,'01 Staff Master'!$A$6:$M$105,5,FALSE),"")</x:f>
      </x:c>
      <x:c r="F37" s="94" t="str">
        <x:f>IFERROR(VLOOKUP(B37,'01 Staff Master'!$A$6:$M$105,4,FALSE),"")</x:f>
      </x:c>
      <x:c r="G37" s="92"/>
      <x:c r="H37" s="94" t="str">
        <x:f>IFERROR(VLOOKUP(G37,'02 Skill Catalogue'!$A$6:$K$95,4,FALSE),"")</x:f>
      </x:c>
      <x:c r="I37" s="94" t="str">
        <x:f>IFERROR(VLOOKUP(D37&amp;"|"&amp;E37&amp;"|"&amp;G37,'03 Position Requirements'!$A$6:$R$285,8,FALSE),"")</x:f>
      </x:c>
      <x:c r="J37" s="94" t="str">
        <x:f>IFERROR(VLOOKUP(D37&amp;"|"&amp;E37&amp;"|"&amp;G37,'03 Position Requirements'!$A$6:$R$285,10,FALSE),"")</x:f>
      </x:c>
      <x:c r="K37" s="94" t="str">
        <x:f>IF(OR(B37="",G37=""),"",IF(COUNTIFS('04 Assessment Log'!$D$6:$D$155,B37,'04 Assessment Log'!$J$6:$J$155,G37,'04 Assessment Log'!$AA$6:$AA$155,"Yes")=0,"",SUMIFS('04 Assessment Log'!$O$6:$O$155,'04 Assessment Log'!$D$6:$D$155,B37,'04 Assessment Log'!$J$6:$J$155,G37,'04 Assessment Log'!$AA$6:$AA$155,"Yes")))</x:f>
      </x:c>
      <x:c r="L37" s="94" t="str">
        <x:f>IF(OR(J37="",K37=""),"",MAX(J37-K37,0))</x:f>
      </x:c>
      <x:c r="M37" s="102" t="str">
        <x:f>IF(COUNTIFS('04 Assessment Log'!$D$6:$D$155,B37,'04 Assessment Log'!$J$6:$J$155,G37,'04 Assessment Log'!$AA$6:$AA$155,"Yes")=0,"",SUMIFS('04 Assessment Log'!$B$6:$B$155,'04 Assessment Log'!$D$6:$D$155,B37,'04 Assessment Log'!$J$6:$J$155,G37,'04 Assessment Log'!$AA$6:$AA$155,"Yes"))</x:f>
      </x:c>
      <x:c r="N37" s="102" t="str">
        <x:f>IF(M37="","",SUMIFS('04 Assessment Log'!$Z$6:$Z$155,'04 Assessment Log'!$D$6:$D$155,B37,'04 Assessment Log'!$J$6:$J$155,G37,'04 Assessment Log'!$AA$6:$AA$155,"Yes"))</x:f>
      </x:c>
      <x:c r="O37" s="94" t="str">
        <x:f>IF(M37="","Not Assessed",IF(N37&lt;TODAY(),"Expired",IF(N37&lt;=TODAY()+30,"Due Soon","Current")))</x:f>
        <x:v>Not Assessed</x:v>
      </x:c>
      <x:c r="P37" s="94" t="str">
        <x:f>IF(OR(B37="",G37=""),"",COUNTIFS('05 Development Actions'!$C$6:$C$105,B37,'05 Development Actions'!$G$6:$G$105,G37,'05 Development Actions'!$A$6:$A$105,"&lt;&gt;",'05 Development Actions'!$AB$6:$AB$105,"&lt;&gt;Closed — Competent",'05 Development Actions'!$AB$6:$AB$105,"&lt;&gt;Cancelled"))</x:f>
      </x:c>
      <x:c r="Q37" s="94" t="str">
        <x:f>IF(OR(B37="",G37=""),"",COUNTIFS('11 Training Attendance'!$E$6:$E$155,B37,'11 Training Attendance'!$K$6:$K$155,"Attended",'11 Training Attendance'!$I$6:$I$155,G37))</x:f>
      </x:c>
      <x:c r="R37" s="102" t="str">
        <x:f>IF(Q37=0,"",MAXIFS('11 Training Attendance'!$D$6:$D$155,'11 Training Attendance'!$E$6:$E$155,B37,'11 Training Attendance'!$K$6:$K$155,"Attended",'11 Training Attendance'!$I$6:$I$155,G37))</x:f>
      </x:c>
      <x:c r="S37" s="94" t="str">
        <x:f>IF(OR(B37="",G37=""),"",COUNTIFS('13 Effectiveness Review'!$C$6:$C$155,B37,'13 Effectiveness Review'!$F$6:$F$155,G37,'13 Effectiveness Review'!$X$6:$X$155,"Closed — Effective"))</x:f>
      </x:c>
      <x:c r="T37" s="94" t="str">
        <x:f>IF(B37="","",IF(K37="","Not Assessed",IF(O37="Expired","Renewal Due",IF(L37=0,"Competent","Skill Gap"))))</x:f>
      </x:c>
      <x:c r="U37" s="94" t="str">
        <x:f>IFERROR(VLOOKUP(D37&amp;"|"&amp;E37&amp;"|"&amp;G37,'03 Position Requirements'!$A$6:$R$285,14,FALSE),"")</x:f>
      </x:c>
      <x:c r="V37" s="92"/>
      <x:c r="W37" s="85" t="str">
        <x:f>IF(B37="","",B37&amp;"|"&amp;COUNTIF($B$6:B37,B37))</x:f>
      </x:c>
      <x:c r="X37" s="85" t="str">
        <x:f>IF(B37="","",G37)</x:f>
      </x:c>
      <x:c r="Y37" s="85" t="str">
        <x:f>IF(B37="","",H37)</x:f>
      </x:c>
      <x:c r="Z37" s="85" t="str">
        <x:f>IF(B37="","",I37)</x:f>
      </x:c>
      <x:c r="AA37" s="85" t="str">
        <x:f>IF(B37="","",J37)</x:f>
      </x:c>
      <x:c r="AB37" s="85" t="str">
        <x:f>IF(B37="","",K37)</x:f>
      </x:c>
      <x:c r="AC37" s="85" t="str">
        <x:f>IF(B37="","",L37)</x:f>
      </x:c>
      <x:c r="AD37" s="85" t="str">
        <x:f>IF(B37="","",M37)</x:f>
      </x:c>
      <x:c r="AE37" s="85" t="str">
        <x:f>IF(B37="","",N37)</x:f>
      </x:c>
      <x:c r="AF37" s="85" t="str">
        <x:f>IF(B37="","",O37)</x:f>
      </x:c>
      <x:c r="AG37" s="85" t="str">
        <x:f>IF(B37="","",P37)</x:f>
      </x:c>
      <x:c r="AH37" s="85" t="str">
        <x:f>IF(B37="","",Q37)</x:f>
      </x:c>
      <x:c r="AI37" s="85" t="str">
        <x:f>IF(B37="","",R37)</x:f>
      </x:c>
      <x:c r="AJ37" s="85" t="str">
        <x:f>IF(B37="","",S37)</x:f>
      </x:c>
      <x:c r="AK37" s="85" t="str">
        <x:f>IF(B37="","",T37)</x:f>
      </x:c>
    </x:row>
    <x:row r="38">
      <x:c r="A38" s="94" t="str">
        <x:f>IF(OR(B38="",G38=""),"",B38&amp;"|"&amp;G38)</x:f>
      </x:c>
      <x:c r="B38" s="92"/>
      <x:c r="C38" s="94" t="str">
        <x:f>IFERROR(VLOOKUP(B38,'01 Staff Master'!$A$6:$M$105,2,FALSE),"")</x:f>
      </x:c>
      <x:c r="D38" s="94" t="str">
        <x:f>IFERROR(VLOOKUP(B38,'01 Staff Master'!$A$6:$M$105,3,FALSE),"")</x:f>
      </x:c>
      <x:c r="E38" s="94" t="str">
        <x:f>IFERROR(VLOOKUP(B38,'01 Staff Master'!$A$6:$M$105,5,FALSE),"")</x:f>
      </x:c>
      <x:c r="F38" s="94" t="str">
        <x:f>IFERROR(VLOOKUP(B38,'01 Staff Master'!$A$6:$M$105,4,FALSE),"")</x:f>
      </x:c>
      <x:c r="G38" s="92"/>
      <x:c r="H38" s="94" t="str">
        <x:f>IFERROR(VLOOKUP(G38,'02 Skill Catalogue'!$A$6:$K$95,4,FALSE),"")</x:f>
      </x:c>
      <x:c r="I38" s="94" t="str">
        <x:f>IFERROR(VLOOKUP(D38&amp;"|"&amp;E38&amp;"|"&amp;G38,'03 Position Requirements'!$A$6:$R$285,8,FALSE),"")</x:f>
      </x:c>
      <x:c r="J38" s="94" t="str">
        <x:f>IFERROR(VLOOKUP(D38&amp;"|"&amp;E38&amp;"|"&amp;G38,'03 Position Requirements'!$A$6:$R$285,10,FALSE),"")</x:f>
      </x:c>
      <x:c r="K38" s="94" t="str">
        <x:f>IF(OR(B38="",G38=""),"",IF(COUNTIFS('04 Assessment Log'!$D$6:$D$155,B38,'04 Assessment Log'!$J$6:$J$155,G38,'04 Assessment Log'!$AA$6:$AA$155,"Yes")=0,"",SUMIFS('04 Assessment Log'!$O$6:$O$155,'04 Assessment Log'!$D$6:$D$155,B38,'04 Assessment Log'!$J$6:$J$155,G38,'04 Assessment Log'!$AA$6:$AA$155,"Yes")))</x:f>
      </x:c>
      <x:c r="L38" s="94" t="str">
        <x:f>IF(OR(J38="",K38=""),"",MAX(J38-K38,0))</x:f>
      </x:c>
      <x:c r="M38" s="102" t="str">
        <x:f>IF(COUNTIFS('04 Assessment Log'!$D$6:$D$155,B38,'04 Assessment Log'!$J$6:$J$155,G38,'04 Assessment Log'!$AA$6:$AA$155,"Yes")=0,"",SUMIFS('04 Assessment Log'!$B$6:$B$155,'04 Assessment Log'!$D$6:$D$155,B38,'04 Assessment Log'!$J$6:$J$155,G38,'04 Assessment Log'!$AA$6:$AA$155,"Yes"))</x:f>
      </x:c>
      <x:c r="N38" s="102" t="str">
        <x:f>IF(M38="","",SUMIFS('04 Assessment Log'!$Z$6:$Z$155,'04 Assessment Log'!$D$6:$D$155,B38,'04 Assessment Log'!$J$6:$J$155,G38,'04 Assessment Log'!$AA$6:$AA$155,"Yes"))</x:f>
      </x:c>
      <x:c r="O38" s="94" t="str">
        <x:f>IF(M38="","Not Assessed",IF(N38&lt;TODAY(),"Expired",IF(N38&lt;=TODAY()+30,"Due Soon","Current")))</x:f>
        <x:v>Not Assessed</x:v>
      </x:c>
      <x:c r="P38" s="94" t="str">
        <x:f>IF(OR(B38="",G38=""),"",COUNTIFS('05 Development Actions'!$C$6:$C$105,B38,'05 Development Actions'!$G$6:$G$105,G38,'05 Development Actions'!$A$6:$A$105,"&lt;&gt;",'05 Development Actions'!$AB$6:$AB$105,"&lt;&gt;Closed — Competent",'05 Development Actions'!$AB$6:$AB$105,"&lt;&gt;Cancelled"))</x:f>
      </x:c>
      <x:c r="Q38" s="94" t="str">
        <x:f>IF(OR(B38="",G38=""),"",COUNTIFS('11 Training Attendance'!$E$6:$E$155,B38,'11 Training Attendance'!$K$6:$K$155,"Attended",'11 Training Attendance'!$I$6:$I$155,G38))</x:f>
      </x:c>
      <x:c r="R38" s="102" t="str">
        <x:f>IF(Q38=0,"",MAXIFS('11 Training Attendance'!$D$6:$D$155,'11 Training Attendance'!$E$6:$E$155,B38,'11 Training Attendance'!$K$6:$K$155,"Attended",'11 Training Attendance'!$I$6:$I$155,G38))</x:f>
      </x:c>
      <x:c r="S38" s="94" t="str">
        <x:f>IF(OR(B38="",G38=""),"",COUNTIFS('13 Effectiveness Review'!$C$6:$C$155,B38,'13 Effectiveness Review'!$F$6:$F$155,G38,'13 Effectiveness Review'!$X$6:$X$155,"Closed — Effective"))</x:f>
      </x:c>
      <x:c r="T38" s="94" t="str">
        <x:f>IF(B38="","",IF(K38="","Not Assessed",IF(O38="Expired","Renewal Due",IF(L38=0,"Competent","Skill Gap"))))</x:f>
      </x:c>
      <x:c r="U38" s="94" t="str">
        <x:f>IFERROR(VLOOKUP(D38&amp;"|"&amp;E38&amp;"|"&amp;G38,'03 Position Requirements'!$A$6:$R$285,14,FALSE),"")</x:f>
      </x:c>
      <x:c r="V38" s="92"/>
      <x:c r="W38" s="85" t="str">
        <x:f>IF(B38="","",B38&amp;"|"&amp;COUNTIF($B$6:B38,B38))</x:f>
      </x:c>
      <x:c r="X38" s="85" t="str">
        <x:f>IF(B38="","",G38)</x:f>
      </x:c>
      <x:c r="Y38" s="85" t="str">
        <x:f>IF(B38="","",H38)</x:f>
      </x:c>
      <x:c r="Z38" s="85" t="str">
        <x:f>IF(B38="","",I38)</x:f>
      </x:c>
      <x:c r="AA38" s="85" t="str">
        <x:f>IF(B38="","",J38)</x:f>
      </x:c>
      <x:c r="AB38" s="85" t="str">
        <x:f>IF(B38="","",K38)</x:f>
      </x:c>
      <x:c r="AC38" s="85" t="str">
        <x:f>IF(B38="","",L38)</x:f>
      </x:c>
      <x:c r="AD38" s="85" t="str">
        <x:f>IF(B38="","",M38)</x:f>
      </x:c>
      <x:c r="AE38" s="85" t="str">
        <x:f>IF(B38="","",N38)</x:f>
      </x:c>
      <x:c r="AF38" s="85" t="str">
        <x:f>IF(B38="","",O38)</x:f>
      </x:c>
      <x:c r="AG38" s="85" t="str">
        <x:f>IF(B38="","",P38)</x:f>
      </x:c>
      <x:c r="AH38" s="85" t="str">
        <x:f>IF(B38="","",Q38)</x:f>
      </x:c>
      <x:c r="AI38" s="85" t="str">
        <x:f>IF(B38="","",R38)</x:f>
      </x:c>
      <x:c r="AJ38" s="85" t="str">
        <x:f>IF(B38="","",S38)</x:f>
      </x:c>
      <x:c r="AK38" s="85" t="str">
        <x:f>IF(B38="","",T38)</x:f>
      </x:c>
    </x:row>
    <x:row r="39">
      <x:c r="A39" s="94" t="str">
        <x:f>IF(OR(B39="",G39=""),"",B39&amp;"|"&amp;G39)</x:f>
      </x:c>
      <x:c r="B39" s="92"/>
      <x:c r="C39" s="94" t="str">
        <x:f>IFERROR(VLOOKUP(B39,'01 Staff Master'!$A$6:$M$105,2,FALSE),"")</x:f>
      </x:c>
      <x:c r="D39" s="94" t="str">
        <x:f>IFERROR(VLOOKUP(B39,'01 Staff Master'!$A$6:$M$105,3,FALSE),"")</x:f>
      </x:c>
      <x:c r="E39" s="94" t="str">
        <x:f>IFERROR(VLOOKUP(B39,'01 Staff Master'!$A$6:$M$105,5,FALSE),"")</x:f>
      </x:c>
      <x:c r="F39" s="94" t="str">
        <x:f>IFERROR(VLOOKUP(B39,'01 Staff Master'!$A$6:$M$105,4,FALSE),"")</x:f>
      </x:c>
      <x:c r="G39" s="92"/>
      <x:c r="H39" s="94" t="str">
        <x:f>IFERROR(VLOOKUP(G39,'02 Skill Catalogue'!$A$6:$K$95,4,FALSE),"")</x:f>
      </x:c>
      <x:c r="I39" s="94" t="str">
        <x:f>IFERROR(VLOOKUP(D39&amp;"|"&amp;E39&amp;"|"&amp;G39,'03 Position Requirements'!$A$6:$R$285,8,FALSE),"")</x:f>
      </x:c>
      <x:c r="J39" s="94" t="str">
        <x:f>IFERROR(VLOOKUP(D39&amp;"|"&amp;E39&amp;"|"&amp;G39,'03 Position Requirements'!$A$6:$R$285,10,FALSE),"")</x:f>
      </x:c>
      <x:c r="K39" s="94" t="str">
        <x:f>IF(OR(B39="",G39=""),"",IF(COUNTIFS('04 Assessment Log'!$D$6:$D$155,B39,'04 Assessment Log'!$J$6:$J$155,G39,'04 Assessment Log'!$AA$6:$AA$155,"Yes")=0,"",SUMIFS('04 Assessment Log'!$O$6:$O$155,'04 Assessment Log'!$D$6:$D$155,B39,'04 Assessment Log'!$J$6:$J$155,G39,'04 Assessment Log'!$AA$6:$AA$155,"Yes")))</x:f>
      </x:c>
      <x:c r="L39" s="94" t="str">
        <x:f>IF(OR(J39="",K39=""),"",MAX(J39-K39,0))</x:f>
      </x:c>
      <x:c r="M39" s="102" t="str">
        <x:f>IF(COUNTIFS('04 Assessment Log'!$D$6:$D$155,B39,'04 Assessment Log'!$J$6:$J$155,G39,'04 Assessment Log'!$AA$6:$AA$155,"Yes")=0,"",SUMIFS('04 Assessment Log'!$B$6:$B$155,'04 Assessment Log'!$D$6:$D$155,B39,'04 Assessment Log'!$J$6:$J$155,G39,'04 Assessment Log'!$AA$6:$AA$155,"Yes"))</x:f>
      </x:c>
      <x:c r="N39" s="102" t="str">
        <x:f>IF(M39="","",SUMIFS('04 Assessment Log'!$Z$6:$Z$155,'04 Assessment Log'!$D$6:$D$155,B39,'04 Assessment Log'!$J$6:$J$155,G39,'04 Assessment Log'!$AA$6:$AA$155,"Yes"))</x:f>
      </x:c>
      <x:c r="O39" s="94" t="str">
        <x:f>IF(M39="","Not Assessed",IF(N39&lt;TODAY(),"Expired",IF(N39&lt;=TODAY()+30,"Due Soon","Current")))</x:f>
        <x:v>Not Assessed</x:v>
      </x:c>
      <x:c r="P39" s="94" t="str">
        <x:f>IF(OR(B39="",G39=""),"",COUNTIFS('05 Development Actions'!$C$6:$C$105,B39,'05 Development Actions'!$G$6:$G$105,G39,'05 Development Actions'!$A$6:$A$105,"&lt;&gt;",'05 Development Actions'!$AB$6:$AB$105,"&lt;&gt;Closed — Competent",'05 Development Actions'!$AB$6:$AB$105,"&lt;&gt;Cancelled"))</x:f>
      </x:c>
      <x:c r="Q39" s="94" t="str">
        <x:f>IF(OR(B39="",G39=""),"",COUNTIFS('11 Training Attendance'!$E$6:$E$155,B39,'11 Training Attendance'!$K$6:$K$155,"Attended",'11 Training Attendance'!$I$6:$I$155,G39))</x:f>
      </x:c>
      <x:c r="R39" s="102" t="str">
        <x:f>IF(Q39=0,"",MAXIFS('11 Training Attendance'!$D$6:$D$155,'11 Training Attendance'!$E$6:$E$155,B39,'11 Training Attendance'!$K$6:$K$155,"Attended",'11 Training Attendance'!$I$6:$I$155,G39))</x:f>
      </x:c>
      <x:c r="S39" s="94" t="str">
        <x:f>IF(OR(B39="",G39=""),"",COUNTIFS('13 Effectiveness Review'!$C$6:$C$155,B39,'13 Effectiveness Review'!$F$6:$F$155,G39,'13 Effectiveness Review'!$X$6:$X$155,"Closed — Effective"))</x:f>
      </x:c>
      <x:c r="T39" s="94" t="str">
        <x:f>IF(B39="","",IF(K39="","Not Assessed",IF(O39="Expired","Renewal Due",IF(L39=0,"Competent","Skill Gap"))))</x:f>
      </x:c>
      <x:c r="U39" s="94" t="str">
        <x:f>IFERROR(VLOOKUP(D39&amp;"|"&amp;E39&amp;"|"&amp;G39,'03 Position Requirements'!$A$6:$R$285,14,FALSE),"")</x:f>
      </x:c>
      <x:c r="V39" s="92"/>
      <x:c r="W39" s="85" t="str">
        <x:f>IF(B39="","",B39&amp;"|"&amp;COUNTIF($B$6:B39,B39))</x:f>
      </x:c>
      <x:c r="X39" s="85" t="str">
        <x:f>IF(B39="","",G39)</x:f>
      </x:c>
      <x:c r="Y39" s="85" t="str">
        <x:f>IF(B39="","",H39)</x:f>
      </x:c>
      <x:c r="Z39" s="85" t="str">
        <x:f>IF(B39="","",I39)</x:f>
      </x:c>
      <x:c r="AA39" s="85" t="str">
        <x:f>IF(B39="","",J39)</x:f>
      </x:c>
      <x:c r="AB39" s="85" t="str">
        <x:f>IF(B39="","",K39)</x:f>
      </x:c>
      <x:c r="AC39" s="85" t="str">
        <x:f>IF(B39="","",L39)</x:f>
      </x:c>
      <x:c r="AD39" s="85" t="str">
        <x:f>IF(B39="","",M39)</x:f>
      </x:c>
      <x:c r="AE39" s="85" t="str">
        <x:f>IF(B39="","",N39)</x:f>
      </x:c>
      <x:c r="AF39" s="85" t="str">
        <x:f>IF(B39="","",O39)</x:f>
      </x:c>
      <x:c r="AG39" s="85" t="str">
        <x:f>IF(B39="","",P39)</x:f>
      </x:c>
      <x:c r="AH39" s="85" t="str">
        <x:f>IF(B39="","",Q39)</x:f>
      </x:c>
      <x:c r="AI39" s="85" t="str">
        <x:f>IF(B39="","",R39)</x:f>
      </x:c>
      <x:c r="AJ39" s="85" t="str">
        <x:f>IF(B39="","",S39)</x:f>
      </x:c>
      <x:c r="AK39" s="85" t="str">
        <x:f>IF(B39="","",T39)</x:f>
      </x:c>
    </x:row>
    <x:row r="40">
      <x:c r="A40" s="94" t="str">
        <x:f>IF(OR(B40="",G40=""),"",B40&amp;"|"&amp;G40)</x:f>
      </x:c>
      <x:c r="B40" s="92"/>
      <x:c r="C40" s="94" t="str">
        <x:f>IFERROR(VLOOKUP(B40,'01 Staff Master'!$A$6:$M$105,2,FALSE),"")</x:f>
      </x:c>
      <x:c r="D40" s="94" t="str">
        <x:f>IFERROR(VLOOKUP(B40,'01 Staff Master'!$A$6:$M$105,3,FALSE),"")</x:f>
      </x:c>
      <x:c r="E40" s="94" t="str">
        <x:f>IFERROR(VLOOKUP(B40,'01 Staff Master'!$A$6:$M$105,5,FALSE),"")</x:f>
      </x:c>
      <x:c r="F40" s="94" t="str">
        <x:f>IFERROR(VLOOKUP(B40,'01 Staff Master'!$A$6:$M$105,4,FALSE),"")</x:f>
      </x:c>
      <x:c r="G40" s="92"/>
      <x:c r="H40" s="94" t="str">
        <x:f>IFERROR(VLOOKUP(G40,'02 Skill Catalogue'!$A$6:$K$95,4,FALSE),"")</x:f>
      </x:c>
      <x:c r="I40" s="94" t="str">
        <x:f>IFERROR(VLOOKUP(D40&amp;"|"&amp;E40&amp;"|"&amp;G40,'03 Position Requirements'!$A$6:$R$285,8,FALSE),"")</x:f>
      </x:c>
      <x:c r="J40" s="94" t="str">
        <x:f>IFERROR(VLOOKUP(D40&amp;"|"&amp;E40&amp;"|"&amp;G40,'03 Position Requirements'!$A$6:$R$285,10,FALSE),"")</x:f>
      </x:c>
      <x:c r="K40" s="94" t="str">
        <x:f>IF(OR(B40="",G40=""),"",IF(COUNTIFS('04 Assessment Log'!$D$6:$D$155,B40,'04 Assessment Log'!$J$6:$J$155,G40,'04 Assessment Log'!$AA$6:$AA$155,"Yes")=0,"",SUMIFS('04 Assessment Log'!$O$6:$O$155,'04 Assessment Log'!$D$6:$D$155,B40,'04 Assessment Log'!$J$6:$J$155,G40,'04 Assessment Log'!$AA$6:$AA$155,"Yes")))</x:f>
      </x:c>
      <x:c r="L40" s="94" t="str">
        <x:f>IF(OR(J40="",K40=""),"",MAX(J40-K40,0))</x:f>
      </x:c>
      <x:c r="M40" s="102" t="str">
        <x:f>IF(COUNTIFS('04 Assessment Log'!$D$6:$D$155,B40,'04 Assessment Log'!$J$6:$J$155,G40,'04 Assessment Log'!$AA$6:$AA$155,"Yes")=0,"",SUMIFS('04 Assessment Log'!$B$6:$B$155,'04 Assessment Log'!$D$6:$D$155,B40,'04 Assessment Log'!$J$6:$J$155,G40,'04 Assessment Log'!$AA$6:$AA$155,"Yes"))</x:f>
      </x:c>
      <x:c r="N40" s="102" t="str">
        <x:f>IF(M40="","",SUMIFS('04 Assessment Log'!$Z$6:$Z$155,'04 Assessment Log'!$D$6:$D$155,B40,'04 Assessment Log'!$J$6:$J$155,G40,'04 Assessment Log'!$AA$6:$AA$155,"Yes"))</x:f>
      </x:c>
      <x:c r="O40" s="94" t="str">
        <x:f>IF(M40="","Not Assessed",IF(N40&lt;TODAY(),"Expired",IF(N40&lt;=TODAY()+30,"Due Soon","Current")))</x:f>
        <x:v>Not Assessed</x:v>
      </x:c>
      <x:c r="P40" s="94" t="str">
        <x:f>IF(OR(B40="",G40=""),"",COUNTIFS('05 Development Actions'!$C$6:$C$105,B40,'05 Development Actions'!$G$6:$G$105,G40,'05 Development Actions'!$A$6:$A$105,"&lt;&gt;",'05 Development Actions'!$AB$6:$AB$105,"&lt;&gt;Closed — Competent",'05 Development Actions'!$AB$6:$AB$105,"&lt;&gt;Cancelled"))</x:f>
      </x:c>
      <x:c r="Q40" s="94" t="str">
        <x:f>IF(OR(B40="",G40=""),"",COUNTIFS('11 Training Attendance'!$E$6:$E$155,B40,'11 Training Attendance'!$K$6:$K$155,"Attended",'11 Training Attendance'!$I$6:$I$155,G40))</x:f>
      </x:c>
      <x:c r="R40" s="102" t="str">
        <x:f>IF(Q40=0,"",MAXIFS('11 Training Attendance'!$D$6:$D$155,'11 Training Attendance'!$E$6:$E$155,B40,'11 Training Attendance'!$K$6:$K$155,"Attended",'11 Training Attendance'!$I$6:$I$155,G40))</x:f>
      </x:c>
      <x:c r="S40" s="94" t="str">
        <x:f>IF(OR(B40="",G40=""),"",COUNTIFS('13 Effectiveness Review'!$C$6:$C$155,B40,'13 Effectiveness Review'!$F$6:$F$155,G40,'13 Effectiveness Review'!$X$6:$X$155,"Closed — Effective"))</x:f>
      </x:c>
      <x:c r="T40" s="94" t="str">
        <x:f>IF(B40="","",IF(K40="","Not Assessed",IF(O40="Expired","Renewal Due",IF(L40=0,"Competent","Skill Gap"))))</x:f>
      </x:c>
      <x:c r="U40" s="94" t="str">
        <x:f>IFERROR(VLOOKUP(D40&amp;"|"&amp;E40&amp;"|"&amp;G40,'03 Position Requirements'!$A$6:$R$285,14,FALSE),"")</x:f>
      </x:c>
      <x:c r="V40" s="92"/>
      <x:c r="W40" s="85" t="str">
        <x:f>IF(B40="","",B40&amp;"|"&amp;COUNTIF($B$6:B40,B40))</x:f>
      </x:c>
      <x:c r="X40" s="85" t="str">
        <x:f>IF(B40="","",G40)</x:f>
      </x:c>
      <x:c r="Y40" s="85" t="str">
        <x:f>IF(B40="","",H40)</x:f>
      </x:c>
      <x:c r="Z40" s="85" t="str">
        <x:f>IF(B40="","",I40)</x:f>
      </x:c>
      <x:c r="AA40" s="85" t="str">
        <x:f>IF(B40="","",J40)</x:f>
      </x:c>
      <x:c r="AB40" s="85" t="str">
        <x:f>IF(B40="","",K40)</x:f>
      </x:c>
      <x:c r="AC40" s="85" t="str">
        <x:f>IF(B40="","",L40)</x:f>
      </x:c>
      <x:c r="AD40" s="85" t="str">
        <x:f>IF(B40="","",M40)</x:f>
      </x:c>
      <x:c r="AE40" s="85" t="str">
        <x:f>IF(B40="","",N40)</x:f>
      </x:c>
      <x:c r="AF40" s="85" t="str">
        <x:f>IF(B40="","",O40)</x:f>
      </x:c>
      <x:c r="AG40" s="85" t="str">
        <x:f>IF(B40="","",P40)</x:f>
      </x:c>
      <x:c r="AH40" s="85" t="str">
        <x:f>IF(B40="","",Q40)</x:f>
      </x:c>
      <x:c r="AI40" s="85" t="str">
        <x:f>IF(B40="","",R40)</x:f>
      </x:c>
      <x:c r="AJ40" s="85" t="str">
        <x:f>IF(B40="","",S40)</x:f>
      </x:c>
      <x:c r="AK40" s="85" t="str">
        <x:f>IF(B40="","",T40)</x:f>
      </x:c>
    </x:row>
    <x:row r="41">
      <x:c r="A41" s="94" t="str">
        <x:f>IF(OR(B41="",G41=""),"",B41&amp;"|"&amp;G41)</x:f>
      </x:c>
      <x:c r="B41" s="92"/>
      <x:c r="C41" s="94" t="str">
        <x:f>IFERROR(VLOOKUP(B41,'01 Staff Master'!$A$6:$M$105,2,FALSE),"")</x:f>
      </x:c>
      <x:c r="D41" s="94" t="str">
        <x:f>IFERROR(VLOOKUP(B41,'01 Staff Master'!$A$6:$M$105,3,FALSE),"")</x:f>
      </x:c>
      <x:c r="E41" s="94" t="str">
        <x:f>IFERROR(VLOOKUP(B41,'01 Staff Master'!$A$6:$M$105,5,FALSE),"")</x:f>
      </x:c>
      <x:c r="F41" s="94" t="str">
        <x:f>IFERROR(VLOOKUP(B41,'01 Staff Master'!$A$6:$M$105,4,FALSE),"")</x:f>
      </x:c>
      <x:c r="G41" s="92"/>
      <x:c r="H41" s="94" t="str">
        <x:f>IFERROR(VLOOKUP(G41,'02 Skill Catalogue'!$A$6:$K$95,4,FALSE),"")</x:f>
      </x:c>
      <x:c r="I41" s="94" t="str">
        <x:f>IFERROR(VLOOKUP(D41&amp;"|"&amp;E41&amp;"|"&amp;G41,'03 Position Requirements'!$A$6:$R$285,8,FALSE),"")</x:f>
      </x:c>
      <x:c r="J41" s="94" t="str">
        <x:f>IFERROR(VLOOKUP(D41&amp;"|"&amp;E41&amp;"|"&amp;G41,'03 Position Requirements'!$A$6:$R$285,10,FALSE),"")</x:f>
      </x:c>
      <x:c r="K41" s="94" t="str">
        <x:f>IF(OR(B41="",G41=""),"",IF(COUNTIFS('04 Assessment Log'!$D$6:$D$155,B41,'04 Assessment Log'!$J$6:$J$155,G41,'04 Assessment Log'!$AA$6:$AA$155,"Yes")=0,"",SUMIFS('04 Assessment Log'!$O$6:$O$155,'04 Assessment Log'!$D$6:$D$155,B41,'04 Assessment Log'!$J$6:$J$155,G41,'04 Assessment Log'!$AA$6:$AA$155,"Yes")))</x:f>
      </x:c>
      <x:c r="L41" s="94" t="str">
        <x:f>IF(OR(J41="",K41=""),"",MAX(J41-K41,0))</x:f>
      </x:c>
      <x:c r="M41" s="102" t="str">
        <x:f>IF(COUNTIFS('04 Assessment Log'!$D$6:$D$155,B41,'04 Assessment Log'!$J$6:$J$155,G41,'04 Assessment Log'!$AA$6:$AA$155,"Yes")=0,"",SUMIFS('04 Assessment Log'!$B$6:$B$155,'04 Assessment Log'!$D$6:$D$155,B41,'04 Assessment Log'!$J$6:$J$155,G41,'04 Assessment Log'!$AA$6:$AA$155,"Yes"))</x:f>
      </x:c>
      <x:c r="N41" s="102" t="str">
        <x:f>IF(M41="","",SUMIFS('04 Assessment Log'!$Z$6:$Z$155,'04 Assessment Log'!$D$6:$D$155,B41,'04 Assessment Log'!$J$6:$J$155,G41,'04 Assessment Log'!$AA$6:$AA$155,"Yes"))</x:f>
      </x:c>
      <x:c r="O41" s="94" t="str">
        <x:f>IF(M41="","Not Assessed",IF(N41&lt;TODAY(),"Expired",IF(N41&lt;=TODAY()+30,"Due Soon","Current")))</x:f>
        <x:v>Not Assessed</x:v>
      </x:c>
      <x:c r="P41" s="94" t="str">
        <x:f>IF(OR(B41="",G41=""),"",COUNTIFS('05 Development Actions'!$C$6:$C$105,B41,'05 Development Actions'!$G$6:$G$105,G41,'05 Development Actions'!$A$6:$A$105,"&lt;&gt;",'05 Development Actions'!$AB$6:$AB$105,"&lt;&gt;Closed — Competent",'05 Development Actions'!$AB$6:$AB$105,"&lt;&gt;Cancelled"))</x:f>
      </x:c>
      <x:c r="Q41" s="94" t="str">
        <x:f>IF(OR(B41="",G41=""),"",COUNTIFS('11 Training Attendance'!$E$6:$E$155,B41,'11 Training Attendance'!$K$6:$K$155,"Attended",'11 Training Attendance'!$I$6:$I$155,G41))</x:f>
      </x:c>
      <x:c r="R41" s="102" t="str">
        <x:f>IF(Q41=0,"",MAXIFS('11 Training Attendance'!$D$6:$D$155,'11 Training Attendance'!$E$6:$E$155,B41,'11 Training Attendance'!$K$6:$K$155,"Attended",'11 Training Attendance'!$I$6:$I$155,G41))</x:f>
      </x:c>
      <x:c r="S41" s="94" t="str">
        <x:f>IF(OR(B41="",G41=""),"",COUNTIFS('13 Effectiveness Review'!$C$6:$C$155,B41,'13 Effectiveness Review'!$F$6:$F$155,G41,'13 Effectiveness Review'!$X$6:$X$155,"Closed — Effective"))</x:f>
      </x:c>
      <x:c r="T41" s="94" t="str">
        <x:f>IF(B41="","",IF(K41="","Not Assessed",IF(O41="Expired","Renewal Due",IF(L41=0,"Competent","Skill Gap"))))</x:f>
      </x:c>
      <x:c r="U41" s="94" t="str">
        <x:f>IFERROR(VLOOKUP(D41&amp;"|"&amp;E41&amp;"|"&amp;G41,'03 Position Requirements'!$A$6:$R$285,14,FALSE),"")</x:f>
      </x:c>
      <x:c r="V41" s="92"/>
      <x:c r="W41" s="85" t="str">
        <x:f>IF(B41="","",B41&amp;"|"&amp;COUNTIF($B$6:B41,B41))</x:f>
      </x:c>
      <x:c r="X41" s="85" t="str">
        <x:f>IF(B41="","",G41)</x:f>
      </x:c>
      <x:c r="Y41" s="85" t="str">
        <x:f>IF(B41="","",H41)</x:f>
      </x:c>
      <x:c r="Z41" s="85" t="str">
        <x:f>IF(B41="","",I41)</x:f>
      </x:c>
      <x:c r="AA41" s="85" t="str">
        <x:f>IF(B41="","",J41)</x:f>
      </x:c>
      <x:c r="AB41" s="85" t="str">
        <x:f>IF(B41="","",K41)</x:f>
      </x:c>
      <x:c r="AC41" s="85" t="str">
        <x:f>IF(B41="","",L41)</x:f>
      </x:c>
      <x:c r="AD41" s="85" t="str">
        <x:f>IF(B41="","",M41)</x:f>
      </x:c>
      <x:c r="AE41" s="85" t="str">
        <x:f>IF(B41="","",N41)</x:f>
      </x:c>
      <x:c r="AF41" s="85" t="str">
        <x:f>IF(B41="","",O41)</x:f>
      </x:c>
      <x:c r="AG41" s="85" t="str">
        <x:f>IF(B41="","",P41)</x:f>
      </x:c>
      <x:c r="AH41" s="85" t="str">
        <x:f>IF(B41="","",Q41)</x:f>
      </x:c>
      <x:c r="AI41" s="85" t="str">
        <x:f>IF(B41="","",R41)</x:f>
      </x:c>
      <x:c r="AJ41" s="85" t="str">
        <x:f>IF(B41="","",S41)</x:f>
      </x:c>
      <x:c r="AK41" s="85" t="str">
        <x:f>IF(B41="","",T41)</x:f>
      </x:c>
    </x:row>
    <x:row r="42">
      <x:c r="A42" s="94" t="str">
        <x:f>IF(OR(B42="",G42=""),"",B42&amp;"|"&amp;G42)</x:f>
      </x:c>
      <x:c r="B42" s="92"/>
      <x:c r="C42" s="94" t="str">
        <x:f>IFERROR(VLOOKUP(B42,'01 Staff Master'!$A$6:$M$105,2,FALSE),"")</x:f>
      </x:c>
      <x:c r="D42" s="94" t="str">
        <x:f>IFERROR(VLOOKUP(B42,'01 Staff Master'!$A$6:$M$105,3,FALSE),"")</x:f>
      </x:c>
      <x:c r="E42" s="94" t="str">
        <x:f>IFERROR(VLOOKUP(B42,'01 Staff Master'!$A$6:$M$105,5,FALSE),"")</x:f>
      </x:c>
      <x:c r="F42" s="94" t="str">
        <x:f>IFERROR(VLOOKUP(B42,'01 Staff Master'!$A$6:$M$105,4,FALSE),"")</x:f>
      </x:c>
      <x:c r="G42" s="92"/>
      <x:c r="H42" s="94" t="str">
        <x:f>IFERROR(VLOOKUP(G42,'02 Skill Catalogue'!$A$6:$K$95,4,FALSE),"")</x:f>
      </x:c>
      <x:c r="I42" s="94" t="str">
        <x:f>IFERROR(VLOOKUP(D42&amp;"|"&amp;E42&amp;"|"&amp;G42,'03 Position Requirements'!$A$6:$R$285,8,FALSE),"")</x:f>
      </x:c>
      <x:c r="J42" s="94" t="str">
        <x:f>IFERROR(VLOOKUP(D42&amp;"|"&amp;E42&amp;"|"&amp;G42,'03 Position Requirements'!$A$6:$R$285,10,FALSE),"")</x:f>
      </x:c>
      <x:c r="K42" s="94" t="str">
        <x:f>IF(OR(B42="",G42=""),"",IF(COUNTIFS('04 Assessment Log'!$D$6:$D$155,B42,'04 Assessment Log'!$J$6:$J$155,G42,'04 Assessment Log'!$AA$6:$AA$155,"Yes")=0,"",SUMIFS('04 Assessment Log'!$O$6:$O$155,'04 Assessment Log'!$D$6:$D$155,B42,'04 Assessment Log'!$J$6:$J$155,G42,'04 Assessment Log'!$AA$6:$AA$155,"Yes")))</x:f>
      </x:c>
      <x:c r="L42" s="94" t="str">
        <x:f>IF(OR(J42="",K42=""),"",MAX(J42-K42,0))</x:f>
      </x:c>
      <x:c r="M42" s="102" t="str">
        <x:f>IF(COUNTIFS('04 Assessment Log'!$D$6:$D$155,B42,'04 Assessment Log'!$J$6:$J$155,G42,'04 Assessment Log'!$AA$6:$AA$155,"Yes")=0,"",SUMIFS('04 Assessment Log'!$B$6:$B$155,'04 Assessment Log'!$D$6:$D$155,B42,'04 Assessment Log'!$J$6:$J$155,G42,'04 Assessment Log'!$AA$6:$AA$155,"Yes"))</x:f>
      </x:c>
      <x:c r="N42" s="102" t="str">
        <x:f>IF(M42="","",SUMIFS('04 Assessment Log'!$Z$6:$Z$155,'04 Assessment Log'!$D$6:$D$155,B42,'04 Assessment Log'!$J$6:$J$155,G42,'04 Assessment Log'!$AA$6:$AA$155,"Yes"))</x:f>
      </x:c>
      <x:c r="O42" s="94" t="str">
        <x:f>IF(M42="","Not Assessed",IF(N42&lt;TODAY(),"Expired",IF(N42&lt;=TODAY()+30,"Due Soon","Current")))</x:f>
        <x:v>Not Assessed</x:v>
      </x:c>
      <x:c r="P42" s="94" t="str">
        <x:f>IF(OR(B42="",G42=""),"",COUNTIFS('05 Development Actions'!$C$6:$C$105,B42,'05 Development Actions'!$G$6:$G$105,G42,'05 Development Actions'!$A$6:$A$105,"&lt;&gt;",'05 Development Actions'!$AB$6:$AB$105,"&lt;&gt;Closed — Competent",'05 Development Actions'!$AB$6:$AB$105,"&lt;&gt;Cancelled"))</x:f>
      </x:c>
      <x:c r="Q42" s="94" t="str">
        <x:f>IF(OR(B42="",G42=""),"",COUNTIFS('11 Training Attendance'!$E$6:$E$155,B42,'11 Training Attendance'!$K$6:$K$155,"Attended",'11 Training Attendance'!$I$6:$I$155,G42))</x:f>
      </x:c>
      <x:c r="R42" s="102" t="str">
        <x:f>IF(Q42=0,"",MAXIFS('11 Training Attendance'!$D$6:$D$155,'11 Training Attendance'!$E$6:$E$155,B42,'11 Training Attendance'!$K$6:$K$155,"Attended",'11 Training Attendance'!$I$6:$I$155,G42))</x:f>
      </x:c>
      <x:c r="S42" s="94" t="str">
        <x:f>IF(OR(B42="",G42=""),"",COUNTIFS('13 Effectiveness Review'!$C$6:$C$155,B42,'13 Effectiveness Review'!$F$6:$F$155,G42,'13 Effectiveness Review'!$X$6:$X$155,"Closed — Effective"))</x:f>
      </x:c>
      <x:c r="T42" s="94" t="str">
        <x:f>IF(B42="","",IF(K42="","Not Assessed",IF(O42="Expired","Renewal Due",IF(L42=0,"Competent","Skill Gap"))))</x:f>
      </x:c>
      <x:c r="U42" s="94" t="str">
        <x:f>IFERROR(VLOOKUP(D42&amp;"|"&amp;E42&amp;"|"&amp;G42,'03 Position Requirements'!$A$6:$R$285,14,FALSE),"")</x:f>
      </x:c>
      <x:c r="V42" s="92"/>
      <x:c r="W42" s="85" t="str">
        <x:f>IF(B42="","",B42&amp;"|"&amp;COUNTIF($B$6:B42,B42))</x:f>
      </x:c>
      <x:c r="X42" s="85" t="str">
        <x:f>IF(B42="","",G42)</x:f>
      </x:c>
      <x:c r="Y42" s="85" t="str">
        <x:f>IF(B42="","",H42)</x:f>
      </x:c>
      <x:c r="Z42" s="85" t="str">
        <x:f>IF(B42="","",I42)</x:f>
      </x:c>
      <x:c r="AA42" s="85" t="str">
        <x:f>IF(B42="","",J42)</x:f>
      </x:c>
      <x:c r="AB42" s="85" t="str">
        <x:f>IF(B42="","",K42)</x:f>
      </x:c>
      <x:c r="AC42" s="85" t="str">
        <x:f>IF(B42="","",L42)</x:f>
      </x:c>
      <x:c r="AD42" s="85" t="str">
        <x:f>IF(B42="","",M42)</x:f>
      </x:c>
      <x:c r="AE42" s="85" t="str">
        <x:f>IF(B42="","",N42)</x:f>
      </x:c>
      <x:c r="AF42" s="85" t="str">
        <x:f>IF(B42="","",O42)</x:f>
      </x:c>
      <x:c r="AG42" s="85" t="str">
        <x:f>IF(B42="","",P42)</x:f>
      </x:c>
      <x:c r="AH42" s="85" t="str">
        <x:f>IF(B42="","",Q42)</x:f>
      </x:c>
      <x:c r="AI42" s="85" t="str">
        <x:f>IF(B42="","",R42)</x:f>
      </x:c>
      <x:c r="AJ42" s="85" t="str">
        <x:f>IF(B42="","",S42)</x:f>
      </x:c>
      <x:c r="AK42" s="85" t="str">
        <x:f>IF(B42="","",T42)</x:f>
      </x:c>
    </x:row>
    <x:row r="43">
      <x:c r="A43" s="94" t="str">
        <x:f>IF(OR(B43="",G43=""),"",B43&amp;"|"&amp;G43)</x:f>
      </x:c>
      <x:c r="B43" s="92"/>
      <x:c r="C43" s="94" t="str">
        <x:f>IFERROR(VLOOKUP(B43,'01 Staff Master'!$A$6:$M$105,2,FALSE),"")</x:f>
      </x:c>
      <x:c r="D43" s="94" t="str">
        <x:f>IFERROR(VLOOKUP(B43,'01 Staff Master'!$A$6:$M$105,3,FALSE),"")</x:f>
      </x:c>
      <x:c r="E43" s="94" t="str">
        <x:f>IFERROR(VLOOKUP(B43,'01 Staff Master'!$A$6:$M$105,5,FALSE),"")</x:f>
      </x:c>
      <x:c r="F43" s="94" t="str">
        <x:f>IFERROR(VLOOKUP(B43,'01 Staff Master'!$A$6:$M$105,4,FALSE),"")</x:f>
      </x:c>
      <x:c r="G43" s="92"/>
      <x:c r="H43" s="94" t="str">
        <x:f>IFERROR(VLOOKUP(G43,'02 Skill Catalogue'!$A$6:$K$95,4,FALSE),"")</x:f>
      </x:c>
      <x:c r="I43" s="94" t="str">
        <x:f>IFERROR(VLOOKUP(D43&amp;"|"&amp;E43&amp;"|"&amp;G43,'03 Position Requirements'!$A$6:$R$285,8,FALSE),"")</x:f>
      </x:c>
      <x:c r="J43" s="94" t="str">
        <x:f>IFERROR(VLOOKUP(D43&amp;"|"&amp;E43&amp;"|"&amp;G43,'03 Position Requirements'!$A$6:$R$285,10,FALSE),"")</x:f>
      </x:c>
      <x:c r="K43" s="94" t="str">
        <x:f>IF(OR(B43="",G43=""),"",IF(COUNTIFS('04 Assessment Log'!$D$6:$D$155,B43,'04 Assessment Log'!$J$6:$J$155,G43,'04 Assessment Log'!$AA$6:$AA$155,"Yes")=0,"",SUMIFS('04 Assessment Log'!$O$6:$O$155,'04 Assessment Log'!$D$6:$D$155,B43,'04 Assessment Log'!$J$6:$J$155,G43,'04 Assessment Log'!$AA$6:$AA$155,"Yes")))</x:f>
      </x:c>
      <x:c r="L43" s="94" t="str">
        <x:f>IF(OR(J43="",K43=""),"",MAX(J43-K43,0))</x:f>
      </x:c>
      <x:c r="M43" s="102" t="str">
        <x:f>IF(COUNTIFS('04 Assessment Log'!$D$6:$D$155,B43,'04 Assessment Log'!$J$6:$J$155,G43,'04 Assessment Log'!$AA$6:$AA$155,"Yes")=0,"",SUMIFS('04 Assessment Log'!$B$6:$B$155,'04 Assessment Log'!$D$6:$D$155,B43,'04 Assessment Log'!$J$6:$J$155,G43,'04 Assessment Log'!$AA$6:$AA$155,"Yes"))</x:f>
      </x:c>
      <x:c r="N43" s="102" t="str">
        <x:f>IF(M43="","",SUMIFS('04 Assessment Log'!$Z$6:$Z$155,'04 Assessment Log'!$D$6:$D$155,B43,'04 Assessment Log'!$J$6:$J$155,G43,'04 Assessment Log'!$AA$6:$AA$155,"Yes"))</x:f>
      </x:c>
      <x:c r="O43" s="94" t="str">
        <x:f>IF(M43="","Not Assessed",IF(N43&lt;TODAY(),"Expired",IF(N43&lt;=TODAY()+30,"Due Soon","Current")))</x:f>
        <x:v>Not Assessed</x:v>
      </x:c>
      <x:c r="P43" s="94" t="str">
        <x:f>IF(OR(B43="",G43=""),"",COUNTIFS('05 Development Actions'!$C$6:$C$105,B43,'05 Development Actions'!$G$6:$G$105,G43,'05 Development Actions'!$A$6:$A$105,"&lt;&gt;",'05 Development Actions'!$AB$6:$AB$105,"&lt;&gt;Closed — Competent",'05 Development Actions'!$AB$6:$AB$105,"&lt;&gt;Cancelled"))</x:f>
      </x:c>
      <x:c r="Q43" s="94" t="str">
        <x:f>IF(OR(B43="",G43=""),"",COUNTIFS('11 Training Attendance'!$E$6:$E$155,B43,'11 Training Attendance'!$K$6:$K$155,"Attended",'11 Training Attendance'!$I$6:$I$155,G43))</x:f>
      </x:c>
      <x:c r="R43" s="102" t="str">
        <x:f>IF(Q43=0,"",MAXIFS('11 Training Attendance'!$D$6:$D$155,'11 Training Attendance'!$E$6:$E$155,B43,'11 Training Attendance'!$K$6:$K$155,"Attended",'11 Training Attendance'!$I$6:$I$155,G43))</x:f>
      </x:c>
      <x:c r="S43" s="94" t="str">
        <x:f>IF(OR(B43="",G43=""),"",COUNTIFS('13 Effectiveness Review'!$C$6:$C$155,B43,'13 Effectiveness Review'!$F$6:$F$155,G43,'13 Effectiveness Review'!$X$6:$X$155,"Closed — Effective"))</x:f>
      </x:c>
      <x:c r="T43" s="94" t="str">
        <x:f>IF(B43="","",IF(K43="","Not Assessed",IF(O43="Expired","Renewal Due",IF(L43=0,"Competent","Skill Gap"))))</x:f>
      </x:c>
      <x:c r="U43" s="94" t="str">
        <x:f>IFERROR(VLOOKUP(D43&amp;"|"&amp;E43&amp;"|"&amp;G43,'03 Position Requirements'!$A$6:$R$285,14,FALSE),"")</x:f>
      </x:c>
      <x:c r="V43" s="92"/>
      <x:c r="W43" s="85" t="str">
        <x:f>IF(B43="","",B43&amp;"|"&amp;COUNTIF($B$6:B43,B43))</x:f>
      </x:c>
      <x:c r="X43" s="85" t="str">
        <x:f>IF(B43="","",G43)</x:f>
      </x:c>
      <x:c r="Y43" s="85" t="str">
        <x:f>IF(B43="","",H43)</x:f>
      </x:c>
      <x:c r="Z43" s="85" t="str">
        <x:f>IF(B43="","",I43)</x:f>
      </x:c>
      <x:c r="AA43" s="85" t="str">
        <x:f>IF(B43="","",J43)</x:f>
      </x:c>
      <x:c r="AB43" s="85" t="str">
        <x:f>IF(B43="","",K43)</x:f>
      </x:c>
      <x:c r="AC43" s="85" t="str">
        <x:f>IF(B43="","",L43)</x:f>
      </x:c>
      <x:c r="AD43" s="85" t="str">
        <x:f>IF(B43="","",M43)</x:f>
      </x:c>
      <x:c r="AE43" s="85" t="str">
        <x:f>IF(B43="","",N43)</x:f>
      </x:c>
      <x:c r="AF43" s="85" t="str">
        <x:f>IF(B43="","",O43)</x:f>
      </x:c>
      <x:c r="AG43" s="85" t="str">
        <x:f>IF(B43="","",P43)</x:f>
      </x:c>
      <x:c r="AH43" s="85" t="str">
        <x:f>IF(B43="","",Q43)</x:f>
      </x:c>
      <x:c r="AI43" s="85" t="str">
        <x:f>IF(B43="","",R43)</x:f>
      </x:c>
      <x:c r="AJ43" s="85" t="str">
        <x:f>IF(B43="","",S43)</x:f>
      </x:c>
      <x:c r="AK43" s="85" t="str">
        <x:f>IF(B43="","",T43)</x:f>
      </x:c>
    </x:row>
    <x:row r="44">
      <x:c r="A44" s="94" t="str">
        <x:f>IF(OR(B44="",G44=""),"",B44&amp;"|"&amp;G44)</x:f>
      </x:c>
      <x:c r="B44" s="92"/>
      <x:c r="C44" s="94" t="str">
        <x:f>IFERROR(VLOOKUP(B44,'01 Staff Master'!$A$6:$M$105,2,FALSE),"")</x:f>
      </x:c>
      <x:c r="D44" s="94" t="str">
        <x:f>IFERROR(VLOOKUP(B44,'01 Staff Master'!$A$6:$M$105,3,FALSE),"")</x:f>
      </x:c>
      <x:c r="E44" s="94" t="str">
        <x:f>IFERROR(VLOOKUP(B44,'01 Staff Master'!$A$6:$M$105,5,FALSE),"")</x:f>
      </x:c>
      <x:c r="F44" s="94" t="str">
        <x:f>IFERROR(VLOOKUP(B44,'01 Staff Master'!$A$6:$M$105,4,FALSE),"")</x:f>
      </x:c>
      <x:c r="G44" s="92"/>
      <x:c r="H44" s="94" t="str">
        <x:f>IFERROR(VLOOKUP(G44,'02 Skill Catalogue'!$A$6:$K$95,4,FALSE),"")</x:f>
      </x:c>
      <x:c r="I44" s="94" t="str">
        <x:f>IFERROR(VLOOKUP(D44&amp;"|"&amp;E44&amp;"|"&amp;G44,'03 Position Requirements'!$A$6:$R$285,8,FALSE),"")</x:f>
      </x:c>
      <x:c r="J44" s="94" t="str">
        <x:f>IFERROR(VLOOKUP(D44&amp;"|"&amp;E44&amp;"|"&amp;G44,'03 Position Requirements'!$A$6:$R$285,10,FALSE),"")</x:f>
      </x:c>
      <x:c r="K44" s="94" t="str">
        <x:f>IF(OR(B44="",G44=""),"",IF(COUNTIFS('04 Assessment Log'!$D$6:$D$155,B44,'04 Assessment Log'!$J$6:$J$155,G44,'04 Assessment Log'!$AA$6:$AA$155,"Yes")=0,"",SUMIFS('04 Assessment Log'!$O$6:$O$155,'04 Assessment Log'!$D$6:$D$155,B44,'04 Assessment Log'!$J$6:$J$155,G44,'04 Assessment Log'!$AA$6:$AA$155,"Yes")))</x:f>
      </x:c>
      <x:c r="L44" s="94" t="str">
        <x:f>IF(OR(J44="",K44=""),"",MAX(J44-K44,0))</x:f>
      </x:c>
      <x:c r="M44" s="102" t="str">
        <x:f>IF(COUNTIFS('04 Assessment Log'!$D$6:$D$155,B44,'04 Assessment Log'!$J$6:$J$155,G44,'04 Assessment Log'!$AA$6:$AA$155,"Yes")=0,"",SUMIFS('04 Assessment Log'!$B$6:$B$155,'04 Assessment Log'!$D$6:$D$155,B44,'04 Assessment Log'!$J$6:$J$155,G44,'04 Assessment Log'!$AA$6:$AA$155,"Yes"))</x:f>
      </x:c>
      <x:c r="N44" s="102" t="str">
        <x:f>IF(M44="","",SUMIFS('04 Assessment Log'!$Z$6:$Z$155,'04 Assessment Log'!$D$6:$D$155,B44,'04 Assessment Log'!$J$6:$J$155,G44,'04 Assessment Log'!$AA$6:$AA$155,"Yes"))</x:f>
      </x:c>
      <x:c r="O44" s="94" t="str">
        <x:f>IF(M44="","Not Assessed",IF(N44&lt;TODAY(),"Expired",IF(N44&lt;=TODAY()+30,"Due Soon","Current")))</x:f>
        <x:v>Not Assessed</x:v>
      </x:c>
      <x:c r="P44" s="94" t="str">
        <x:f>IF(OR(B44="",G44=""),"",COUNTIFS('05 Development Actions'!$C$6:$C$105,B44,'05 Development Actions'!$G$6:$G$105,G44,'05 Development Actions'!$A$6:$A$105,"&lt;&gt;",'05 Development Actions'!$AB$6:$AB$105,"&lt;&gt;Closed — Competent",'05 Development Actions'!$AB$6:$AB$105,"&lt;&gt;Cancelled"))</x:f>
      </x:c>
      <x:c r="Q44" s="94" t="str">
        <x:f>IF(OR(B44="",G44=""),"",COUNTIFS('11 Training Attendance'!$E$6:$E$155,B44,'11 Training Attendance'!$K$6:$K$155,"Attended",'11 Training Attendance'!$I$6:$I$155,G44))</x:f>
      </x:c>
      <x:c r="R44" s="102" t="str">
        <x:f>IF(Q44=0,"",MAXIFS('11 Training Attendance'!$D$6:$D$155,'11 Training Attendance'!$E$6:$E$155,B44,'11 Training Attendance'!$K$6:$K$155,"Attended",'11 Training Attendance'!$I$6:$I$155,G44))</x:f>
      </x:c>
      <x:c r="S44" s="94" t="str">
        <x:f>IF(OR(B44="",G44=""),"",COUNTIFS('13 Effectiveness Review'!$C$6:$C$155,B44,'13 Effectiveness Review'!$F$6:$F$155,G44,'13 Effectiveness Review'!$X$6:$X$155,"Closed — Effective"))</x:f>
      </x:c>
      <x:c r="T44" s="94" t="str">
        <x:f>IF(B44="","",IF(K44="","Not Assessed",IF(O44="Expired","Renewal Due",IF(L44=0,"Competent","Skill Gap"))))</x:f>
      </x:c>
      <x:c r="U44" s="94" t="str">
        <x:f>IFERROR(VLOOKUP(D44&amp;"|"&amp;E44&amp;"|"&amp;G44,'03 Position Requirements'!$A$6:$R$285,14,FALSE),"")</x:f>
      </x:c>
      <x:c r="V44" s="92"/>
      <x:c r="W44" s="85" t="str">
        <x:f>IF(B44="","",B44&amp;"|"&amp;COUNTIF($B$6:B44,B44))</x:f>
      </x:c>
      <x:c r="X44" s="85" t="str">
        <x:f>IF(B44="","",G44)</x:f>
      </x:c>
      <x:c r="Y44" s="85" t="str">
        <x:f>IF(B44="","",H44)</x:f>
      </x:c>
      <x:c r="Z44" s="85" t="str">
        <x:f>IF(B44="","",I44)</x:f>
      </x:c>
      <x:c r="AA44" s="85" t="str">
        <x:f>IF(B44="","",J44)</x:f>
      </x:c>
      <x:c r="AB44" s="85" t="str">
        <x:f>IF(B44="","",K44)</x:f>
      </x:c>
      <x:c r="AC44" s="85" t="str">
        <x:f>IF(B44="","",L44)</x:f>
      </x:c>
      <x:c r="AD44" s="85" t="str">
        <x:f>IF(B44="","",M44)</x:f>
      </x:c>
      <x:c r="AE44" s="85" t="str">
        <x:f>IF(B44="","",N44)</x:f>
      </x:c>
      <x:c r="AF44" s="85" t="str">
        <x:f>IF(B44="","",O44)</x:f>
      </x:c>
      <x:c r="AG44" s="85" t="str">
        <x:f>IF(B44="","",P44)</x:f>
      </x:c>
      <x:c r="AH44" s="85" t="str">
        <x:f>IF(B44="","",Q44)</x:f>
      </x:c>
      <x:c r="AI44" s="85" t="str">
        <x:f>IF(B44="","",R44)</x:f>
      </x:c>
      <x:c r="AJ44" s="85" t="str">
        <x:f>IF(B44="","",S44)</x:f>
      </x:c>
      <x:c r="AK44" s="85" t="str">
        <x:f>IF(B44="","",T44)</x:f>
      </x:c>
    </x:row>
    <x:row r="45">
      <x:c r="A45" s="94" t="str">
        <x:f>IF(OR(B45="",G45=""),"",B45&amp;"|"&amp;G45)</x:f>
      </x:c>
      <x:c r="B45" s="92"/>
      <x:c r="C45" s="94" t="str">
        <x:f>IFERROR(VLOOKUP(B45,'01 Staff Master'!$A$6:$M$105,2,FALSE),"")</x:f>
      </x:c>
      <x:c r="D45" s="94" t="str">
        <x:f>IFERROR(VLOOKUP(B45,'01 Staff Master'!$A$6:$M$105,3,FALSE),"")</x:f>
      </x:c>
      <x:c r="E45" s="94" t="str">
        <x:f>IFERROR(VLOOKUP(B45,'01 Staff Master'!$A$6:$M$105,5,FALSE),"")</x:f>
      </x:c>
      <x:c r="F45" s="94" t="str">
        <x:f>IFERROR(VLOOKUP(B45,'01 Staff Master'!$A$6:$M$105,4,FALSE),"")</x:f>
      </x:c>
      <x:c r="G45" s="92"/>
      <x:c r="H45" s="94" t="str">
        <x:f>IFERROR(VLOOKUP(G45,'02 Skill Catalogue'!$A$6:$K$95,4,FALSE),"")</x:f>
      </x:c>
      <x:c r="I45" s="94" t="str">
        <x:f>IFERROR(VLOOKUP(D45&amp;"|"&amp;E45&amp;"|"&amp;G45,'03 Position Requirements'!$A$6:$R$285,8,FALSE),"")</x:f>
      </x:c>
      <x:c r="J45" s="94" t="str">
        <x:f>IFERROR(VLOOKUP(D45&amp;"|"&amp;E45&amp;"|"&amp;G45,'03 Position Requirements'!$A$6:$R$285,10,FALSE),"")</x:f>
      </x:c>
      <x:c r="K45" s="94" t="str">
        <x:f>IF(OR(B45="",G45=""),"",IF(COUNTIFS('04 Assessment Log'!$D$6:$D$155,B45,'04 Assessment Log'!$J$6:$J$155,G45,'04 Assessment Log'!$AA$6:$AA$155,"Yes")=0,"",SUMIFS('04 Assessment Log'!$O$6:$O$155,'04 Assessment Log'!$D$6:$D$155,B45,'04 Assessment Log'!$J$6:$J$155,G45,'04 Assessment Log'!$AA$6:$AA$155,"Yes")))</x:f>
      </x:c>
      <x:c r="L45" s="94" t="str">
        <x:f>IF(OR(J45="",K45=""),"",MAX(J45-K45,0))</x:f>
      </x:c>
      <x:c r="M45" s="102" t="str">
        <x:f>IF(COUNTIFS('04 Assessment Log'!$D$6:$D$155,B45,'04 Assessment Log'!$J$6:$J$155,G45,'04 Assessment Log'!$AA$6:$AA$155,"Yes")=0,"",SUMIFS('04 Assessment Log'!$B$6:$B$155,'04 Assessment Log'!$D$6:$D$155,B45,'04 Assessment Log'!$J$6:$J$155,G45,'04 Assessment Log'!$AA$6:$AA$155,"Yes"))</x:f>
      </x:c>
      <x:c r="N45" s="102" t="str">
        <x:f>IF(M45="","",SUMIFS('04 Assessment Log'!$Z$6:$Z$155,'04 Assessment Log'!$D$6:$D$155,B45,'04 Assessment Log'!$J$6:$J$155,G45,'04 Assessment Log'!$AA$6:$AA$155,"Yes"))</x:f>
      </x:c>
      <x:c r="O45" s="94" t="str">
        <x:f>IF(M45="","Not Assessed",IF(N45&lt;TODAY(),"Expired",IF(N45&lt;=TODAY()+30,"Due Soon","Current")))</x:f>
        <x:v>Not Assessed</x:v>
      </x:c>
      <x:c r="P45" s="94" t="str">
        <x:f>IF(OR(B45="",G45=""),"",COUNTIFS('05 Development Actions'!$C$6:$C$105,B45,'05 Development Actions'!$G$6:$G$105,G45,'05 Development Actions'!$A$6:$A$105,"&lt;&gt;",'05 Development Actions'!$AB$6:$AB$105,"&lt;&gt;Closed — Competent",'05 Development Actions'!$AB$6:$AB$105,"&lt;&gt;Cancelled"))</x:f>
      </x:c>
      <x:c r="Q45" s="94" t="str">
        <x:f>IF(OR(B45="",G45=""),"",COUNTIFS('11 Training Attendance'!$E$6:$E$155,B45,'11 Training Attendance'!$K$6:$K$155,"Attended",'11 Training Attendance'!$I$6:$I$155,G45))</x:f>
      </x:c>
      <x:c r="R45" s="102" t="str">
        <x:f>IF(Q45=0,"",MAXIFS('11 Training Attendance'!$D$6:$D$155,'11 Training Attendance'!$E$6:$E$155,B45,'11 Training Attendance'!$K$6:$K$155,"Attended",'11 Training Attendance'!$I$6:$I$155,G45))</x:f>
      </x:c>
      <x:c r="S45" s="94" t="str">
        <x:f>IF(OR(B45="",G45=""),"",COUNTIFS('13 Effectiveness Review'!$C$6:$C$155,B45,'13 Effectiveness Review'!$F$6:$F$155,G45,'13 Effectiveness Review'!$X$6:$X$155,"Closed — Effective"))</x:f>
      </x:c>
      <x:c r="T45" s="94" t="str">
        <x:f>IF(B45="","",IF(K45="","Not Assessed",IF(O45="Expired","Renewal Due",IF(L45=0,"Competent","Skill Gap"))))</x:f>
      </x:c>
      <x:c r="U45" s="94" t="str">
        <x:f>IFERROR(VLOOKUP(D45&amp;"|"&amp;E45&amp;"|"&amp;G45,'03 Position Requirements'!$A$6:$R$285,14,FALSE),"")</x:f>
      </x:c>
      <x:c r="V45" s="92"/>
      <x:c r="W45" s="85" t="str">
        <x:f>IF(B45="","",B45&amp;"|"&amp;COUNTIF($B$6:B45,B45))</x:f>
      </x:c>
      <x:c r="X45" s="85" t="str">
        <x:f>IF(B45="","",G45)</x:f>
      </x:c>
      <x:c r="Y45" s="85" t="str">
        <x:f>IF(B45="","",H45)</x:f>
      </x:c>
      <x:c r="Z45" s="85" t="str">
        <x:f>IF(B45="","",I45)</x:f>
      </x:c>
      <x:c r="AA45" s="85" t="str">
        <x:f>IF(B45="","",J45)</x:f>
      </x:c>
      <x:c r="AB45" s="85" t="str">
        <x:f>IF(B45="","",K45)</x:f>
      </x:c>
      <x:c r="AC45" s="85" t="str">
        <x:f>IF(B45="","",L45)</x:f>
      </x:c>
      <x:c r="AD45" s="85" t="str">
        <x:f>IF(B45="","",M45)</x:f>
      </x:c>
      <x:c r="AE45" s="85" t="str">
        <x:f>IF(B45="","",N45)</x:f>
      </x:c>
      <x:c r="AF45" s="85" t="str">
        <x:f>IF(B45="","",O45)</x:f>
      </x:c>
      <x:c r="AG45" s="85" t="str">
        <x:f>IF(B45="","",P45)</x:f>
      </x:c>
      <x:c r="AH45" s="85" t="str">
        <x:f>IF(B45="","",Q45)</x:f>
      </x:c>
      <x:c r="AI45" s="85" t="str">
        <x:f>IF(B45="","",R45)</x:f>
      </x:c>
      <x:c r="AJ45" s="85" t="str">
        <x:f>IF(B45="","",S45)</x:f>
      </x:c>
      <x:c r="AK45" s="85" t="str">
        <x:f>IF(B45="","",T45)</x:f>
      </x:c>
    </x:row>
    <x:row r="46">
      <x:c r="A46" s="94" t="str">
        <x:f>IF(OR(B46="",G46=""),"",B46&amp;"|"&amp;G46)</x:f>
      </x:c>
      <x:c r="B46" s="92"/>
      <x:c r="C46" s="94" t="str">
        <x:f>IFERROR(VLOOKUP(B46,'01 Staff Master'!$A$6:$M$105,2,FALSE),"")</x:f>
      </x:c>
      <x:c r="D46" s="94" t="str">
        <x:f>IFERROR(VLOOKUP(B46,'01 Staff Master'!$A$6:$M$105,3,FALSE),"")</x:f>
      </x:c>
      <x:c r="E46" s="94" t="str">
        <x:f>IFERROR(VLOOKUP(B46,'01 Staff Master'!$A$6:$M$105,5,FALSE),"")</x:f>
      </x:c>
      <x:c r="F46" s="94" t="str">
        <x:f>IFERROR(VLOOKUP(B46,'01 Staff Master'!$A$6:$M$105,4,FALSE),"")</x:f>
      </x:c>
      <x:c r="G46" s="92"/>
      <x:c r="H46" s="94" t="str">
        <x:f>IFERROR(VLOOKUP(G46,'02 Skill Catalogue'!$A$6:$K$95,4,FALSE),"")</x:f>
      </x:c>
      <x:c r="I46" s="94" t="str">
        <x:f>IFERROR(VLOOKUP(D46&amp;"|"&amp;E46&amp;"|"&amp;G46,'03 Position Requirements'!$A$6:$R$285,8,FALSE),"")</x:f>
      </x:c>
      <x:c r="J46" s="94" t="str">
        <x:f>IFERROR(VLOOKUP(D46&amp;"|"&amp;E46&amp;"|"&amp;G46,'03 Position Requirements'!$A$6:$R$285,10,FALSE),"")</x:f>
      </x:c>
      <x:c r="K46" s="94" t="str">
        <x:f>IF(OR(B46="",G46=""),"",IF(COUNTIFS('04 Assessment Log'!$D$6:$D$155,B46,'04 Assessment Log'!$J$6:$J$155,G46,'04 Assessment Log'!$AA$6:$AA$155,"Yes")=0,"",SUMIFS('04 Assessment Log'!$O$6:$O$155,'04 Assessment Log'!$D$6:$D$155,B46,'04 Assessment Log'!$J$6:$J$155,G46,'04 Assessment Log'!$AA$6:$AA$155,"Yes")))</x:f>
      </x:c>
      <x:c r="L46" s="94" t="str">
        <x:f>IF(OR(J46="",K46=""),"",MAX(J46-K46,0))</x:f>
      </x:c>
      <x:c r="M46" s="102" t="str">
        <x:f>IF(COUNTIFS('04 Assessment Log'!$D$6:$D$155,B46,'04 Assessment Log'!$J$6:$J$155,G46,'04 Assessment Log'!$AA$6:$AA$155,"Yes")=0,"",SUMIFS('04 Assessment Log'!$B$6:$B$155,'04 Assessment Log'!$D$6:$D$155,B46,'04 Assessment Log'!$J$6:$J$155,G46,'04 Assessment Log'!$AA$6:$AA$155,"Yes"))</x:f>
      </x:c>
      <x:c r="N46" s="102" t="str">
        <x:f>IF(M46="","",SUMIFS('04 Assessment Log'!$Z$6:$Z$155,'04 Assessment Log'!$D$6:$D$155,B46,'04 Assessment Log'!$J$6:$J$155,G46,'04 Assessment Log'!$AA$6:$AA$155,"Yes"))</x:f>
      </x:c>
      <x:c r="O46" s="94" t="str">
        <x:f>IF(M46="","Not Assessed",IF(N46&lt;TODAY(),"Expired",IF(N46&lt;=TODAY()+30,"Due Soon","Current")))</x:f>
        <x:v>Not Assessed</x:v>
      </x:c>
      <x:c r="P46" s="94" t="str">
        <x:f>IF(OR(B46="",G46=""),"",COUNTIFS('05 Development Actions'!$C$6:$C$105,B46,'05 Development Actions'!$G$6:$G$105,G46,'05 Development Actions'!$A$6:$A$105,"&lt;&gt;",'05 Development Actions'!$AB$6:$AB$105,"&lt;&gt;Closed — Competent",'05 Development Actions'!$AB$6:$AB$105,"&lt;&gt;Cancelled"))</x:f>
      </x:c>
      <x:c r="Q46" s="94" t="str">
        <x:f>IF(OR(B46="",G46=""),"",COUNTIFS('11 Training Attendance'!$E$6:$E$155,B46,'11 Training Attendance'!$K$6:$K$155,"Attended",'11 Training Attendance'!$I$6:$I$155,G46))</x:f>
      </x:c>
      <x:c r="R46" s="102" t="str">
        <x:f>IF(Q46=0,"",MAXIFS('11 Training Attendance'!$D$6:$D$155,'11 Training Attendance'!$E$6:$E$155,B46,'11 Training Attendance'!$K$6:$K$155,"Attended",'11 Training Attendance'!$I$6:$I$155,G46))</x:f>
      </x:c>
      <x:c r="S46" s="94" t="str">
        <x:f>IF(OR(B46="",G46=""),"",COUNTIFS('13 Effectiveness Review'!$C$6:$C$155,B46,'13 Effectiveness Review'!$F$6:$F$155,G46,'13 Effectiveness Review'!$X$6:$X$155,"Closed — Effective"))</x:f>
      </x:c>
      <x:c r="T46" s="94" t="str">
        <x:f>IF(B46="","",IF(K46="","Not Assessed",IF(O46="Expired","Renewal Due",IF(L46=0,"Competent","Skill Gap"))))</x:f>
      </x:c>
      <x:c r="U46" s="94" t="str">
        <x:f>IFERROR(VLOOKUP(D46&amp;"|"&amp;E46&amp;"|"&amp;G46,'03 Position Requirements'!$A$6:$R$285,14,FALSE),"")</x:f>
      </x:c>
      <x:c r="V46" s="92"/>
      <x:c r="W46" s="85" t="str">
        <x:f>IF(B46="","",B46&amp;"|"&amp;COUNTIF($B$6:B46,B46))</x:f>
      </x:c>
      <x:c r="X46" s="85" t="str">
        <x:f>IF(B46="","",G46)</x:f>
      </x:c>
      <x:c r="Y46" s="85" t="str">
        <x:f>IF(B46="","",H46)</x:f>
      </x:c>
      <x:c r="Z46" s="85" t="str">
        <x:f>IF(B46="","",I46)</x:f>
      </x:c>
      <x:c r="AA46" s="85" t="str">
        <x:f>IF(B46="","",J46)</x:f>
      </x:c>
      <x:c r="AB46" s="85" t="str">
        <x:f>IF(B46="","",K46)</x:f>
      </x:c>
      <x:c r="AC46" s="85" t="str">
        <x:f>IF(B46="","",L46)</x:f>
      </x:c>
      <x:c r="AD46" s="85" t="str">
        <x:f>IF(B46="","",M46)</x:f>
      </x:c>
      <x:c r="AE46" s="85" t="str">
        <x:f>IF(B46="","",N46)</x:f>
      </x:c>
      <x:c r="AF46" s="85" t="str">
        <x:f>IF(B46="","",O46)</x:f>
      </x:c>
      <x:c r="AG46" s="85" t="str">
        <x:f>IF(B46="","",P46)</x:f>
      </x:c>
      <x:c r="AH46" s="85" t="str">
        <x:f>IF(B46="","",Q46)</x:f>
      </x:c>
      <x:c r="AI46" s="85" t="str">
        <x:f>IF(B46="","",R46)</x:f>
      </x:c>
      <x:c r="AJ46" s="85" t="str">
        <x:f>IF(B46="","",S46)</x:f>
      </x:c>
      <x:c r="AK46" s="85" t="str">
        <x:f>IF(B46="","",T46)</x:f>
      </x:c>
    </x:row>
    <x:row r="47">
      <x:c r="A47" s="94" t="str">
        <x:f>IF(OR(B47="",G47=""),"",B47&amp;"|"&amp;G47)</x:f>
      </x:c>
      <x:c r="B47" s="92"/>
      <x:c r="C47" s="94" t="str">
        <x:f>IFERROR(VLOOKUP(B47,'01 Staff Master'!$A$6:$M$105,2,FALSE),"")</x:f>
      </x:c>
      <x:c r="D47" s="94" t="str">
        <x:f>IFERROR(VLOOKUP(B47,'01 Staff Master'!$A$6:$M$105,3,FALSE),"")</x:f>
      </x:c>
      <x:c r="E47" s="94" t="str">
        <x:f>IFERROR(VLOOKUP(B47,'01 Staff Master'!$A$6:$M$105,5,FALSE),"")</x:f>
      </x:c>
      <x:c r="F47" s="94" t="str">
        <x:f>IFERROR(VLOOKUP(B47,'01 Staff Master'!$A$6:$M$105,4,FALSE),"")</x:f>
      </x:c>
      <x:c r="G47" s="92"/>
      <x:c r="H47" s="94" t="str">
        <x:f>IFERROR(VLOOKUP(G47,'02 Skill Catalogue'!$A$6:$K$95,4,FALSE),"")</x:f>
      </x:c>
      <x:c r="I47" s="94" t="str">
        <x:f>IFERROR(VLOOKUP(D47&amp;"|"&amp;E47&amp;"|"&amp;G47,'03 Position Requirements'!$A$6:$R$285,8,FALSE),"")</x:f>
      </x:c>
      <x:c r="J47" s="94" t="str">
        <x:f>IFERROR(VLOOKUP(D47&amp;"|"&amp;E47&amp;"|"&amp;G47,'03 Position Requirements'!$A$6:$R$285,10,FALSE),"")</x:f>
      </x:c>
      <x:c r="K47" s="94" t="str">
        <x:f>IF(OR(B47="",G47=""),"",IF(COUNTIFS('04 Assessment Log'!$D$6:$D$155,B47,'04 Assessment Log'!$J$6:$J$155,G47,'04 Assessment Log'!$AA$6:$AA$155,"Yes")=0,"",SUMIFS('04 Assessment Log'!$O$6:$O$155,'04 Assessment Log'!$D$6:$D$155,B47,'04 Assessment Log'!$J$6:$J$155,G47,'04 Assessment Log'!$AA$6:$AA$155,"Yes")))</x:f>
      </x:c>
      <x:c r="L47" s="94" t="str">
        <x:f>IF(OR(J47="",K47=""),"",MAX(J47-K47,0))</x:f>
      </x:c>
      <x:c r="M47" s="102" t="str">
        <x:f>IF(COUNTIFS('04 Assessment Log'!$D$6:$D$155,B47,'04 Assessment Log'!$J$6:$J$155,G47,'04 Assessment Log'!$AA$6:$AA$155,"Yes")=0,"",SUMIFS('04 Assessment Log'!$B$6:$B$155,'04 Assessment Log'!$D$6:$D$155,B47,'04 Assessment Log'!$J$6:$J$155,G47,'04 Assessment Log'!$AA$6:$AA$155,"Yes"))</x:f>
      </x:c>
      <x:c r="N47" s="102" t="str">
        <x:f>IF(M47="","",SUMIFS('04 Assessment Log'!$Z$6:$Z$155,'04 Assessment Log'!$D$6:$D$155,B47,'04 Assessment Log'!$J$6:$J$155,G47,'04 Assessment Log'!$AA$6:$AA$155,"Yes"))</x:f>
      </x:c>
      <x:c r="O47" s="94" t="str">
        <x:f>IF(M47="","Not Assessed",IF(N47&lt;TODAY(),"Expired",IF(N47&lt;=TODAY()+30,"Due Soon","Current")))</x:f>
        <x:v>Not Assessed</x:v>
      </x:c>
      <x:c r="P47" s="94" t="str">
        <x:f>IF(OR(B47="",G47=""),"",COUNTIFS('05 Development Actions'!$C$6:$C$105,B47,'05 Development Actions'!$G$6:$G$105,G47,'05 Development Actions'!$A$6:$A$105,"&lt;&gt;",'05 Development Actions'!$AB$6:$AB$105,"&lt;&gt;Closed — Competent",'05 Development Actions'!$AB$6:$AB$105,"&lt;&gt;Cancelled"))</x:f>
      </x:c>
      <x:c r="Q47" s="94" t="str">
        <x:f>IF(OR(B47="",G47=""),"",COUNTIFS('11 Training Attendance'!$E$6:$E$155,B47,'11 Training Attendance'!$K$6:$K$155,"Attended",'11 Training Attendance'!$I$6:$I$155,G47))</x:f>
      </x:c>
      <x:c r="R47" s="102" t="str">
        <x:f>IF(Q47=0,"",MAXIFS('11 Training Attendance'!$D$6:$D$155,'11 Training Attendance'!$E$6:$E$155,B47,'11 Training Attendance'!$K$6:$K$155,"Attended",'11 Training Attendance'!$I$6:$I$155,G47))</x:f>
      </x:c>
      <x:c r="S47" s="94" t="str">
        <x:f>IF(OR(B47="",G47=""),"",COUNTIFS('13 Effectiveness Review'!$C$6:$C$155,B47,'13 Effectiveness Review'!$F$6:$F$155,G47,'13 Effectiveness Review'!$X$6:$X$155,"Closed — Effective"))</x:f>
      </x:c>
      <x:c r="T47" s="94" t="str">
        <x:f>IF(B47="","",IF(K47="","Not Assessed",IF(O47="Expired","Renewal Due",IF(L47=0,"Competent","Skill Gap"))))</x:f>
      </x:c>
      <x:c r="U47" s="94" t="str">
        <x:f>IFERROR(VLOOKUP(D47&amp;"|"&amp;E47&amp;"|"&amp;G47,'03 Position Requirements'!$A$6:$R$285,14,FALSE),"")</x:f>
      </x:c>
      <x:c r="V47" s="92"/>
      <x:c r="W47" s="85" t="str">
        <x:f>IF(B47="","",B47&amp;"|"&amp;COUNTIF($B$6:B47,B47))</x:f>
      </x:c>
      <x:c r="X47" s="85" t="str">
        <x:f>IF(B47="","",G47)</x:f>
      </x:c>
      <x:c r="Y47" s="85" t="str">
        <x:f>IF(B47="","",H47)</x:f>
      </x:c>
      <x:c r="Z47" s="85" t="str">
        <x:f>IF(B47="","",I47)</x:f>
      </x:c>
      <x:c r="AA47" s="85" t="str">
        <x:f>IF(B47="","",J47)</x:f>
      </x:c>
      <x:c r="AB47" s="85" t="str">
        <x:f>IF(B47="","",K47)</x:f>
      </x:c>
      <x:c r="AC47" s="85" t="str">
        <x:f>IF(B47="","",L47)</x:f>
      </x:c>
      <x:c r="AD47" s="85" t="str">
        <x:f>IF(B47="","",M47)</x:f>
      </x:c>
      <x:c r="AE47" s="85" t="str">
        <x:f>IF(B47="","",N47)</x:f>
      </x:c>
      <x:c r="AF47" s="85" t="str">
        <x:f>IF(B47="","",O47)</x:f>
      </x:c>
      <x:c r="AG47" s="85" t="str">
        <x:f>IF(B47="","",P47)</x:f>
      </x:c>
      <x:c r="AH47" s="85" t="str">
        <x:f>IF(B47="","",Q47)</x:f>
      </x:c>
      <x:c r="AI47" s="85" t="str">
        <x:f>IF(B47="","",R47)</x:f>
      </x:c>
      <x:c r="AJ47" s="85" t="str">
        <x:f>IF(B47="","",S47)</x:f>
      </x:c>
      <x:c r="AK47" s="85" t="str">
        <x:f>IF(B47="","",T47)</x:f>
      </x:c>
    </x:row>
    <x:row r="48">
      <x:c r="A48" s="94" t="str">
        <x:f>IF(OR(B48="",G48=""),"",B48&amp;"|"&amp;G48)</x:f>
      </x:c>
      <x:c r="B48" s="92"/>
      <x:c r="C48" s="94" t="str">
        <x:f>IFERROR(VLOOKUP(B48,'01 Staff Master'!$A$6:$M$105,2,FALSE),"")</x:f>
      </x:c>
      <x:c r="D48" s="94" t="str">
        <x:f>IFERROR(VLOOKUP(B48,'01 Staff Master'!$A$6:$M$105,3,FALSE),"")</x:f>
      </x:c>
      <x:c r="E48" s="94" t="str">
        <x:f>IFERROR(VLOOKUP(B48,'01 Staff Master'!$A$6:$M$105,5,FALSE),"")</x:f>
      </x:c>
      <x:c r="F48" s="94" t="str">
        <x:f>IFERROR(VLOOKUP(B48,'01 Staff Master'!$A$6:$M$105,4,FALSE),"")</x:f>
      </x:c>
      <x:c r="G48" s="92"/>
      <x:c r="H48" s="94" t="str">
        <x:f>IFERROR(VLOOKUP(G48,'02 Skill Catalogue'!$A$6:$K$95,4,FALSE),"")</x:f>
      </x:c>
      <x:c r="I48" s="94" t="str">
        <x:f>IFERROR(VLOOKUP(D48&amp;"|"&amp;E48&amp;"|"&amp;G48,'03 Position Requirements'!$A$6:$R$285,8,FALSE),"")</x:f>
      </x:c>
      <x:c r="J48" s="94" t="str">
        <x:f>IFERROR(VLOOKUP(D48&amp;"|"&amp;E48&amp;"|"&amp;G48,'03 Position Requirements'!$A$6:$R$285,10,FALSE),"")</x:f>
      </x:c>
      <x:c r="K48" s="94" t="str">
        <x:f>IF(OR(B48="",G48=""),"",IF(COUNTIFS('04 Assessment Log'!$D$6:$D$155,B48,'04 Assessment Log'!$J$6:$J$155,G48,'04 Assessment Log'!$AA$6:$AA$155,"Yes")=0,"",SUMIFS('04 Assessment Log'!$O$6:$O$155,'04 Assessment Log'!$D$6:$D$155,B48,'04 Assessment Log'!$J$6:$J$155,G48,'04 Assessment Log'!$AA$6:$AA$155,"Yes")))</x:f>
      </x:c>
      <x:c r="L48" s="94" t="str">
        <x:f>IF(OR(J48="",K48=""),"",MAX(J48-K48,0))</x:f>
      </x:c>
      <x:c r="M48" s="102" t="str">
        <x:f>IF(COUNTIFS('04 Assessment Log'!$D$6:$D$155,B48,'04 Assessment Log'!$J$6:$J$155,G48,'04 Assessment Log'!$AA$6:$AA$155,"Yes")=0,"",SUMIFS('04 Assessment Log'!$B$6:$B$155,'04 Assessment Log'!$D$6:$D$155,B48,'04 Assessment Log'!$J$6:$J$155,G48,'04 Assessment Log'!$AA$6:$AA$155,"Yes"))</x:f>
      </x:c>
      <x:c r="N48" s="102" t="str">
        <x:f>IF(M48="","",SUMIFS('04 Assessment Log'!$Z$6:$Z$155,'04 Assessment Log'!$D$6:$D$155,B48,'04 Assessment Log'!$J$6:$J$155,G48,'04 Assessment Log'!$AA$6:$AA$155,"Yes"))</x:f>
      </x:c>
      <x:c r="O48" s="94" t="str">
        <x:f>IF(M48="","Not Assessed",IF(N48&lt;TODAY(),"Expired",IF(N48&lt;=TODAY()+30,"Due Soon","Current")))</x:f>
        <x:v>Not Assessed</x:v>
      </x:c>
      <x:c r="P48" s="94" t="str">
        <x:f>IF(OR(B48="",G48=""),"",COUNTIFS('05 Development Actions'!$C$6:$C$105,B48,'05 Development Actions'!$G$6:$G$105,G48,'05 Development Actions'!$A$6:$A$105,"&lt;&gt;",'05 Development Actions'!$AB$6:$AB$105,"&lt;&gt;Closed — Competent",'05 Development Actions'!$AB$6:$AB$105,"&lt;&gt;Cancelled"))</x:f>
      </x:c>
      <x:c r="Q48" s="94" t="str">
        <x:f>IF(OR(B48="",G48=""),"",COUNTIFS('11 Training Attendance'!$E$6:$E$155,B48,'11 Training Attendance'!$K$6:$K$155,"Attended",'11 Training Attendance'!$I$6:$I$155,G48))</x:f>
      </x:c>
      <x:c r="R48" s="102" t="str">
        <x:f>IF(Q48=0,"",MAXIFS('11 Training Attendance'!$D$6:$D$155,'11 Training Attendance'!$E$6:$E$155,B48,'11 Training Attendance'!$K$6:$K$155,"Attended",'11 Training Attendance'!$I$6:$I$155,G48))</x:f>
      </x:c>
      <x:c r="S48" s="94" t="str">
        <x:f>IF(OR(B48="",G48=""),"",COUNTIFS('13 Effectiveness Review'!$C$6:$C$155,B48,'13 Effectiveness Review'!$F$6:$F$155,G48,'13 Effectiveness Review'!$X$6:$X$155,"Closed — Effective"))</x:f>
      </x:c>
      <x:c r="T48" s="94" t="str">
        <x:f>IF(B48="","",IF(K48="","Not Assessed",IF(O48="Expired","Renewal Due",IF(L48=0,"Competent","Skill Gap"))))</x:f>
      </x:c>
      <x:c r="U48" s="94" t="str">
        <x:f>IFERROR(VLOOKUP(D48&amp;"|"&amp;E48&amp;"|"&amp;G48,'03 Position Requirements'!$A$6:$R$285,14,FALSE),"")</x:f>
      </x:c>
      <x:c r="V48" s="92"/>
      <x:c r="W48" s="85" t="str">
        <x:f>IF(B48="","",B48&amp;"|"&amp;COUNTIF($B$6:B48,B48))</x:f>
      </x:c>
      <x:c r="X48" s="85" t="str">
        <x:f>IF(B48="","",G48)</x:f>
      </x:c>
      <x:c r="Y48" s="85" t="str">
        <x:f>IF(B48="","",H48)</x:f>
      </x:c>
      <x:c r="Z48" s="85" t="str">
        <x:f>IF(B48="","",I48)</x:f>
      </x:c>
      <x:c r="AA48" s="85" t="str">
        <x:f>IF(B48="","",J48)</x:f>
      </x:c>
      <x:c r="AB48" s="85" t="str">
        <x:f>IF(B48="","",K48)</x:f>
      </x:c>
      <x:c r="AC48" s="85" t="str">
        <x:f>IF(B48="","",L48)</x:f>
      </x:c>
      <x:c r="AD48" s="85" t="str">
        <x:f>IF(B48="","",M48)</x:f>
      </x:c>
      <x:c r="AE48" s="85" t="str">
        <x:f>IF(B48="","",N48)</x:f>
      </x:c>
      <x:c r="AF48" s="85" t="str">
        <x:f>IF(B48="","",O48)</x:f>
      </x:c>
      <x:c r="AG48" s="85" t="str">
        <x:f>IF(B48="","",P48)</x:f>
      </x:c>
      <x:c r="AH48" s="85" t="str">
        <x:f>IF(B48="","",Q48)</x:f>
      </x:c>
      <x:c r="AI48" s="85" t="str">
        <x:f>IF(B48="","",R48)</x:f>
      </x:c>
      <x:c r="AJ48" s="85" t="str">
        <x:f>IF(B48="","",S48)</x:f>
      </x:c>
      <x:c r="AK48" s="85" t="str">
        <x:f>IF(B48="","",T48)</x:f>
      </x:c>
    </x:row>
    <x:row r="49">
      <x:c r="A49" s="94" t="str">
        <x:f>IF(OR(B49="",G49=""),"",B49&amp;"|"&amp;G49)</x:f>
      </x:c>
      <x:c r="B49" s="92"/>
      <x:c r="C49" s="94" t="str">
        <x:f>IFERROR(VLOOKUP(B49,'01 Staff Master'!$A$6:$M$105,2,FALSE),"")</x:f>
      </x:c>
      <x:c r="D49" s="94" t="str">
        <x:f>IFERROR(VLOOKUP(B49,'01 Staff Master'!$A$6:$M$105,3,FALSE),"")</x:f>
      </x:c>
      <x:c r="E49" s="94" t="str">
        <x:f>IFERROR(VLOOKUP(B49,'01 Staff Master'!$A$6:$M$105,5,FALSE),"")</x:f>
      </x:c>
      <x:c r="F49" s="94" t="str">
        <x:f>IFERROR(VLOOKUP(B49,'01 Staff Master'!$A$6:$M$105,4,FALSE),"")</x:f>
      </x:c>
      <x:c r="G49" s="92"/>
      <x:c r="H49" s="94" t="str">
        <x:f>IFERROR(VLOOKUP(G49,'02 Skill Catalogue'!$A$6:$K$95,4,FALSE),"")</x:f>
      </x:c>
      <x:c r="I49" s="94" t="str">
        <x:f>IFERROR(VLOOKUP(D49&amp;"|"&amp;E49&amp;"|"&amp;G49,'03 Position Requirements'!$A$6:$R$285,8,FALSE),"")</x:f>
      </x:c>
      <x:c r="J49" s="94" t="str">
        <x:f>IFERROR(VLOOKUP(D49&amp;"|"&amp;E49&amp;"|"&amp;G49,'03 Position Requirements'!$A$6:$R$285,10,FALSE),"")</x:f>
      </x:c>
      <x:c r="K49" s="94" t="str">
        <x:f>IF(OR(B49="",G49=""),"",IF(COUNTIFS('04 Assessment Log'!$D$6:$D$155,B49,'04 Assessment Log'!$J$6:$J$155,G49,'04 Assessment Log'!$AA$6:$AA$155,"Yes")=0,"",SUMIFS('04 Assessment Log'!$O$6:$O$155,'04 Assessment Log'!$D$6:$D$155,B49,'04 Assessment Log'!$J$6:$J$155,G49,'04 Assessment Log'!$AA$6:$AA$155,"Yes")))</x:f>
      </x:c>
      <x:c r="L49" s="94" t="str">
        <x:f>IF(OR(J49="",K49=""),"",MAX(J49-K49,0))</x:f>
      </x:c>
      <x:c r="M49" s="102" t="str">
        <x:f>IF(COUNTIFS('04 Assessment Log'!$D$6:$D$155,B49,'04 Assessment Log'!$J$6:$J$155,G49,'04 Assessment Log'!$AA$6:$AA$155,"Yes")=0,"",SUMIFS('04 Assessment Log'!$B$6:$B$155,'04 Assessment Log'!$D$6:$D$155,B49,'04 Assessment Log'!$J$6:$J$155,G49,'04 Assessment Log'!$AA$6:$AA$155,"Yes"))</x:f>
      </x:c>
      <x:c r="N49" s="102" t="str">
        <x:f>IF(M49="","",SUMIFS('04 Assessment Log'!$Z$6:$Z$155,'04 Assessment Log'!$D$6:$D$155,B49,'04 Assessment Log'!$J$6:$J$155,G49,'04 Assessment Log'!$AA$6:$AA$155,"Yes"))</x:f>
      </x:c>
      <x:c r="O49" s="94" t="str">
        <x:f>IF(M49="","Not Assessed",IF(N49&lt;TODAY(),"Expired",IF(N49&lt;=TODAY()+30,"Due Soon","Current")))</x:f>
        <x:v>Not Assessed</x:v>
      </x:c>
      <x:c r="P49" s="94" t="str">
        <x:f>IF(OR(B49="",G49=""),"",COUNTIFS('05 Development Actions'!$C$6:$C$105,B49,'05 Development Actions'!$G$6:$G$105,G49,'05 Development Actions'!$A$6:$A$105,"&lt;&gt;",'05 Development Actions'!$AB$6:$AB$105,"&lt;&gt;Closed — Competent",'05 Development Actions'!$AB$6:$AB$105,"&lt;&gt;Cancelled"))</x:f>
      </x:c>
      <x:c r="Q49" s="94" t="str">
        <x:f>IF(OR(B49="",G49=""),"",COUNTIFS('11 Training Attendance'!$E$6:$E$155,B49,'11 Training Attendance'!$K$6:$K$155,"Attended",'11 Training Attendance'!$I$6:$I$155,G49))</x:f>
      </x:c>
      <x:c r="R49" s="102" t="str">
        <x:f>IF(Q49=0,"",MAXIFS('11 Training Attendance'!$D$6:$D$155,'11 Training Attendance'!$E$6:$E$155,B49,'11 Training Attendance'!$K$6:$K$155,"Attended",'11 Training Attendance'!$I$6:$I$155,G49))</x:f>
      </x:c>
      <x:c r="S49" s="94" t="str">
        <x:f>IF(OR(B49="",G49=""),"",COUNTIFS('13 Effectiveness Review'!$C$6:$C$155,B49,'13 Effectiveness Review'!$F$6:$F$155,G49,'13 Effectiveness Review'!$X$6:$X$155,"Closed — Effective"))</x:f>
      </x:c>
      <x:c r="T49" s="94" t="str">
        <x:f>IF(B49="","",IF(K49="","Not Assessed",IF(O49="Expired","Renewal Due",IF(L49=0,"Competent","Skill Gap"))))</x:f>
      </x:c>
      <x:c r="U49" s="94" t="str">
        <x:f>IFERROR(VLOOKUP(D49&amp;"|"&amp;E49&amp;"|"&amp;G49,'03 Position Requirements'!$A$6:$R$285,14,FALSE),"")</x:f>
      </x:c>
      <x:c r="V49" s="92"/>
      <x:c r="W49" s="85" t="str">
        <x:f>IF(B49="","",B49&amp;"|"&amp;COUNTIF($B$6:B49,B49))</x:f>
      </x:c>
      <x:c r="X49" s="85" t="str">
        <x:f>IF(B49="","",G49)</x:f>
      </x:c>
      <x:c r="Y49" s="85" t="str">
        <x:f>IF(B49="","",H49)</x:f>
      </x:c>
      <x:c r="Z49" s="85" t="str">
        <x:f>IF(B49="","",I49)</x:f>
      </x:c>
      <x:c r="AA49" s="85" t="str">
        <x:f>IF(B49="","",J49)</x:f>
      </x:c>
      <x:c r="AB49" s="85" t="str">
        <x:f>IF(B49="","",K49)</x:f>
      </x:c>
      <x:c r="AC49" s="85" t="str">
        <x:f>IF(B49="","",L49)</x:f>
      </x:c>
      <x:c r="AD49" s="85" t="str">
        <x:f>IF(B49="","",M49)</x:f>
      </x:c>
      <x:c r="AE49" s="85" t="str">
        <x:f>IF(B49="","",N49)</x:f>
      </x:c>
      <x:c r="AF49" s="85" t="str">
        <x:f>IF(B49="","",O49)</x:f>
      </x:c>
      <x:c r="AG49" s="85" t="str">
        <x:f>IF(B49="","",P49)</x:f>
      </x:c>
      <x:c r="AH49" s="85" t="str">
        <x:f>IF(B49="","",Q49)</x:f>
      </x:c>
      <x:c r="AI49" s="85" t="str">
        <x:f>IF(B49="","",R49)</x:f>
      </x:c>
      <x:c r="AJ49" s="85" t="str">
        <x:f>IF(B49="","",S49)</x:f>
      </x:c>
      <x:c r="AK49" s="85" t="str">
        <x:f>IF(B49="","",T49)</x:f>
      </x:c>
    </x:row>
    <x:row r="50">
      <x:c r="A50" s="94" t="str">
        <x:f>IF(OR(B50="",G50=""),"",B50&amp;"|"&amp;G50)</x:f>
      </x:c>
      <x:c r="B50" s="92"/>
      <x:c r="C50" s="94" t="str">
        <x:f>IFERROR(VLOOKUP(B50,'01 Staff Master'!$A$6:$M$105,2,FALSE),"")</x:f>
      </x:c>
      <x:c r="D50" s="94" t="str">
        <x:f>IFERROR(VLOOKUP(B50,'01 Staff Master'!$A$6:$M$105,3,FALSE),"")</x:f>
      </x:c>
      <x:c r="E50" s="94" t="str">
        <x:f>IFERROR(VLOOKUP(B50,'01 Staff Master'!$A$6:$M$105,5,FALSE),"")</x:f>
      </x:c>
      <x:c r="F50" s="94" t="str">
        <x:f>IFERROR(VLOOKUP(B50,'01 Staff Master'!$A$6:$M$105,4,FALSE),"")</x:f>
      </x:c>
      <x:c r="G50" s="92"/>
      <x:c r="H50" s="94" t="str">
        <x:f>IFERROR(VLOOKUP(G50,'02 Skill Catalogue'!$A$6:$K$95,4,FALSE),"")</x:f>
      </x:c>
      <x:c r="I50" s="94" t="str">
        <x:f>IFERROR(VLOOKUP(D50&amp;"|"&amp;E50&amp;"|"&amp;G50,'03 Position Requirements'!$A$6:$R$285,8,FALSE),"")</x:f>
      </x:c>
      <x:c r="J50" s="94" t="str">
        <x:f>IFERROR(VLOOKUP(D50&amp;"|"&amp;E50&amp;"|"&amp;G50,'03 Position Requirements'!$A$6:$R$285,10,FALSE),"")</x:f>
      </x:c>
      <x:c r="K50" s="94" t="str">
        <x:f>IF(OR(B50="",G50=""),"",IF(COUNTIFS('04 Assessment Log'!$D$6:$D$155,B50,'04 Assessment Log'!$J$6:$J$155,G50,'04 Assessment Log'!$AA$6:$AA$155,"Yes")=0,"",SUMIFS('04 Assessment Log'!$O$6:$O$155,'04 Assessment Log'!$D$6:$D$155,B50,'04 Assessment Log'!$J$6:$J$155,G50,'04 Assessment Log'!$AA$6:$AA$155,"Yes")))</x:f>
      </x:c>
      <x:c r="L50" s="94" t="str">
        <x:f>IF(OR(J50="",K50=""),"",MAX(J50-K50,0))</x:f>
      </x:c>
      <x:c r="M50" s="102" t="str">
        <x:f>IF(COUNTIFS('04 Assessment Log'!$D$6:$D$155,B50,'04 Assessment Log'!$J$6:$J$155,G50,'04 Assessment Log'!$AA$6:$AA$155,"Yes")=0,"",SUMIFS('04 Assessment Log'!$B$6:$B$155,'04 Assessment Log'!$D$6:$D$155,B50,'04 Assessment Log'!$J$6:$J$155,G50,'04 Assessment Log'!$AA$6:$AA$155,"Yes"))</x:f>
      </x:c>
      <x:c r="N50" s="102" t="str">
        <x:f>IF(M50="","",SUMIFS('04 Assessment Log'!$Z$6:$Z$155,'04 Assessment Log'!$D$6:$D$155,B50,'04 Assessment Log'!$J$6:$J$155,G50,'04 Assessment Log'!$AA$6:$AA$155,"Yes"))</x:f>
      </x:c>
      <x:c r="O50" s="94" t="str">
        <x:f>IF(M50="","Not Assessed",IF(N50&lt;TODAY(),"Expired",IF(N50&lt;=TODAY()+30,"Due Soon","Current")))</x:f>
        <x:v>Not Assessed</x:v>
      </x:c>
      <x:c r="P50" s="94" t="str">
        <x:f>IF(OR(B50="",G50=""),"",COUNTIFS('05 Development Actions'!$C$6:$C$105,B50,'05 Development Actions'!$G$6:$G$105,G50,'05 Development Actions'!$A$6:$A$105,"&lt;&gt;",'05 Development Actions'!$AB$6:$AB$105,"&lt;&gt;Closed — Competent",'05 Development Actions'!$AB$6:$AB$105,"&lt;&gt;Cancelled"))</x:f>
      </x:c>
      <x:c r="Q50" s="94" t="str">
        <x:f>IF(OR(B50="",G50=""),"",COUNTIFS('11 Training Attendance'!$E$6:$E$155,B50,'11 Training Attendance'!$K$6:$K$155,"Attended",'11 Training Attendance'!$I$6:$I$155,G50))</x:f>
      </x:c>
      <x:c r="R50" s="102" t="str">
        <x:f>IF(Q50=0,"",MAXIFS('11 Training Attendance'!$D$6:$D$155,'11 Training Attendance'!$E$6:$E$155,B50,'11 Training Attendance'!$K$6:$K$155,"Attended",'11 Training Attendance'!$I$6:$I$155,G50))</x:f>
      </x:c>
      <x:c r="S50" s="94" t="str">
        <x:f>IF(OR(B50="",G50=""),"",COUNTIFS('13 Effectiveness Review'!$C$6:$C$155,B50,'13 Effectiveness Review'!$F$6:$F$155,G50,'13 Effectiveness Review'!$X$6:$X$155,"Closed — Effective"))</x:f>
      </x:c>
      <x:c r="T50" s="94" t="str">
        <x:f>IF(B50="","",IF(K50="","Not Assessed",IF(O50="Expired","Renewal Due",IF(L50=0,"Competent","Skill Gap"))))</x:f>
      </x:c>
      <x:c r="U50" s="94" t="str">
        <x:f>IFERROR(VLOOKUP(D50&amp;"|"&amp;E50&amp;"|"&amp;G50,'03 Position Requirements'!$A$6:$R$285,14,FALSE),"")</x:f>
      </x:c>
      <x:c r="V50" s="92"/>
      <x:c r="W50" s="85" t="str">
        <x:f>IF(B50="","",B50&amp;"|"&amp;COUNTIF($B$6:B50,B50))</x:f>
      </x:c>
      <x:c r="X50" s="85" t="str">
        <x:f>IF(B50="","",G50)</x:f>
      </x:c>
      <x:c r="Y50" s="85" t="str">
        <x:f>IF(B50="","",H50)</x:f>
      </x:c>
      <x:c r="Z50" s="85" t="str">
        <x:f>IF(B50="","",I50)</x:f>
      </x:c>
      <x:c r="AA50" s="85" t="str">
        <x:f>IF(B50="","",J50)</x:f>
      </x:c>
      <x:c r="AB50" s="85" t="str">
        <x:f>IF(B50="","",K50)</x:f>
      </x:c>
      <x:c r="AC50" s="85" t="str">
        <x:f>IF(B50="","",L50)</x:f>
      </x:c>
      <x:c r="AD50" s="85" t="str">
        <x:f>IF(B50="","",M50)</x:f>
      </x:c>
      <x:c r="AE50" s="85" t="str">
        <x:f>IF(B50="","",N50)</x:f>
      </x:c>
      <x:c r="AF50" s="85" t="str">
        <x:f>IF(B50="","",O50)</x:f>
      </x:c>
      <x:c r="AG50" s="85" t="str">
        <x:f>IF(B50="","",P50)</x:f>
      </x:c>
      <x:c r="AH50" s="85" t="str">
        <x:f>IF(B50="","",Q50)</x:f>
      </x:c>
      <x:c r="AI50" s="85" t="str">
        <x:f>IF(B50="","",R50)</x:f>
      </x:c>
      <x:c r="AJ50" s="85" t="str">
        <x:f>IF(B50="","",S50)</x:f>
      </x:c>
      <x:c r="AK50" s="85" t="str">
        <x:f>IF(B50="","",T50)</x:f>
      </x:c>
    </x:row>
    <x:row r="51">
      <x:c r="A51" s="94" t="str">
        <x:f>IF(OR(B51="",G51=""),"",B51&amp;"|"&amp;G51)</x:f>
      </x:c>
      <x:c r="B51" s="92"/>
      <x:c r="C51" s="94" t="str">
        <x:f>IFERROR(VLOOKUP(B51,'01 Staff Master'!$A$6:$M$105,2,FALSE),"")</x:f>
      </x:c>
      <x:c r="D51" s="94" t="str">
        <x:f>IFERROR(VLOOKUP(B51,'01 Staff Master'!$A$6:$M$105,3,FALSE),"")</x:f>
      </x:c>
      <x:c r="E51" s="94" t="str">
        <x:f>IFERROR(VLOOKUP(B51,'01 Staff Master'!$A$6:$M$105,5,FALSE),"")</x:f>
      </x:c>
      <x:c r="F51" s="94" t="str">
        <x:f>IFERROR(VLOOKUP(B51,'01 Staff Master'!$A$6:$M$105,4,FALSE),"")</x:f>
      </x:c>
      <x:c r="G51" s="92"/>
      <x:c r="H51" s="94" t="str">
        <x:f>IFERROR(VLOOKUP(G51,'02 Skill Catalogue'!$A$6:$K$95,4,FALSE),"")</x:f>
      </x:c>
      <x:c r="I51" s="94" t="str">
        <x:f>IFERROR(VLOOKUP(D51&amp;"|"&amp;E51&amp;"|"&amp;G51,'03 Position Requirements'!$A$6:$R$285,8,FALSE),"")</x:f>
      </x:c>
      <x:c r="J51" s="94" t="str">
        <x:f>IFERROR(VLOOKUP(D51&amp;"|"&amp;E51&amp;"|"&amp;G51,'03 Position Requirements'!$A$6:$R$285,10,FALSE),"")</x:f>
      </x:c>
      <x:c r="K51" s="94" t="str">
        <x:f>IF(OR(B51="",G51=""),"",IF(COUNTIFS('04 Assessment Log'!$D$6:$D$155,B51,'04 Assessment Log'!$J$6:$J$155,G51,'04 Assessment Log'!$AA$6:$AA$155,"Yes")=0,"",SUMIFS('04 Assessment Log'!$O$6:$O$155,'04 Assessment Log'!$D$6:$D$155,B51,'04 Assessment Log'!$J$6:$J$155,G51,'04 Assessment Log'!$AA$6:$AA$155,"Yes")))</x:f>
      </x:c>
      <x:c r="L51" s="94" t="str">
        <x:f>IF(OR(J51="",K51=""),"",MAX(J51-K51,0))</x:f>
      </x:c>
      <x:c r="M51" s="102" t="str">
        <x:f>IF(COUNTIFS('04 Assessment Log'!$D$6:$D$155,B51,'04 Assessment Log'!$J$6:$J$155,G51,'04 Assessment Log'!$AA$6:$AA$155,"Yes")=0,"",SUMIFS('04 Assessment Log'!$B$6:$B$155,'04 Assessment Log'!$D$6:$D$155,B51,'04 Assessment Log'!$J$6:$J$155,G51,'04 Assessment Log'!$AA$6:$AA$155,"Yes"))</x:f>
      </x:c>
      <x:c r="N51" s="102" t="str">
        <x:f>IF(M51="","",SUMIFS('04 Assessment Log'!$Z$6:$Z$155,'04 Assessment Log'!$D$6:$D$155,B51,'04 Assessment Log'!$J$6:$J$155,G51,'04 Assessment Log'!$AA$6:$AA$155,"Yes"))</x:f>
      </x:c>
      <x:c r="O51" s="94" t="str">
        <x:f>IF(M51="","Not Assessed",IF(N51&lt;TODAY(),"Expired",IF(N51&lt;=TODAY()+30,"Due Soon","Current")))</x:f>
        <x:v>Not Assessed</x:v>
      </x:c>
      <x:c r="P51" s="94" t="str">
        <x:f>IF(OR(B51="",G51=""),"",COUNTIFS('05 Development Actions'!$C$6:$C$105,B51,'05 Development Actions'!$G$6:$G$105,G51,'05 Development Actions'!$A$6:$A$105,"&lt;&gt;",'05 Development Actions'!$AB$6:$AB$105,"&lt;&gt;Closed — Competent",'05 Development Actions'!$AB$6:$AB$105,"&lt;&gt;Cancelled"))</x:f>
      </x:c>
      <x:c r="Q51" s="94" t="str">
        <x:f>IF(OR(B51="",G51=""),"",COUNTIFS('11 Training Attendance'!$E$6:$E$155,B51,'11 Training Attendance'!$K$6:$K$155,"Attended",'11 Training Attendance'!$I$6:$I$155,G51))</x:f>
      </x:c>
      <x:c r="R51" s="102" t="str">
        <x:f>IF(Q51=0,"",MAXIFS('11 Training Attendance'!$D$6:$D$155,'11 Training Attendance'!$E$6:$E$155,B51,'11 Training Attendance'!$K$6:$K$155,"Attended",'11 Training Attendance'!$I$6:$I$155,G51))</x:f>
      </x:c>
      <x:c r="S51" s="94" t="str">
        <x:f>IF(OR(B51="",G51=""),"",COUNTIFS('13 Effectiveness Review'!$C$6:$C$155,B51,'13 Effectiveness Review'!$F$6:$F$155,G51,'13 Effectiveness Review'!$X$6:$X$155,"Closed — Effective"))</x:f>
      </x:c>
      <x:c r="T51" s="94" t="str">
        <x:f>IF(B51="","",IF(K51="","Not Assessed",IF(O51="Expired","Renewal Due",IF(L51=0,"Competent","Skill Gap"))))</x:f>
      </x:c>
      <x:c r="U51" s="94" t="str">
        <x:f>IFERROR(VLOOKUP(D51&amp;"|"&amp;E51&amp;"|"&amp;G51,'03 Position Requirements'!$A$6:$R$285,14,FALSE),"")</x:f>
      </x:c>
      <x:c r="V51" s="92"/>
      <x:c r="W51" s="85" t="str">
        <x:f>IF(B51="","",B51&amp;"|"&amp;COUNTIF($B$6:B51,B51))</x:f>
      </x:c>
      <x:c r="X51" s="85" t="str">
        <x:f>IF(B51="","",G51)</x:f>
      </x:c>
      <x:c r="Y51" s="85" t="str">
        <x:f>IF(B51="","",H51)</x:f>
      </x:c>
      <x:c r="Z51" s="85" t="str">
        <x:f>IF(B51="","",I51)</x:f>
      </x:c>
      <x:c r="AA51" s="85" t="str">
        <x:f>IF(B51="","",J51)</x:f>
      </x:c>
      <x:c r="AB51" s="85" t="str">
        <x:f>IF(B51="","",K51)</x:f>
      </x:c>
      <x:c r="AC51" s="85" t="str">
        <x:f>IF(B51="","",L51)</x:f>
      </x:c>
      <x:c r="AD51" s="85" t="str">
        <x:f>IF(B51="","",M51)</x:f>
      </x:c>
      <x:c r="AE51" s="85" t="str">
        <x:f>IF(B51="","",N51)</x:f>
      </x:c>
      <x:c r="AF51" s="85" t="str">
        <x:f>IF(B51="","",O51)</x:f>
      </x:c>
      <x:c r="AG51" s="85" t="str">
        <x:f>IF(B51="","",P51)</x:f>
      </x:c>
      <x:c r="AH51" s="85" t="str">
        <x:f>IF(B51="","",Q51)</x:f>
      </x:c>
      <x:c r="AI51" s="85" t="str">
        <x:f>IF(B51="","",R51)</x:f>
      </x:c>
      <x:c r="AJ51" s="85" t="str">
        <x:f>IF(B51="","",S51)</x:f>
      </x:c>
      <x:c r="AK51" s="85" t="str">
        <x:f>IF(B51="","",T51)</x:f>
      </x:c>
    </x:row>
    <x:row r="52">
      <x:c r="A52" s="94" t="str">
        <x:f>IF(OR(B52="",G52=""),"",B52&amp;"|"&amp;G52)</x:f>
      </x:c>
      <x:c r="B52" s="92"/>
      <x:c r="C52" s="94" t="str">
        <x:f>IFERROR(VLOOKUP(B52,'01 Staff Master'!$A$6:$M$105,2,FALSE),"")</x:f>
      </x:c>
      <x:c r="D52" s="94" t="str">
        <x:f>IFERROR(VLOOKUP(B52,'01 Staff Master'!$A$6:$M$105,3,FALSE),"")</x:f>
      </x:c>
      <x:c r="E52" s="94" t="str">
        <x:f>IFERROR(VLOOKUP(B52,'01 Staff Master'!$A$6:$M$105,5,FALSE),"")</x:f>
      </x:c>
      <x:c r="F52" s="94" t="str">
        <x:f>IFERROR(VLOOKUP(B52,'01 Staff Master'!$A$6:$M$105,4,FALSE),"")</x:f>
      </x:c>
      <x:c r="G52" s="92"/>
      <x:c r="H52" s="94" t="str">
        <x:f>IFERROR(VLOOKUP(G52,'02 Skill Catalogue'!$A$6:$K$95,4,FALSE),"")</x:f>
      </x:c>
      <x:c r="I52" s="94" t="str">
        <x:f>IFERROR(VLOOKUP(D52&amp;"|"&amp;E52&amp;"|"&amp;G52,'03 Position Requirements'!$A$6:$R$285,8,FALSE),"")</x:f>
      </x:c>
      <x:c r="J52" s="94" t="str">
        <x:f>IFERROR(VLOOKUP(D52&amp;"|"&amp;E52&amp;"|"&amp;G52,'03 Position Requirements'!$A$6:$R$285,10,FALSE),"")</x:f>
      </x:c>
      <x:c r="K52" s="94" t="str">
        <x:f>IF(OR(B52="",G52=""),"",IF(COUNTIFS('04 Assessment Log'!$D$6:$D$155,B52,'04 Assessment Log'!$J$6:$J$155,G52,'04 Assessment Log'!$AA$6:$AA$155,"Yes")=0,"",SUMIFS('04 Assessment Log'!$O$6:$O$155,'04 Assessment Log'!$D$6:$D$155,B52,'04 Assessment Log'!$J$6:$J$155,G52,'04 Assessment Log'!$AA$6:$AA$155,"Yes")))</x:f>
      </x:c>
      <x:c r="L52" s="94" t="str">
        <x:f>IF(OR(J52="",K52=""),"",MAX(J52-K52,0))</x:f>
      </x:c>
      <x:c r="M52" s="102" t="str">
        <x:f>IF(COUNTIFS('04 Assessment Log'!$D$6:$D$155,B52,'04 Assessment Log'!$J$6:$J$155,G52,'04 Assessment Log'!$AA$6:$AA$155,"Yes")=0,"",SUMIFS('04 Assessment Log'!$B$6:$B$155,'04 Assessment Log'!$D$6:$D$155,B52,'04 Assessment Log'!$J$6:$J$155,G52,'04 Assessment Log'!$AA$6:$AA$155,"Yes"))</x:f>
      </x:c>
      <x:c r="N52" s="102" t="str">
        <x:f>IF(M52="","",SUMIFS('04 Assessment Log'!$Z$6:$Z$155,'04 Assessment Log'!$D$6:$D$155,B52,'04 Assessment Log'!$J$6:$J$155,G52,'04 Assessment Log'!$AA$6:$AA$155,"Yes"))</x:f>
      </x:c>
      <x:c r="O52" s="94" t="str">
        <x:f>IF(M52="","Not Assessed",IF(N52&lt;TODAY(),"Expired",IF(N52&lt;=TODAY()+30,"Due Soon","Current")))</x:f>
        <x:v>Not Assessed</x:v>
      </x:c>
      <x:c r="P52" s="94" t="str">
        <x:f>IF(OR(B52="",G52=""),"",COUNTIFS('05 Development Actions'!$C$6:$C$105,B52,'05 Development Actions'!$G$6:$G$105,G52,'05 Development Actions'!$A$6:$A$105,"&lt;&gt;",'05 Development Actions'!$AB$6:$AB$105,"&lt;&gt;Closed — Competent",'05 Development Actions'!$AB$6:$AB$105,"&lt;&gt;Cancelled"))</x:f>
      </x:c>
      <x:c r="Q52" s="94" t="str">
        <x:f>IF(OR(B52="",G52=""),"",COUNTIFS('11 Training Attendance'!$E$6:$E$155,B52,'11 Training Attendance'!$K$6:$K$155,"Attended",'11 Training Attendance'!$I$6:$I$155,G52))</x:f>
      </x:c>
      <x:c r="R52" s="102" t="str">
        <x:f>IF(Q52=0,"",MAXIFS('11 Training Attendance'!$D$6:$D$155,'11 Training Attendance'!$E$6:$E$155,B52,'11 Training Attendance'!$K$6:$K$155,"Attended",'11 Training Attendance'!$I$6:$I$155,G52))</x:f>
      </x:c>
      <x:c r="S52" s="94" t="str">
        <x:f>IF(OR(B52="",G52=""),"",COUNTIFS('13 Effectiveness Review'!$C$6:$C$155,B52,'13 Effectiveness Review'!$F$6:$F$155,G52,'13 Effectiveness Review'!$X$6:$X$155,"Closed — Effective"))</x:f>
      </x:c>
      <x:c r="T52" s="94" t="str">
        <x:f>IF(B52="","",IF(K52="","Not Assessed",IF(O52="Expired","Renewal Due",IF(L52=0,"Competent","Skill Gap"))))</x:f>
      </x:c>
      <x:c r="U52" s="94" t="str">
        <x:f>IFERROR(VLOOKUP(D52&amp;"|"&amp;E52&amp;"|"&amp;G52,'03 Position Requirements'!$A$6:$R$285,14,FALSE),"")</x:f>
      </x:c>
      <x:c r="V52" s="92"/>
      <x:c r="W52" s="85" t="str">
        <x:f>IF(B52="","",B52&amp;"|"&amp;COUNTIF($B$6:B52,B52))</x:f>
      </x:c>
      <x:c r="X52" s="85" t="str">
        <x:f>IF(B52="","",G52)</x:f>
      </x:c>
      <x:c r="Y52" s="85" t="str">
        <x:f>IF(B52="","",H52)</x:f>
      </x:c>
      <x:c r="Z52" s="85" t="str">
        <x:f>IF(B52="","",I52)</x:f>
      </x:c>
      <x:c r="AA52" s="85" t="str">
        <x:f>IF(B52="","",J52)</x:f>
      </x:c>
      <x:c r="AB52" s="85" t="str">
        <x:f>IF(B52="","",K52)</x:f>
      </x:c>
      <x:c r="AC52" s="85" t="str">
        <x:f>IF(B52="","",L52)</x:f>
      </x:c>
      <x:c r="AD52" s="85" t="str">
        <x:f>IF(B52="","",M52)</x:f>
      </x:c>
      <x:c r="AE52" s="85" t="str">
        <x:f>IF(B52="","",N52)</x:f>
      </x:c>
      <x:c r="AF52" s="85" t="str">
        <x:f>IF(B52="","",O52)</x:f>
      </x:c>
      <x:c r="AG52" s="85" t="str">
        <x:f>IF(B52="","",P52)</x:f>
      </x:c>
      <x:c r="AH52" s="85" t="str">
        <x:f>IF(B52="","",Q52)</x:f>
      </x:c>
      <x:c r="AI52" s="85" t="str">
        <x:f>IF(B52="","",R52)</x:f>
      </x:c>
      <x:c r="AJ52" s="85" t="str">
        <x:f>IF(B52="","",S52)</x:f>
      </x:c>
      <x:c r="AK52" s="85" t="str">
        <x:f>IF(B52="","",T52)</x:f>
      </x:c>
    </x:row>
    <x:row r="53">
      <x:c r="A53" s="94" t="str">
        <x:f>IF(OR(B53="",G53=""),"",B53&amp;"|"&amp;G53)</x:f>
      </x:c>
      <x:c r="B53" s="92"/>
      <x:c r="C53" s="94" t="str">
        <x:f>IFERROR(VLOOKUP(B53,'01 Staff Master'!$A$6:$M$105,2,FALSE),"")</x:f>
      </x:c>
      <x:c r="D53" s="94" t="str">
        <x:f>IFERROR(VLOOKUP(B53,'01 Staff Master'!$A$6:$M$105,3,FALSE),"")</x:f>
      </x:c>
      <x:c r="E53" s="94" t="str">
        <x:f>IFERROR(VLOOKUP(B53,'01 Staff Master'!$A$6:$M$105,5,FALSE),"")</x:f>
      </x:c>
      <x:c r="F53" s="94" t="str">
        <x:f>IFERROR(VLOOKUP(B53,'01 Staff Master'!$A$6:$M$105,4,FALSE),"")</x:f>
      </x:c>
      <x:c r="G53" s="92"/>
      <x:c r="H53" s="94" t="str">
        <x:f>IFERROR(VLOOKUP(G53,'02 Skill Catalogue'!$A$6:$K$95,4,FALSE),"")</x:f>
      </x:c>
      <x:c r="I53" s="94" t="str">
        <x:f>IFERROR(VLOOKUP(D53&amp;"|"&amp;E53&amp;"|"&amp;G53,'03 Position Requirements'!$A$6:$R$285,8,FALSE),"")</x:f>
      </x:c>
      <x:c r="J53" s="94" t="str">
        <x:f>IFERROR(VLOOKUP(D53&amp;"|"&amp;E53&amp;"|"&amp;G53,'03 Position Requirements'!$A$6:$R$285,10,FALSE),"")</x:f>
      </x:c>
      <x:c r="K53" s="94" t="str">
        <x:f>IF(OR(B53="",G53=""),"",IF(COUNTIFS('04 Assessment Log'!$D$6:$D$155,B53,'04 Assessment Log'!$J$6:$J$155,G53,'04 Assessment Log'!$AA$6:$AA$155,"Yes")=0,"",SUMIFS('04 Assessment Log'!$O$6:$O$155,'04 Assessment Log'!$D$6:$D$155,B53,'04 Assessment Log'!$J$6:$J$155,G53,'04 Assessment Log'!$AA$6:$AA$155,"Yes")))</x:f>
      </x:c>
      <x:c r="L53" s="94" t="str">
        <x:f>IF(OR(J53="",K53=""),"",MAX(J53-K53,0))</x:f>
      </x:c>
      <x:c r="M53" s="102" t="str">
        <x:f>IF(COUNTIFS('04 Assessment Log'!$D$6:$D$155,B53,'04 Assessment Log'!$J$6:$J$155,G53,'04 Assessment Log'!$AA$6:$AA$155,"Yes")=0,"",SUMIFS('04 Assessment Log'!$B$6:$B$155,'04 Assessment Log'!$D$6:$D$155,B53,'04 Assessment Log'!$J$6:$J$155,G53,'04 Assessment Log'!$AA$6:$AA$155,"Yes"))</x:f>
      </x:c>
      <x:c r="N53" s="102" t="str">
        <x:f>IF(M53="","",SUMIFS('04 Assessment Log'!$Z$6:$Z$155,'04 Assessment Log'!$D$6:$D$155,B53,'04 Assessment Log'!$J$6:$J$155,G53,'04 Assessment Log'!$AA$6:$AA$155,"Yes"))</x:f>
      </x:c>
      <x:c r="O53" s="94" t="str">
        <x:f>IF(M53="","Not Assessed",IF(N53&lt;TODAY(),"Expired",IF(N53&lt;=TODAY()+30,"Due Soon","Current")))</x:f>
        <x:v>Not Assessed</x:v>
      </x:c>
      <x:c r="P53" s="94" t="str">
        <x:f>IF(OR(B53="",G53=""),"",COUNTIFS('05 Development Actions'!$C$6:$C$105,B53,'05 Development Actions'!$G$6:$G$105,G53,'05 Development Actions'!$A$6:$A$105,"&lt;&gt;",'05 Development Actions'!$AB$6:$AB$105,"&lt;&gt;Closed — Competent",'05 Development Actions'!$AB$6:$AB$105,"&lt;&gt;Cancelled"))</x:f>
      </x:c>
      <x:c r="Q53" s="94" t="str">
        <x:f>IF(OR(B53="",G53=""),"",COUNTIFS('11 Training Attendance'!$E$6:$E$155,B53,'11 Training Attendance'!$K$6:$K$155,"Attended",'11 Training Attendance'!$I$6:$I$155,G53))</x:f>
      </x:c>
      <x:c r="R53" s="102" t="str">
        <x:f>IF(Q53=0,"",MAXIFS('11 Training Attendance'!$D$6:$D$155,'11 Training Attendance'!$E$6:$E$155,B53,'11 Training Attendance'!$K$6:$K$155,"Attended",'11 Training Attendance'!$I$6:$I$155,G53))</x:f>
      </x:c>
      <x:c r="S53" s="94" t="str">
        <x:f>IF(OR(B53="",G53=""),"",COUNTIFS('13 Effectiveness Review'!$C$6:$C$155,B53,'13 Effectiveness Review'!$F$6:$F$155,G53,'13 Effectiveness Review'!$X$6:$X$155,"Closed — Effective"))</x:f>
      </x:c>
      <x:c r="T53" s="94" t="str">
        <x:f>IF(B53="","",IF(K53="","Not Assessed",IF(O53="Expired","Renewal Due",IF(L53=0,"Competent","Skill Gap"))))</x:f>
      </x:c>
      <x:c r="U53" s="94" t="str">
        <x:f>IFERROR(VLOOKUP(D53&amp;"|"&amp;E53&amp;"|"&amp;G53,'03 Position Requirements'!$A$6:$R$285,14,FALSE),"")</x:f>
      </x:c>
      <x:c r="V53" s="92"/>
      <x:c r="W53" s="85" t="str">
        <x:f>IF(B53="","",B53&amp;"|"&amp;COUNTIF($B$6:B53,B53))</x:f>
      </x:c>
      <x:c r="X53" s="85" t="str">
        <x:f>IF(B53="","",G53)</x:f>
      </x:c>
      <x:c r="Y53" s="85" t="str">
        <x:f>IF(B53="","",H53)</x:f>
      </x:c>
      <x:c r="Z53" s="85" t="str">
        <x:f>IF(B53="","",I53)</x:f>
      </x:c>
      <x:c r="AA53" s="85" t="str">
        <x:f>IF(B53="","",J53)</x:f>
      </x:c>
      <x:c r="AB53" s="85" t="str">
        <x:f>IF(B53="","",K53)</x:f>
      </x:c>
      <x:c r="AC53" s="85" t="str">
        <x:f>IF(B53="","",L53)</x:f>
      </x:c>
      <x:c r="AD53" s="85" t="str">
        <x:f>IF(B53="","",M53)</x:f>
      </x:c>
      <x:c r="AE53" s="85" t="str">
        <x:f>IF(B53="","",N53)</x:f>
      </x:c>
      <x:c r="AF53" s="85" t="str">
        <x:f>IF(B53="","",O53)</x:f>
      </x:c>
      <x:c r="AG53" s="85" t="str">
        <x:f>IF(B53="","",P53)</x:f>
      </x:c>
      <x:c r="AH53" s="85" t="str">
        <x:f>IF(B53="","",Q53)</x:f>
      </x:c>
      <x:c r="AI53" s="85" t="str">
        <x:f>IF(B53="","",R53)</x:f>
      </x:c>
      <x:c r="AJ53" s="85" t="str">
        <x:f>IF(B53="","",S53)</x:f>
      </x:c>
      <x:c r="AK53" s="85" t="str">
        <x:f>IF(B53="","",T53)</x:f>
      </x:c>
    </x:row>
    <x:row r="54">
      <x:c r="A54" s="94" t="str">
        <x:f>IF(OR(B54="",G54=""),"",B54&amp;"|"&amp;G54)</x:f>
      </x:c>
      <x:c r="B54" s="92"/>
      <x:c r="C54" s="94" t="str">
        <x:f>IFERROR(VLOOKUP(B54,'01 Staff Master'!$A$6:$M$105,2,FALSE),"")</x:f>
      </x:c>
      <x:c r="D54" s="94" t="str">
        <x:f>IFERROR(VLOOKUP(B54,'01 Staff Master'!$A$6:$M$105,3,FALSE),"")</x:f>
      </x:c>
      <x:c r="E54" s="94" t="str">
        <x:f>IFERROR(VLOOKUP(B54,'01 Staff Master'!$A$6:$M$105,5,FALSE),"")</x:f>
      </x:c>
      <x:c r="F54" s="94" t="str">
        <x:f>IFERROR(VLOOKUP(B54,'01 Staff Master'!$A$6:$M$105,4,FALSE),"")</x:f>
      </x:c>
      <x:c r="G54" s="92"/>
      <x:c r="H54" s="94" t="str">
        <x:f>IFERROR(VLOOKUP(G54,'02 Skill Catalogue'!$A$6:$K$95,4,FALSE),"")</x:f>
      </x:c>
      <x:c r="I54" s="94" t="str">
        <x:f>IFERROR(VLOOKUP(D54&amp;"|"&amp;E54&amp;"|"&amp;G54,'03 Position Requirements'!$A$6:$R$285,8,FALSE),"")</x:f>
      </x:c>
      <x:c r="J54" s="94" t="str">
        <x:f>IFERROR(VLOOKUP(D54&amp;"|"&amp;E54&amp;"|"&amp;G54,'03 Position Requirements'!$A$6:$R$285,10,FALSE),"")</x:f>
      </x:c>
      <x:c r="K54" s="94" t="str">
        <x:f>IF(OR(B54="",G54=""),"",IF(COUNTIFS('04 Assessment Log'!$D$6:$D$155,B54,'04 Assessment Log'!$J$6:$J$155,G54,'04 Assessment Log'!$AA$6:$AA$155,"Yes")=0,"",SUMIFS('04 Assessment Log'!$O$6:$O$155,'04 Assessment Log'!$D$6:$D$155,B54,'04 Assessment Log'!$J$6:$J$155,G54,'04 Assessment Log'!$AA$6:$AA$155,"Yes")))</x:f>
      </x:c>
      <x:c r="L54" s="94" t="str">
        <x:f>IF(OR(J54="",K54=""),"",MAX(J54-K54,0))</x:f>
      </x:c>
      <x:c r="M54" s="102" t="str">
        <x:f>IF(COUNTIFS('04 Assessment Log'!$D$6:$D$155,B54,'04 Assessment Log'!$J$6:$J$155,G54,'04 Assessment Log'!$AA$6:$AA$155,"Yes")=0,"",SUMIFS('04 Assessment Log'!$B$6:$B$155,'04 Assessment Log'!$D$6:$D$155,B54,'04 Assessment Log'!$J$6:$J$155,G54,'04 Assessment Log'!$AA$6:$AA$155,"Yes"))</x:f>
      </x:c>
      <x:c r="N54" s="102" t="str">
        <x:f>IF(M54="","",SUMIFS('04 Assessment Log'!$Z$6:$Z$155,'04 Assessment Log'!$D$6:$D$155,B54,'04 Assessment Log'!$J$6:$J$155,G54,'04 Assessment Log'!$AA$6:$AA$155,"Yes"))</x:f>
      </x:c>
      <x:c r="O54" s="94" t="str">
        <x:f>IF(M54="","Not Assessed",IF(N54&lt;TODAY(),"Expired",IF(N54&lt;=TODAY()+30,"Due Soon","Current")))</x:f>
        <x:v>Not Assessed</x:v>
      </x:c>
      <x:c r="P54" s="94" t="str">
        <x:f>IF(OR(B54="",G54=""),"",COUNTIFS('05 Development Actions'!$C$6:$C$105,B54,'05 Development Actions'!$G$6:$G$105,G54,'05 Development Actions'!$A$6:$A$105,"&lt;&gt;",'05 Development Actions'!$AB$6:$AB$105,"&lt;&gt;Closed — Competent",'05 Development Actions'!$AB$6:$AB$105,"&lt;&gt;Cancelled"))</x:f>
      </x:c>
      <x:c r="Q54" s="94" t="str">
        <x:f>IF(OR(B54="",G54=""),"",COUNTIFS('11 Training Attendance'!$E$6:$E$155,B54,'11 Training Attendance'!$K$6:$K$155,"Attended",'11 Training Attendance'!$I$6:$I$155,G54))</x:f>
      </x:c>
      <x:c r="R54" s="102" t="str">
        <x:f>IF(Q54=0,"",MAXIFS('11 Training Attendance'!$D$6:$D$155,'11 Training Attendance'!$E$6:$E$155,B54,'11 Training Attendance'!$K$6:$K$155,"Attended",'11 Training Attendance'!$I$6:$I$155,G54))</x:f>
      </x:c>
      <x:c r="S54" s="94" t="str">
        <x:f>IF(OR(B54="",G54=""),"",COUNTIFS('13 Effectiveness Review'!$C$6:$C$155,B54,'13 Effectiveness Review'!$F$6:$F$155,G54,'13 Effectiveness Review'!$X$6:$X$155,"Closed — Effective"))</x:f>
      </x:c>
      <x:c r="T54" s="94" t="str">
        <x:f>IF(B54="","",IF(K54="","Not Assessed",IF(O54="Expired","Renewal Due",IF(L54=0,"Competent","Skill Gap"))))</x:f>
      </x:c>
      <x:c r="U54" s="94" t="str">
        <x:f>IFERROR(VLOOKUP(D54&amp;"|"&amp;E54&amp;"|"&amp;G54,'03 Position Requirements'!$A$6:$R$285,14,FALSE),"")</x:f>
      </x:c>
      <x:c r="V54" s="92"/>
      <x:c r="W54" s="85" t="str">
        <x:f>IF(B54="","",B54&amp;"|"&amp;COUNTIF($B$6:B54,B54))</x:f>
      </x:c>
      <x:c r="X54" s="85" t="str">
        <x:f>IF(B54="","",G54)</x:f>
      </x:c>
      <x:c r="Y54" s="85" t="str">
        <x:f>IF(B54="","",H54)</x:f>
      </x:c>
      <x:c r="Z54" s="85" t="str">
        <x:f>IF(B54="","",I54)</x:f>
      </x:c>
      <x:c r="AA54" s="85" t="str">
        <x:f>IF(B54="","",J54)</x:f>
      </x:c>
      <x:c r="AB54" s="85" t="str">
        <x:f>IF(B54="","",K54)</x:f>
      </x:c>
      <x:c r="AC54" s="85" t="str">
        <x:f>IF(B54="","",L54)</x:f>
      </x:c>
      <x:c r="AD54" s="85" t="str">
        <x:f>IF(B54="","",M54)</x:f>
      </x:c>
      <x:c r="AE54" s="85" t="str">
        <x:f>IF(B54="","",N54)</x:f>
      </x:c>
      <x:c r="AF54" s="85" t="str">
        <x:f>IF(B54="","",O54)</x:f>
      </x:c>
      <x:c r="AG54" s="85" t="str">
        <x:f>IF(B54="","",P54)</x:f>
      </x:c>
      <x:c r="AH54" s="85" t="str">
        <x:f>IF(B54="","",Q54)</x:f>
      </x:c>
      <x:c r="AI54" s="85" t="str">
        <x:f>IF(B54="","",R54)</x:f>
      </x:c>
      <x:c r="AJ54" s="85" t="str">
        <x:f>IF(B54="","",S54)</x:f>
      </x:c>
      <x:c r="AK54" s="85" t="str">
        <x:f>IF(B54="","",T54)</x:f>
      </x:c>
    </x:row>
    <x:row r="55">
      <x:c r="A55" s="94" t="str">
        <x:f>IF(OR(B55="",G55=""),"",B55&amp;"|"&amp;G55)</x:f>
      </x:c>
      <x:c r="B55" s="92"/>
      <x:c r="C55" s="94" t="str">
        <x:f>IFERROR(VLOOKUP(B55,'01 Staff Master'!$A$6:$M$105,2,FALSE),"")</x:f>
      </x:c>
      <x:c r="D55" s="94" t="str">
        <x:f>IFERROR(VLOOKUP(B55,'01 Staff Master'!$A$6:$M$105,3,FALSE),"")</x:f>
      </x:c>
      <x:c r="E55" s="94" t="str">
        <x:f>IFERROR(VLOOKUP(B55,'01 Staff Master'!$A$6:$M$105,5,FALSE),"")</x:f>
      </x:c>
      <x:c r="F55" s="94" t="str">
        <x:f>IFERROR(VLOOKUP(B55,'01 Staff Master'!$A$6:$M$105,4,FALSE),"")</x:f>
      </x:c>
      <x:c r="G55" s="92"/>
      <x:c r="H55" s="94" t="str">
        <x:f>IFERROR(VLOOKUP(G55,'02 Skill Catalogue'!$A$6:$K$95,4,FALSE),"")</x:f>
      </x:c>
      <x:c r="I55" s="94" t="str">
        <x:f>IFERROR(VLOOKUP(D55&amp;"|"&amp;E55&amp;"|"&amp;G55,'03 Position Requirements'!$A$6:$R$285,8,FALSE),"")</x:f>
      </x:c>
      <x:c r="J55" s="94" t="str">
        <x:f>IFERROR(VLOOKUP(D55&amp;"|"&amp;E55&amp;"|"&amp;G55,'03 Position Requirements'!$A$6:$R$285,10,FALSE),"")</x:f>
      </x:c>
      <x:c r="K55" s="94" t="str">
        <x:f>IF(OR(B55="",G55=""),"",IF(COUNTIFS('04 Assessment Log'!$D$6:$D$155,B55,'04 Assessment Log'!$J$6:$J$155,G55,'04 Assessment Log'!$AA$6:$AA$155,"Yes")=0,"",SUMIFS('04 Assessment Log'!$O$6:$O$155,'04 Assessment Log'!$D$6:$D$155,B55,'04 Assessment Log'!$J$6:$J$155,G55,'04 Assessment Log'!$AA$6:$AA$155,"Yes")))</x:f>
      </x:c>
      <x:c r="L55" s="94" t="str">
        <x:f>IF(OR(J55="",K55=""),"",MAX(J55-K55,0))</x:f>
      </x:c>
      <x:c r="M55" s="102" t="str">
        <x:f>IF(COUNTIFS('04 Assessment Log'!$D$6:$D$155,B55,'04 Assessment Log'!$J$6:$J$155,G55,'04 Assessment Log'!$AA$6:$AA$155,"Yes")=0,"",SUMIFS('04 Assessment Log'!$B$6:$B$155,'04 Assessment Log'!$D$6:$D$155,B55,'04 Assessment Log'!$J$6:$J$155,G55,'04 Assessment Log'!$AA$6:$AA$155,"Yes"))</x:f>
      </x:c>
      <x:c r="N55" s="102" t="str">
        <x:f>IF(M55="","",SUMIFS('04 Assessment Log'!$Z$6:$Z$155,'04 Assessment Log'!$D$6:$D$155,B55,'04 Assessment Log'!$J$6:$J$155,G55,'04 Assessment Log'!$AA$6:$AA$155,"Yes"))</x:f>
      </x:c>
      <x:c r="O55" s="94" t="str">
        <x:f>IF(M55="","Not Assessed",IF(N55&lt;TODAY(),"Expired",IF(N55&lt;=TODAY()+30,"Due Soon","Current")))</x:f>
        <x:v>Not Assessed</x:v>
      </x:c>
      <x:c r="P55" s="94" t="str">
        <x:f>IF(OR(B55="",G55=""),"",COUNTIFS('05 Development Actions'!$C$6:$C$105,B55,'05 Development Actions'!$G$6:$G$105,G55,'05 Development Actions'!$A$6:$A$105,"&lt;&gt;",'05 Development Actions'!$AB$6:$AB$105,"&lt;&gt;Closed — Competent",'05 Development Actions'!$AB$6:$AB$105,"&lt;&gt;Cancelled"))</x:f>
      </x:c>
      <x:c r="Q55" s="94" t="str">
        <x:f>IF(OR(B55="",G55=""),"",COUNTIFS('11 Training Attendance'!$E$6:$E$155,B55,'11 Training Attendance'!$K$6:$K$155,"Attended",'11 Training Attendance'!$I$6:$I$155,G55))</x:f>
      </x:c>
      <x:c r="R55" s="102" t="str">
        <x:f>IF(Q55=0,"",MAXIFS('11 Training Attendance'!$D$6:$D$155,'11 Training Attendance'!$E$6:$E$155,B55,'11 Training Attendance'!$K$6:$K$155,"Attended",'11 Training Attendance'!$I$6:$I$155,G55))</x:f>
      </x:c>
      <x:c r="S55" s="94" t="str">
        <x:f>IF(OR(B55="",G55=""),"",COUNTIFS('13 Effectiveness Review'!$C$6:$C$155,B55,'13 Effectiveness Review'!$F$6:$F$155,G55,'13 Effectiveness Review'!$X$6:$X$155,"Closed — Effective"))</x:f>
      </x:c>
      <x:c r="T55" s="94" t="str">
        <x:f>IF(B55="","",IF(K55="","Not Assessed",IF(O55="Expired","Renewal Due",IF(L55=0,"Competent","Skill Gap"))))</x:f>
      </x:c>
      <x:c r="U55" s="94" t="str">
        <x:f>IFERROR(VLOOKUP(D55&amp;"|"&amp;E55&amp;"|"&amp;G55,'03 Position Requirements'!$A$6:$R$285,14,FALSE),"")</x:f>
      </x:c>
      <x:c r="V55" s="92"/>
      <x:c r="W55" s="85" t="str">
        <x:f>IF(B55="","",B55&amp;"|"&amp;COUNTIF($B$6:B55,B55))</x:f>
      </x:c>
      <x:c r="X55" s="85" t="str">
        <x:f>IF(B55="","",G55)</x:f>
      </x:c>
      <x:c r="Y55" s="85" t="str">
        <x:f>IF(B55="","",H55)</x:f>
      </x:c>
      <x:c r="Z55" s="85" t="str">
        <x:f>IF(B55="","",I55)</x:f>
      </x:c>
      <x:c r="AA55" s="85" t="str">
        <x:f>IF(B55="","",J55)</x:f>
      </x:c>
      <x:c r="AB55" s="85" t="str">
        <x:f>IF(B55="","",K55)</x:f>
      </x:c>
      <x:c r="AC55" s="85" t="str">
        <x:f>IF(B55="","",L55)</x:f>
      </x:c>
      <x:c r="AD55" s="85" t="str">
        <x:f>IF(B55="","",M55)</x:f>
      </x:c>
      <x:c r="AE55" s="85" t="str">
        <x:f>IF(B55="","",N55)</x:f>
      </x:c>
      <x:c r="AF55" s="85" t="str">
        <x:f>IF(B55="","",O55)</x:f>
      </x:c>
      <x:c r="AG55" s="85" t="str">
        <x:f>IF(B55="","",P55)</x:f>
      </x:c>
      <x:c r="AH55" s="85" t="str">
        <x:f>IF(B55="","",Q55)</x:f>
      </x:c>
      <x:c r="AI55" s="85" t="str">
        <x:f>IF(B55="","",R55)</x:f>
      </x:c>
      <x:c r="AJ55" s="85" t="str">
        <x:f>IF(B55="","",S55)</x:f>
      </x:c>
      <x:c r="AK55" s="85" t="str">
        <x:f>IF(B55="","",T55)</x:f>
      </x:c>
    </x:row>
    <x:row r="56">
      <x:c r="A56" s="94" t="str">
        <x:f>IF(OR(B56="",G56=""),"",B56&amp;"|"&amp;G56)</x:f>
      </x:c>
      <x:c r="B56" s="92"/>
      <x:c r="C56" s="94" t="str">
        <x:f>IFERROR(VLOOKUP(B56,'01 Staff Master'!$A$6:$M$105,2,FALSE),"")</x:f>
      </x:c>
      <x:c r="D56" s="94" t="str">
        <x:f>IFERROR(VLOOKUP(B56,'01 Staff Master'!$A$6:$M$105,3,FALSE),"")</x:f>
      </x:c>
      <x:c r="E56" s="94" t="str">
        <x:f>IFERROR(VLOOKUP(B56,'01 Staff Master'!$A$6:$M$105,5,FALSE),"")</x:f>
      </x:c>
      <x:c r="F56" s="94" t="str">
        <x:f>IFERROR(VLOOKUP(B56,'01 Staff Master'!$A$6:$M$105,4,FALSE),"")</x:f>
      </x:c>
      <x:c r="G56" s="92"/>
      <x:c r="H56" s="94" t="str">
        <x:f>IFERROR(VLOOKUP(G56,'02 Skill Catalogue'!$A$6:$K$95,4,FALSE),"")</x:f>
      </x:c>
      <x:c r="I56" s="94" t="str">
        <x:f>IFERROR(VLOOKUP(D56&amp;"|"&amp;E56&amp;"|"&amp;G56,'03 Position Requirements'!$A$6:$R$285,8,FALSE),"")</x:f>
      </x:c>
      <x:c r="J56" s="94" t="str">
        <x:f>IFERROR(VLOOKUP(D56&amp;"|"&amp;E56&amp;"|"&amp;G56,'03 Position Requirements'!$A$6:$R$285,10,FALSE),"")</x:f>
      </x:c>
      <x:c r="K56" s="94" t="str">
        <x:f>IF(OR(B56="",G56=""),"",IF(COUNTIFS('04 Assessment Log'!$D$6:$D$155,B56,'04 Assessment Log'!$J$6:$J$155,G56,'04 Assessment Log'!$AA$6:$AA$155,"Yes")=0,"",SUMIFS('04 Assessment Log'!$O$6:$O$155,'04 Assessment Log'!$D$6:$D$155,B56,'04 Assessment Log'!$J$6:$J$155,G56,'04 Assessment Log'!$AA$6:$AA$155,"Yes")))</x:f>
      </x:c>
      <x:c r="L56" s="94" t="str">
        <x:f>IF(OR(J56="",K56=""),"",MAX(J56-K56,0))</x:f>
      </x:c>
      <x:c r="M56" s="102" t="str">
        <x:f>IF(COUNTIFS('04 Assessment Log'!$D$6:$D$155,B56,'04 Assessment Log'!$J$6:$J$155,G56,'04 Assessment Log'!$AA$6:$AA$155,"Yes")=0,"",SUMIFS('04 Assessment Log'!$B$6:$B$155,'04 Assessment Log'!$D$6:$D$155,B56,'04 Assessment Log'!$J$6:$J$155,G56,'04 Assessment Log'!$AA$6:$AA$155,"Yes"))</x:f>
      </x:c>
      <x:c r="N56" s="102" t="str">
        <x:f>IF(M56="","",SUMIFS('04 Assessment Log'!$Z$6:$Z$155,'04 Assessment Log'!$D$6:$D$155,B56,'04 Assessment Log'!$J$6:$J$155,G56,'04 Assessment Log'!$AA$6:$AA$155,"Yes"))</x:f>
      </x:c>
      <x:c r="O56" s="94" t="str">
        <x:f>IF(M56="","Not Assessed",IF(N56&lt;TODAY(),"Expired",IF(N56&lt;=TODAY()+30,"Due Soon","Current")))</x:f>
        <x:v>Not Assessed</x:v>
      </x:c>
      <x:c r="P56" s="94" t="str">
        <x:f>IF(OR(B56="",G56=""),"",COUNTIFS('05 Development Actions'!$C$6:$C$105,B56,'05 Development Actions'!$G$6:$G$105,G56,'05 Development Actions'!$A$6:$A$105,"&lt;&gt;",'05 Development Actions'!$AB$6:$AB$105,"&lt;&gt;Closed — Competent",'05 Development Actions'!$AB$6:$AB$105,"&lt;&gt;Cancelled"))</x:f>
      </x:c>
      <x:c r="Q56" s="94" t="str">
        <x:f>IF(OR(B56="",G56=""),"",COUNTIFS('11 Training Attendance'!$E$6:$E$155,B56,'11 Training Attendance'!$K$6:$K$155,"Attended",'11 Training Attendance'!$I$6:$I$155,G56))</x:f>
      </x:c>
      <x:c r="R56" s="102" t="str">
        <x:f>IF(Q56=0,"",MAXIFS('11 Training Attendance'!$D$6:$D$155,'11 Training Attendance'!$E$6:$E$155,B56,'11 Training Attendance'!$K$6:$K$155,"Attended",'11 Training Attendance'!$I$6:$I$155,G56))</x:f>
      </x:c>
      <x:c r="S56" s="94" t="str">
        <x:f>IF(OR(B56="",G56=""),"",COUNTIFS('13 Effectiveness Review'!$C$6:$C$155,B56,'13 Effectiveness Review'!$F$6:$F$155,G56,'13 Effectiveness Review'!$X$6:$X$155,"Closed — Effective"))</x:f>
      </x:c>
      <x:c r="T56" s="94" t="str">
        <x:f>IF(B56="","",IF(K56="","Not Assessed",IF(O56="Expired","Renewal Due",IF(L56=0,"Competent","Skill Gap"))))</x:f>
      </x:c>
      <x:c r="U56" s="94" t="str">
        <x:f>IFERROR(VLOOKUP(D56&amp;"|"&amp;E56&amp;"|"&amp;G56,'03 Position Requirements'!$A$6:$R$285,14,FALSE),"")</x:f>
      </x:c>
      <x:c r="V56" s="92"/>
      <x:c r="W56" s="85" t="str">
        <x:f>IF(B56="","",B56&amp;"|"&amp;COUNTIF($B$6:B56,B56))</x:f>
      </x:c>
      <x:c r="X56" s="85" t="str">
        <x:f>IF(B56="","",G56)</x:f>
      </x:c>
      <x:c r="Y56" s="85" t="str">
        <x:f>IF(B56="","",H56)</x:f>
      </x:c>
      <x:c r="Z56" s="85" t="str">
        <x:f>IF(B56="","",I56)</x:f>
      </x:c>
      <x:c r="AA56" s="85" t="str">
        <x:f>IF(B56="","",J56)</x:f>
      </x:c>
      <x:c r="AB56" s="85" t="str">
        <x:f>IF(B56="","",K56)</x:f>
      </x:c>
      <x:c r="AC56" s="85" t="str">
        <x:f>IF(B56="","",L56)</x:f>
      </x:c>
      <x:c r="AD56" s="85" t="str">
        <x:f>IF(B56="","",M56)</x:f>
      </x:c>
      <x:c r="AE56" s="85" t="str">
        <x:f>IF(B56="","",N56)</x:f>
      </x:c>
      <x:c r="AF56" s="85" t="str">
        <x:f>IF(B56="","",O56)</x:f>
      </x:c>
      <x:c r="AG56" s="85" t="str">
        <x:f>IF(B56="","",P56)</x:f>
      </x:c>
      <x:c r="AH56" s="85" t="str">
        <x:f>IF(B56="","",Q56)</x:f>
      </x:c>
      <x:c r="AI56" s="85" t="str">
        <x:f>IF(B56="","",R56)</x:f>
      </x:c>
      <x:c r="AJ56" s="85" t="str">
        <x:f>IF(B56="","",S56)</x:f>
      </x:c>
      <x:c r="AK56" s="85" t="str">
        <x:f>IF(B56="","",T56)</x:f>
      </x:c>
    </x:row>
    <x:row r="57">
      <x:c r="A57" s="94" t="str">
        <x:f>IF(OR(B57="",G57=""),"",B57&amp;"|"&amp;G57)</x:f>
      </x:c>
      <x:c r="B57" s="92"/>
      <x:c r="C57" s="94" t="str">
        <x:f>IFERROR(VLOOKUP(B57,'01 Staff Master'!$A$6:$M$105,2,FALSE),"")</x:f>
      </x:c>
      <x:c r="D57" s="94" t="str">
        <x:f>IFERROR(VLOOKUP(B57,'01 Staff Master'!$A$6:$M$105,3,FALSE),"")</x:f>
      </x:c>
      <x:c r="E57" s="94" t="str">
        <x:f>IFERROR(VLOOKUP(B57,'01 Staff Master'!$A$6:$M$105,5,FALSE),"")</x:f>
      </x:c>
      <x:c r="F57" s="94" t="str">
        <x:f>IFERROR(VLOOKUP(B57,'01 Staff Master'!$A$6:$M$105,4,FALSE),"")</x:f>
      </x:c>
      <x:c r="G57" s="92"/>
      <x:c r="H57" s="94" t="str">
        <x:f>IFERROR(VLOOKUP(G57,'02 Skill Catalogue'!$A$6:$K$95,4,FALSE),"")</x:f>
      </x:c>
      <x:c r="I57" s="94" t="str">
        <x:f>IFERROR(VLOOKUP(D57&amp;"|"&amp;E57&amp;"|"&amp;G57,'03 Position Requirements'!$A$6:$R$285,8,FALSE),"")</x:f>
      </x:c>
      <x:c r="J57" s="94" t="str">
        <x:f>IFERROR(VLOOKUP(D57&amp;"|"&amp;E57&amp;"|"&amp;G57,'03 Position Requirements'!$A$6:$R$285,10,FALSE),"")</x:f>
      </x:c>
      <x:c r="K57" s="94" t="str">
        <x:f>IF(OR(B57="",G57=""),"",IF(COUNTIFS('04 Assessment Log'!$D$6:$D$155,B57,'04 Assessment Log'!$J$6:$J$155,G57,'04 Assessment Log'!$AA$6:$AA$155,"Yes")=0,"",SUMIFS('04 Assessment Log'!$O$6:$O$155,'04 Assessment Log'!$D$6:$D$155,B57,'04 Assessment Log'!$J$6:$J$155,G57,'04 Assessment Log'!$AA$6:$AA$155,"Yes")))</x:f>
      </x:c>
      <x:c r="L57" s="94" t="str">
        <x:f>IF(OR(J57="",K57=""),"",MAX(J57-K57,0))</x:f>
      </x:c>
      <x:c r="M57" s="102" t="str">
        <x:f>IF(COUNTIFS('04 Assessment Log'!$D$6:$D$155,B57,'04 Assessment Log'!$J$6:$J$155,G57,'04 Assessment Log'!$AA$6:$AA$155,"Yes")=0,"",SUMIFS('04 Assessment Log'!$B$6:$B$155,'04 Assessment Log'!$D$6:$D$155,B57,'04 Assessment Log'!$J$6:$J$155,G57,'04 Assessment Log'!$AA$6:$AA$155,"Yes"))</x:f>
      </x:c>
      <x:c r="N57" s="102" t="str">
        <x:f>IF(M57="","",SUMIFS('04 Assessment Log'!$Z$6:$Z$155,'04 Assessment Log'!$D$6:$D$155,B57,'04 Assessment Log'!$J$6:$J$155,G57,'04 Assessment Log'!$AA$6:$AA$155,"Yes"))</x:f>
      </x:c>
      <x:c r="O57" s="94" t="str">
        <x:f>IF(M57="","Not Assessed",IF(N57&lt;TODAY(),"Expired",IF(N57&lt;=TODAY()+30,"Due Soon","Current")))</x:f>
        <x:v>Not Assessed</x:v>
      </x:c>
      <x:c r="P57" s="94" t="str">
        <x:f>IF(OR(B57="",G57=""),"",COUNTIFS('05 Development Actions'!$C$6:$C$105,B57,'05 Development Actions'!$G$6:$G$105,G57,'05 Development Actions'!$A$6:$A$105,"&lt;&gt;",'05 Development Actions'!$AB$6:$AB$105,"&lt;&gt;Closed — Competent",'05 Development Actions'!$AB$6:$AB$105,"&lt;&gt;Cancelled"))</x:f>
      </x:c>
      <x:c r="Q57" s="94" t="str">
        <x:f>IF(OR(B57="",G57=""),"",COUNTIFS('11 Training Attendance'!$E$6:$E$155,B57,'11 Training Attendance'!$K$6:$K$155,"Attended",'11 Training Attendance'!$I$6:$I$155,G57))</x:f>
      </x:c>
      <x:c r="R57" s="102" t="str">
        <x:f>IF(Q57=0,"",MAXIFS('11 Training Attendance'!$D$6:$D$155,'11 Training Attendance'!$E$6:$E$155,B57,'11 Training Attendance'!$K$6:$K$155,"Attended",'11 Training Attendance'!$I$6:$I$155,G57))</x:f>
      </x:c>
      <x:c r="S57" s="94" t="str">
        <x:f>IF(OR(B57="",G57=""),"",COUNTIFS('13 Effectiveness Review'!$C$6:$C$155,B57,'13 Effectiveness Review'!$F$6:$F$155,G57,'13 Effectiveness Review'!$X$6:$X$155,"Closed — Effective"))</x:f>
      </x:c>
      <x:c r="T57" s="94" t="str">
        <x:f>IF(B57="","",IF(K57="","Not Assessed",IF(O57="Expired","Renewal Due",IF(L57=0,"Competent","Skill Gap"))))</x:f>
      </x:c>
      <x:c r="U57" s="94" t="str">
        <x:f>IFERROR(VLOOKUP(D57&amp;"|"&amp;E57&amp;"|"&amp;G57,'03 Position Requirements'!$A$6:$R$285,14,FALSE),"")</x:f>
      </x:c>
      <x:c r="V57" s="92"/>
      <x:c r="W57" s="85" t="str">
        <x:f>IF(B57="","",B57&amp;"|"&amp;COUNTIF($B$6:B57,B57))</x:f>
      </x:c>
      <x:c r="X57" s="85" t="str">
        <x:f>IF(B57="","",G57)</x:f>
      </x:c>
      <x:c r="Y57" s="85" t="str">
        <x:f>IF(B57="","",H57)</x:f>
      </x:c>
      <x:c r="Z57" s="85" t="str">
        <x:f>IF(B57="","",I57)</x:f>
      </x:c>
      <x:c r="AA57" s="85" t="str">
        <x:f>IF(B57="","",J57)</x:f>
      </x:c>
      <x:c r="AB57" s="85" t="str">
        <x:f>IF(B57="","",K57)</x:f>
      </x:c>
      <x:c r="AC57" s="85" t="str">
        <x:f>IF(B57="","",L57)</x:f>
      </x:c>
      <x:c r="AD57" s="85" t="str">
        <x:f>IF(B57="","",M57)</x:f>
      </x:c>
      <x:c r="AE57" s="85" t="str">
        <x:f>IF(B57="","",N57)</x:f>
      </x:c>
      <x:c r="AF57" s="85" t="str">
        <x:f>IF(B57="","",O57)</x:f>
      </x:c>
      <x:c r="AG57" s="85" t="str">
        <x:f>IF(B57="","",P57)</x:f>
      </x:c>
      <x:c r="AH57" s="85" t="str">
        <x:f>IF(B57="","",Q57)</x:f>
      </x:c>
      <x:c r="AI57" s="85" t="str">
        <x:f>IF(B57="","",R57)</x:f>
      </x:c>
      <x:c r="AJ57" s="85" t="str">
        <x:f>IF(B57="","",S57)</x:f>
      </x:c>
      <x:c r="AK57" s="85" t="str">
        <x:f>IF(B57="","",T57)</x:f>
      </x:c>
    </x:row>
    <x:row r="58">
      <x:c r="A58" s="94" t="str">
        <x:f>IF(OR(B58="",G58=""),"",B58&amp;"|"&amp;G58)</x:f>
      </x:c>
      <x:c r="B58" s="92"/>
      <x:c r="C58" s="94" t="str">
        <x:f>IFERROR(VLOOKUP(B58,'01 Staff Master'!$A$6:$M$105,2,FALSE),"")</x:f>
      </x:c>
      <x:c r="D58" s="94" t="str">
        <x:f>IFERROR(VLOOKUP(B58,'01 Staff Master'!$A$6:$M$105,3,FALSE),"")</x:f>
      </x:c>
      <x:c r="E58" s="94" t="str">
        <x:f>IFERROR(VLOOKUP(B58,'01 Staff Master'!$A$6:$M$105,5,FALSE),"")</x:f>
      </x:c>
      <x:c r="F58" s="94" t="str">
        <x:f>IFERROR(VLOOKUP(B58,'01 Staff Master'!$A$6:$M$105,4,FALSE),"")</x:f>
      </x:c>
      <x:c r="G58" s="92"/>
      <x:c r="H58" s="94" t="str">
        <x:f>IFERROR(VLOOKUP(G58,'02 Skill Catalogue'!$A$6:$K$95,4,FALSE),"")</x:f>
      </x:c>
      <x:c r="I58" s="94" t="str">
        <x:f>IFERROR(VLOOKUP(D58&amp;"|"&amp;E58&amp;"|"&amp;G58,'03 Position Requirements'!$A$6:$R$285,8,FALSE),"")</x:f>
      </x:c>
      <x:c r="J58" s="94" t="str">
        <x:f>IFERROR(VLOOKUP(D58&amp;"|"&amp;E58&amp;"|"&amp;G58,'03 Position Requirements'!$A$6:$R$285,10,FALSE),"")</x:f>
      </x:c>
      <x:c r="K58" s="94" t="str">
        <x:f>IF(OR(B58="",G58=""),"",IF(COUNTIFS('04 Assessment Log'!$D$6:$D$155,B58,'04 Assessment Log'!$J$6:$J$155,G58,'04 Assessment Log'!$AA$6:$AA$155,"Yes")=0,"",SUMIFS('04 Assessment Log'!$O$6:$O$155,'04 Assessment Log'!$D$6:$D$155,B58,'04 Assessment Log'!$J$6:$J$155,G58,'04 Assessment Log'!$AA$6:$AA$155,"Yes")))</x:f>
      </x:c>
      <x:c r="L58" s="94" t="str">
        <x:f>IF(OR(J58="",K58=""),"",MAX(J58-K58,0))</x:f>
      </x:c>
      <x:c r="M58" s="102" t="str">
        <x:f>IF(COUNTIFS('04 Assessment Log'!$D$6:$D$155,B58,'04 Assessment Log'!$J$6:$J$155,G58,'04 Assessment Log'!$AA$6:$AA$155,"Yes")=0,"",SUMIFS('04 Assessment Log'!$B$6:$B$155,'04 Assessment Log'!$D$6:$D$155,B58,'04 Assessment Log'!$J$6:$J$155,G58,'04 Assessment Log'!$AA$6:$AA$155,"Yes"))</x:f>
      </x:c>
      <x:c r="N58" s="102" t="str">
        <x:f>IF(M58="","",SUMIFS('04 Assessment Log'!$Z$6:$Z$155,'04 Assessment Log'!$D$6:$D$155,B58,'04 Assessment Log'!$J$6:$J$155,G58,'04 Assessment Log'!$AA$6:$AA$155,"Yes"))</x:f>
      </x:c>
      <x:c r="O58" s="94" t="str">
        <x:f>IF(M58="","Not Assessed",IF(N58&lt;TODAY(),"Expired",IF(N58&lt;=TODAY()+30,"Due Soon","Current")))</x:f>
        <x:v>Not Assessed</x:v>
      </x:c>
      <x:c r="P58" s="94" t="str">
        <x:f>IF(OR(B58="",G58=""),"",COUNTIFS('05 Development Actions'!$C$6:$C$105,B58,'05 Development Actions'!$G$6:$G$105,G58,'05 Development Actions'!$A$6:$A$105,"&lt;&gt;",'05 Development Actions'!$AB$6:$AB$105,"&lt;&gt;Closed — Competent",'05 Development Actions'!$AB$6:$AB$105,"&lt;&gt;Cancelled"))</x:f>
      </x:c>
      <x:c r="Q58" s="94" t="str">
        <x:f>IF(OR(B58="",G58=""),"",COUNTIFS('11 Training Attendance'!$E$6:$E$155,B58,'11 Training Attendance'!$K$6:$K$155,"Attended",'11 Training Attendance'!$I$6:$I$155,G58))</x:f>
      </x:c>
      <x:c r="R58" s="102" t="str">
        <x:f>IF(Q58=0,"",MAXIFS('11 Training Attendance'!$D$6:$D$155,'11 Training Attendance'!$E$6:$E$155,B58,'11 Training Attendance'!$K$6:$K$155,"Attended",'11 Training Attendance'!$I$6:$I$155,G58))</x:f>
      </x:c>
      <x:c r="S58" s="94" t="str">
        <x:f>IF(OR(B58="",G58=""),"",COUNTIFS('13 Effectiveness Review'!$C$6:$C$155,B58,'13 Effectiveness Review'!$F$6:$F$155,G58,'13 Effectiveness Review'!$X$6:$X$155,"Closed — Effective"))</x:f>
      </x:c>
      <x:c r="T58" s="94" t="str">
        <x:f>IF(B58="","",IF(K58="","Not Assessed",IF(O58="Expired","Renewal Due",IF(L58=0,"Competent","Skill Gap"))))</x:f>
      </x:c>
      <x:c r="U58" s="94" t="str">
        <x:f>IFERROR(VLOOKUP(D58&amp;"|"&amp;E58&amp;"|"&amp;G58,'03 Position Requirements'!$A$6:$R$285,14,FALSE),"")</x:f>
      </x:c>
      <x:c r="V58" s="92"/>
      <x:c r="W58" s="85" t="str">
        <x:f>IF(B58="","",B58&amp;"|"&amp;COUNTIF($B$6:B58,B58))</x:f>
      </x:c>
      <x:c r="X58" s="85" t="str">
        <x:f>IF(B58="","",G58)</x:f>
      </x:c>
      <x:c r="Y58" s="85" t="str">
        <x:f>IF(B58="","",H58)</x:f>
      </x:c>
      <x:c r="Z58" s="85" t="str">
        <x:f>IF(B58="","",I58)</x:f>
      </x:c>
      <x:c r="AA58" s="85" t="str">
        <x:f>IF(B58="","",J58)</x:f>
      </x:c>
      <x:c r="AB58" s="85" t="str">
        <x:f>IF(B58="","",K58)</x:f>
      </x:c>
      <x:c r="AC58" s="85" t="str">
        <x:f>IF(B58="","",L58)</x:f>
      </x:c>
      <x:c r="AD58" s="85" t="str">
        <x:f>IF(B58="","",M58)</x:f>
      </x:c>
      <x:c r="AE58" s="85" t="str">
        <x:f>IF(B58="","",N58)</x:f>
      </x:c>
      <x:c r="AF58" s="85" t="str">
        <x:f>IF(B58="","",O58)</x:f>
      </x:c>
      <x:c r="AG58" s="85" t="str">
        <x:f>IF(B58="","",P58)</x:f>
      </x:c>
      <x:c r="AH58" s="85" t="str">
        <x:f>IF(B58="","",Q58)</x:f>
      </x:c>
      <x:c r="AI58" s="85" t="str">
        <x:f>IF(B58="","",R58)</x:f>
      </x:c>
      <x:c r="AJ58" s="85" t="str">
        <x:f>IF(B58="","",S58)</x:f>
      </x:c>
      <x:c r="AK58" s="85" t="str">
        <x:f>IF(B58="","",T58)</x:f>
      </x:c>
    </x:row>
    <x:row r="59">
      <x:c r="A59" s="94" t="str">
        <x:f>IF(OR(B59="",G59=""),"",B59&amp;"|"&amp;G59)</x:f>
      </x:c>
      <x:c r="B59" s="92"/>
      <x:c r="C59" s="94" t="str">
        <x:f>IFERROR(VLOOKUP(B59,'01 Staff Master'!$A$6:$M$105,2,FALSE),"")</x:f>
      </x:c>
      <x:c r="D59" s="94" t="str">
        <x:f>IFERROR(VLOOKUP(B59,'01 Staff Master'!$A$6:$M$105,3,FALSE),"")</x:f>
      </x:c>
      <x:c r="E59" s="94" t="str">
        <x:f>IFERROR(VLOOKUP(B59,'01 Staff Master'!$A$6:$M$105,5,FALSE),"")</x:f>
      </x:c>
      <x:c r="F59" s="94" t="str">
        <x:f>IFERROR(VLOOKUP(B59,'01 Staff Master'!$A$6:$M$105,4,FALSE),"")</x:f>
      </x:c>
      <x:c r="G59" s="92"/>
      <x:c r="H59" s="94" t="str">
        <x:f>IFERROR(VLOOKUP(G59,'02 Skill Catalogue'!$A$6:$K$95,4,FALSE),"")</x:f>
      </x:c>
      <x:c r="I59" s="94" t="str">
        <x:f>IFERROR(VLOOKUP(D59&amp;"|"&amp;E59&amp;"|"&amp;G59,'03 Position Requirements'!$A$6:$R$285,8,FALSE),"")</x:f>
      </x:c>
      <x:c r="J59" s="94" t="str">
        <x:f>IFERROR(VLOOKUP(D59&amp;"|"&amp;E59&amp;"|"&amp;G59,'03 Position Requirements'!$A$6:$R$285,10,FALSE),"")</x:f>
      </x:c>
      <x:c r="K59" s="94" t="str">
        <x:f>IF(OR(B59="",G59=""),"",IF(COUNTIFS('04 Assessment Log'!$D$6:$D$155,B59,'04 Assessment Log'!$J$6:$J$155,G59,'04 Assessment Log'!$AA$6:$AA$155,"Yes")=0,"",SUMIFS('04 Assessment Log'!$O$6:$O$155,'04 Assessment Log'!$D$6:$D$155,B59,'04 Assessment Log'!$J$6:$J$155,G59,'04 Assessment Log'!$AA$6:$AA$155,"Yes")))</x:f>
      </x:c>
      <x:c r="L59" s="94" t="str">
        <x:f>IF(OR(J59="",K59=""),"",MAX(J59-K59,0))</x:f>
      </x:c>
      <x:c r="M59" s="102" t="str">
        <x:f>IF(COUNTIFS('04 Assessment Log'!$D$6:$D$155,B59,'04 Assessment Log'!$J$6:$J$155,G59,'04 Assessment Log'!$AA$6:$AA$155,"Yes")=0,"",SUMIFS('04 Assessment Log'!$B$6:$B$155,'04 Assessment Log'!$D$6:$D$155,B59,'04 Assessment Log'!$J$6:$J$155,G59,'04 Assessment Log'!$AA$6:$AA$155,"Yes"))</x:f>
      </x:c>
      <x:c r="N59" s="102" t="str">
        <x:f>IF(M59="","",SUMIFS('04 Assessment Log'!$Z$6:$Z$155,'04 Assessment Log'!$D$6:$D$155,B59,'04 Assessment Log'!$J$6:$J$155,G59,'04 Assessment Log'!$AA$6:$AA$155,"Yes"))</x:f>
      </x:c>
      <x:c r="O59" s="94" t="str">
        <x:f>IF(M59="","Not Assessed",IF(N59&lt;TODAY(),"Expired",IF(N59&lt;=TODAY()+30,"Due Soon","Current")))</x:f>
        <x:v>Not Assessed</x:v>
      </x:c>
      <x:c r="P59" s="94" t="str">
        <x:f>IF(OR(B59="",G59=""),"",COUNTIFS('05 Development Actions'!$C$6:$C$105,B59,'05 Development Actions'!$G$6:$G$105,G59,'05 Development Actions'!$A$6:$A$105,"&lt;&gt;",'05 Development Actions'!$AB$6:$AB$105,"&lt;&gt;Closed — Competent",'05 Development Actions'!$AB$6:$AB$105,"&lt;&gt;Cancelled"))</x:f>
      </x:c>
      <x:c r="Q59" s="94" t="str">
        <x:f>IF(OR(B59="",G59=""),"",COUNTIFS('11 Training Attendance'!$E$6:$E$155,B59,'11 Training Attendance'!$K$6:$K$155,"Attended",'11 Training Attendance'!$I$6:$I$155,G59))</x:f>
      </x:c>
      <x:c r="R59" s="102" t="str">
        <x:f>IF(Q59=0,"",MAXIFS('11 Training Attendance'!$D$6:$D$155,'11 Training Attendance'!$E$6:$E$155,B59,'11 Training Attendance'!$K$6:$K$155,"Attended",'11 Training Attendance'!$I$6:$I$155,G59))</x:f>
      </x:c>
      <x:c r="S59" s="94" t="str">
        <x:f>IF(OR(B59="",G59=""),"",COUNTIFS('13 Effectiveness Review'!$C$6:$C$155,B59,'13 Effectiveness Review'!$F$6:$F$155,G59,'13 Effectiveness Review'!$X$6:$X$155,"Closed — Effective"))</x:f>
      </x:c>
      <x:c r="T59" s="94" t="str">
        <x:f>IF(B59="","",IF(K59="","Not Assessed",IF(O59="Expired","Renewal Due",IF(L59=0,"Competent","Skill Gap"))))</x:f>
      </x:c>
      <x:c r="U59" s="94" t="str">
        <x:f>IFERROR(VLOOKUP(D59&amp;"|"&amp;E59&amp;"|"&amp;G59,'03 Position Requirements'!$A$6:$R$285,14,FALSE),"")</x:f>
      </x:c>
      <x:c r="V59" s="92"/>
      <x:c r="W59" s="85" t="str">
        <x:f>IF(B59="","",B59&amp;"|"&amp;COUNTIF($B$6:B59,B59))</x:f>
      </x:c>
      <x:c r="X59" s="85" t="str">
        <x:f>IF(B59="","",G59)</x:f>
      </x:c>
      <x:c r="Y59" s="85" t="str">
        <x:f>IF(B59="","",H59)</x:f>
      </x:c>
      <x:c r="Z59" s="85" t="str">
        <x:f>IF(B59="","",I59)</x:f>
      </x:c>
      <x:c r="AA59" s="85" t="str">
        <x:f>IF(B59="","",J59)</x:f>
      </x:c>
      <x:c r="AB59" s="85" t="str">
        <x:f>IF(B59="","",K59)</x:f>
      </x:c>
      <x:c r="AC59" s="85" t="str">
        <x:f>IF(B59="","",L59)</x:f>
      </x:c>
      <x:c r="AD59" s="85" t="str">
        <x:f>IF(B59="","",M59)</x:f>
      </x:c>
      <x:c r="AE59" s="85" t="str">
        <x:f>IF(B59="","",N59)</x:f>
      </x:c>
      <x:c r="AF59" s="85" t="str">
        <x:f>IF(B59="","",O59)</x:f>
      </x:c>
      <x:c r="AG59" s="85" t="str">
        <x:f>IF(B59="","",P59)</x:f>
      </x:c>
      <x:c r="AH59" s="85" t="str">
        <x:f>IF(B59="","",Q59)</x:f>
      </x:c>
      <x:c r="AI59" s="85" t="str">
        <x:f>IF(B59="","",R59)</x:f>
      </x:c>
      <x:c r="AJ59" s="85" t="str">
        <x:f>IF(B59="","",S59)</x:f>
      </x:c>
      <x:c r="AK59" s="85" t="str">
        <x:f>IF(B59="","",T59)</x:f>
      </x:c>
    </x:row>
    <x:row r="60">
      <x:c r="A60" s="94" t="str">
        <x:f>IF(OR(B60="",G60=""),"",B60&amp;"|"&amp;G60)</x:f>
      </x:c>
      <x:c r="B60" s="92"/>
      <x:c r="C60" s="94" t="str">
        <x:f>IFERROR(VLOOKUP(B60,'01 Staff Master'!$A$6:$M$105,2,FALSE),"")</x:f>
      </x:c>
      <x:c r="D60" s="94" t="str">
        <x:f>IFERROR(VLOOKUP(B60,'01 Staff Master'!$A$6:$M$105,3,FALSE),"")</x:f>
      </x:c>
      <x:c r="E60" s="94" t="str">
        <x:f>IFERROR(VLOOKUP(B60,'01 Staff Master'!$A$6:$M$105,5,FALSE),"")</x:f>
      </x:c>
      <x:c r="F60" s="94" t="str">
        <x:f>IFERROR(VLOOKUP(B60,'01 Staff Master'!$A$6:$M$105,4,FALSE),"")</x:f>
      </x:c>
      <x:c r="G60" s="92"/>
      <x:c r="H60" s="94" t="str">
        <x:f>IFERROR(VLOOKUP(G60,'02 Skill Catalogue'!$A$6:$K$95,4,FALSE),"")</x:f>
      </x:c>
      <x:c r="I60" s="94" t="str">
        <x:f>IFERROR(VLOOKUP(D60&amp;"|"&amp;E60&amp;"|"&amp;G60,'03 Position Requirements'!$A$6:$R$285,8,FALSE),"")</x:f>
      </x:c>
      <x:c r="J60" s="94" t="str">
        <x:f>IFERROR(VLOOKUP(D60&amp;"|"&amp;E60&amp;"|"&amp;G60,'03 Position Requirements'!$A$6:$R$285,10,FALSE),"")</x:f>
      </x:c>
      <x:c r="K60" s="94" t="str">
        <x:f>IF(OR(B60="",G60=""),"",IF(COUNTIFS('04 Assessment Log'!$D$6:$D$155,B60,'04 Assessment Log'!$J$6:$J$155,G60,'04 Assessment Log'!$AA$6:$AA$155,"Yes")=0,"",SUMIFS('04 Assessment Log'!$O$6:$O$155,'04 Assessment Log'!$D$6:$D$155,B60,'04 Assessment Log'!$J$6:$J$155,G60,'04 Assessment Log'!$AA$6:$AA$155,"Yes")))</x:f>
      </x:c>
      <x:c r="L60" s="94" t="str">
        <x:f>IF(OR(J60="",K60=""),"",MAX(J60-K60,0))</x:f>
      </x:c>
      <x:c r="M60" s="102" t="str">
        <x:f>IF(COUNTIFS('04 Assessment Log'!$D$6:$D$155,B60,'04 Assessment Log'!$J$6:$J$155,G60,'04 Assessment Log'!$AA$6:$AA$155,"Yes")=0,"",SUMIFS('04 Assessment Log'!$B$6:$B$155,'04 Assessment Log'!$D$6:$D$155,B60,'04 Assessment Log'!$J$6:$J$155,G60,'04 Assessment Log'!$AA$6:$AA$155,"Yes"))</x:f>
      </x:c>
      <x:c r="N60" s="102" t="str">
        <x:f>IF(M60="","",SUMIFS('04 Assessment Log'!$Z$6:$Z$155,'04 Assessment Log'!$D$6:$D$155,B60,'04 Assessment Log'!$J$6:$J$155,G60,'04 Assessment Log'!$AA$6:$AA$155,"Yes"))</x:f>
      </x:c>
      <x:c r="O60" s="94" t="str">
        <x:f>IF(M60="","Not Assessed",IF(N60&lt;TODAY(),"Expired",IF(N60&lt;=TODAY()+30,"Due Soon","Current")))</x:f>
        <x:v>Not Assessed</x:v>
      </x:c>
      <x:c r="P60" s="94" t="str">
        <x:f>IF(OR(B60="",G60=""),"",COUNTIFS('05 Development Actions'!$C$6:$C$105,B60,'05 Development Actions'!$G$6:$G$105,G60,'05 Development Actions'!$A$6:$A$105,"&lt;&gt;",'05 Development Actions'!$AB$6:$AB$105,"&lt;&gt;Closed — Competent",'05 Development Actions'!$AB$6:$AB$105,"&lt;&gt;Cancelled"))</x:f>
      </x:c>
      <x:c r="Q60" s="94" t="str">
        <x:f>IF(OR(B60="",G60=""),"",COUNTIFS('11 Training Attendance'!$E$6:$E$155,B60,'11 Training Attendance'!$K$6:$K$155,"Attended",'11 Training Attendance'!$I$6:$I$155,G60))</x:f>
      </x:c>
      <x:c r="R60" s="102" t="str">
        <x:f>IF(Q60=0,"",MAXIFS('11 Training Attendance'!$D$6:$D$155,'11 Training Attendance'!$E$6:$E$155,B60,'11 Training Attendance'!$K$6:$K$155,"Attended",'11 Training Attendance'!$I$6:$I$155,G60))</x:f>
      </x:c>
      <x:c r="S60" s="94" t="str">
        <x:f>IF(OR(B60="",G60=""),"",COUNTIFS('13 Effectiveness Review'!$C$6:$C$155,B60,'13 Effectiveness Review'!$F$6:$F$155,G60,'13 Effectiveness Review'!$X$6:$X$155,"Closed — Effective"))</x:f>
      </x:c>
      <x:c r="T60" s="94" t="str">
        <x:f>IF(B60="","",IF(K60="","Not Assessed",IF(O60="Expired","Renewal Due",IF(L60=0,"Competent","Skill Gap"))))</x:f>
      </x:c>
      <x:c r="U60" s="94" t="str">
        <x:f>IFERROR(VLOOKUP(D60&amp;"|"&amp;E60&amp;"|"&amp;G60,'03 Position Requirements'!$A$6:$R$285,14,FALSE),"")</x:f>
      </x:c>
      <x:c r="V60" s="92"/>
      <x:c r="W60" s="85" t="str">
        <x:f>IF(B60="","",B60&amp;"|"&amp;COUNTIF($B$6:B60,B60))</x:f>
      </x:c>
      <x:c r="X60" s="85" t="str">
        <x:f>IF(B60="","",G60)</x:f>
      </x:c>
      <x:c r="Y60" s="85" t="str">
        <x:f>IF(B60="","",H60)</x:f>
      </x:c>
      <x:c r="Z60" s="85" t="str">
        <x:f>IF(B60="","",I60)</x:f>
      </x:c>
      <x:c r="AA60" s="85" t="str">
        <x:f>IF(B60="","",J60)</x:f>
      </x:c>
      <x:c r="AB60" s="85" t="str">
        <x:f>IF(B60="","",K60)</x:f>
      </x:c>
      <x:c r="AC60" s="85" t="str">
        <x:f>IF(B60="","",L60)</x:f>
      </x:c>
      <x:c r="AD60" s="85" t="str">
        <x:f>IF(B60="","",M60)</x:f>
      </x:c>
      <x:c r="AE60" s="85" t="str">
        <x:f>IF(B60="","",N60)</x:f>
      </x:c>
      <x:c r="AF60" s="85" t="str">
        <x:f>IF(B60="","",O60)</x:f>
      </x:c>
      <x:c r="AG60" s="85" t="str">
        <x:f>IF(B60="","",P60)</x:f>
      </x:c>
      <x:c r="AH60" s="85" t="str">
        <x:f>IF(B60="","",Q60)</x:f>
      </x:c>
      <x:c r="AI60" s="85" t="str">
        <x:f>IF(B60="","",R60)</x:f>
      </x:c>
      <x:c r="AJ60" s="85" t="str">
        <x:f>IF(B60="","",S60)</x:f>
      </x:c>
      <x:c r="AK60" s="85" t="str">
        <x:f>IF(B60="","",T60)</x:f>
      </x:c>
    </x:row>
    <x:row r="61">
      <x:c r="A61" s="94" t="str">
        <x:f>IF(OR(B61="",G61=""),"",B61&amp;"|"&amp;G61)</x:f>
      </x:c>
      <x:c r="B61" s="92"/>
      <x:c r="C61" s="94" t="str">
        <x:f>IFERROR(VLOOKUP(B61,'01 Staff Master'!$A$6:$M$105,2,FALSE),"")</x:f>
      </x:c>
      <x:c r="D61" s="94" t="str">
        <x:f>IFERROR(VLOOKUP(B61,'01 Staff Master'!$A$6:$M$105,3,FALSE),"")</x:f>
      </x:c>
      <x:c r="E61" s="94" t="str">
        <x:f>IFERROR(VLOOKUP(B61,'01 Staff Master'!$A$6:$M$105,5,FALSE),"")</x:f>
      </x:c>
      <x:c r="F61" s="94" t="str">
        <x:f>IFERROR(VLOOKUP(B61,'01 Staff Master'!$A$6:$M$105,4,FALSE),"")</x:f>
      </x:c>
      <x:c r="G61" s="92"/>
      <x:c r="H61" s="94" t="str">
        <x:f>IFERROR(VLOOKUP(G61,'02 Skill Catalogue'!$A$6:$K$95,4,FALSE),"")</x:f>
      </x:c>
      <x:c r="I61" s="94" t="str">
        <x:f>IFERROR(VLOOKUP(D61&amp;"|"&amp;E61&amp;"|"&amp;G61,'03 Position Requirements'!$A$6:$R$285,8,FALSE),"")</x:f>
      </x:c>
      <x:c r="J61" s="94" t="str">
        <x:f>IFERROR(VLOOKUP(D61&amp;"|"&amp;E61&amp;"|"&amp;G61,'03 Position Requirements'!$A$6:$R$285,10,FALSE),"")</x:f>
      </x:c>
      <x:c r="K61" s="94" t="str">
        <x:f>IF(OR(B61="",G61=""),"",IF(COUNTIFS('04 Assessment Log'!$D$6:$D$155,B61,'04 Assessment Log'!$J$6:$J$155,G61,'04 Assessment Log'!$AA$6:$AA$155,"Yes")=0,"",SUMIFS('04 Assessment Log'!$O$6:$O$155,'04 Assessment Log'!$D$6:$D$155,B61,'04 Assessment Log'!$J$6:$J$155,G61,'04 Assessment Log'!$AA$6:$AA$155,"Yes")))</x:f>
      </x:c>
      <x:c r="L61" s="94" t="str">
        <x:f>IF(OR(J61="",K61=""),"",MAX(J61-K61,0))</x:f>
      </x:c>
      <x:c r="M61" s="102" t="str">
        <x:f>IF(COUNTIFS('04 Assessment Log'!$D$6:$D$155,B61,'04 Assessment Log'!$J$6:$J$155,G61,'04 Assessment Log'!$AA$6:$AA$155,"Yes")=0,"",SUMIFS('04 Assessment Log'!$B$6:$B$155,'04 Assessment Log'!$D$6:$D$155,B61,'04 Assessment Log'!$J$6:$J$155,G61,'04 Assessment Log'!$AA$6:$AA$155,"Yes"))</x:f>
      </x:c>
      <x:c r="N61" s="102" t="str">
        <x:f>IF(M61="","",SUMIFS('04 Assessment Log'!$Z$6:$Z$155,'04 Assessment Log'!$D$6:$D$155,B61,'04 Assessment Log'!$J$6:$J$155,G61,'04 Assessment Log'!$AA$6:$AA$155,"Yes"))</x:f>
      </x:c>
      <x:c r="O61" s="94" t="str">
        <x:f>IF(M61="","Not Assessed",IF(N61&lt;TODAY(),"Expired",IF(N61&lt;=TODAY()+30,"Due Soon","Current")))</x:f>
        <x:v>Not Assessed</x:v>
      </x:c>
      <x:c r="P61" s="94" t="str">
        <x:f>IF(OR(B61="",G61=""),"",COUNTIFS('05 Development Actions'!$C$6:$C$105,B61,'05 Development Actions'!$G$6:$G$105,G61,'05 Development Actions'!$A$6:$A$105,"&lt;&gt;",'05 Development Actions'!$AB$6:$AB$105,"&lt;&gt;Closed — Competent",'05 Development Actions'!$AB$6:$AB$105,"&lt;&gt;Cancelled"))</x:f>
      </x:c>
      <x:c r="Q61" s="94" t="str">
        <x:f>IF(OR(B61="",G61=""),"",COUNTIFS('11 Training Attendance'!$E$6:$E$155,B61,'11 Training Attendance'!$K$6:$K$155,"Attended",'11 Training Attendance'!$I$6:$I$155,G61))</x:f>
      </x:c>
      <x:c r="R61" s="102" t="str">
        <x:f>IF(Q61=0,"",MAXIFS('11 Training Attendance'!$D$6:$D$155,'11 Training Attendance'!$E$6:$E$155,B61,'11 Training Attendance'!$K$6:$K$155,"Attended",'11 Training Attendance'!$I$6:$I$155,G61))</x:f>
      </x:c>
      <x:c r="S61" s="94" t="str">
        <x:f>IF(OR(B61="",G61=""),"",COUNTIFS('13 Effectiveness Review'!$C$6:$C$155,B61,'13 Effectiveness Review'!$F$6:$F$155,G61,'13 Effectiveness Review'!$X$6:$X$155,"Closed — Effective"))</x:f>
      </x:c>
      <x:c r="T61" s="94" t="str">
        <x:f>IF(B61="","",IF(K61="","Not Assessed",IF(O61="Expired","Renewal Due",IF(L61=0,"Competent","Skill Gap"))))</x:f>
      </x:c>
      <x:c r="U61" s="94" t="str">
        <x:f>IFERROR(VLOOKUP(D61&amp;"|"&amp;E61&amp;"|"&amp;G61,'03 Position Requirements'!$A$6:$R$285,14,FALSE),"")</x:f>
      </x:c>
      <x:c r="V61" s="92"/>
      <x:c r="W61" s="85" t="str">
        <x:f>IF(B61="","",B61&amp;"|"&amp;COUNTIF($B$6:B61,B61))</x:f>
      </x:c>
      <x:c r="X61" s="85" t="str">
        <x:f>IF(B61="","",G61)</x:f>
      </x:c>
      <x:c r="Y61" s="85" t="str">
        <x:f>IF(B61="","",H61)</x:f>
      </x:c>
      <x:c r="Z61" s="85" t="str">
        <x:f>IF(B61="","",I61)</x:f>
      </x:c>
      <x:c r="AA61" s="85" t="str">
        <x:f>IF(B61="","",J61)</x:f>
      </x:c>
      <x:c r="AB61" s="85" t="str">
        <x:f>IF(B61="","",K61)</x:f>
      </x:c>
      <x:c r="AC61" s="85" t="str">
        <x:f>IF(B61="","",L61)</x:f>
      </x:c>
      <x:c r="AD61" s="85" t="str">
        <x:f>IF(B61="","",M61)</x:f>
      </x:c>
      <x:c r="AE61" s="85" t="str">
        <x:f>IF(B61="","",N61)</x:f>
      </x:c>
      <x:c r="AF61" s="85" t="str">
        <x:f>IF(B61="","",O61)</x:f>
      </x:c>
      <x:c r="AG61" s="85" t="str">
        <x:f>IF(B61="","",P61)</x:f>
      </x:c>
      <x:c r="AH61" s="85" t="str">
        <x:f>IF(B61="","",Q61)</x:f>
      </x:c>
      <x:c r="AI61" s="85" t="str">
        <x:f>IF(B61="","",R61)</x:f>
      </x:c>
      <x:c r="AJ61" s="85" t="str">
        <x:f>IF(B61="","",S61)</x:f>
      </x:c>
      <x:c r="AK61" s="85" t="str">
        <x:f>IF(B61="","",T61)</x:f>
      </x:c>
    </x:row>
    <x:row r="62">
      <x:c r="A62" s="94" t="str">
        <x:f>IF(OR(B62="",G62=""),"",B62&amp;"|"&amp;G62)</x:f>
      </x:c>
      <x:c r="B62" s="92"/>
      <x:c r="C62" s="94" t="str">
        <x:f>IFERROR(VLOOKUP(B62,'01 Staff Master'!$A$6:$M$105,2,FALSE),"")</x:f>
      </x:c>
      <x:c r="D62" s="94" t="str">
        <x:f>IFERROR(VLOOKUP(B62,'01 Staff Master'!$A$6:$M$105,3,FALSE),"")</x:f>
      </x:c>
      <x:c r="E62" s="94" t="str">
        <x:f>IFERROR(VLOOKUP(B62,'01 Staff Master'!$A$6:$M$105,5,FALSE),"")</x:f>
      </x:c>
      <x:c r="F62" s="94" t="str">
        <x:f>IFERROR(VLOOKUP(B62,'01 Staff Master'!$A$6:$M$105,4,FALSE),"")</x:f>
      </x:c>
      <x:c r="G62" s="92"/>
      <x:c r="H62" s="94" t="str">
        <x:f>IFERROR(VLOOKUP(G62,'02 Skill Catalogue'!$A$6:$K$95,4,FALSE),"")</x:f>
      </x:c>
      <x:c r="I62" s="94" t="str">
        <x:f>IFERROR(VLOOKUP(D62&amp;"|"&amp;E62&amp;"|"&amp;G62,'03 Position Requirements'!$A$6:$R$285,8,FALSE),"")</x:f>
      </x:c>
      <x:c r="J62" s="94" t="str">
        <x:f>IFERROR(VLOOKUP(D62&amp;"|"&amp;E62&amp;"|"&amp;G62,'03 Position Requirements'!$A$6:$R$285,10,FALSE),"")</x:f>
      </x:c>
      <x:c r="K62" s="94" t="str">
        <x:f>IF(OR(B62="",G62=""),"",IF(COUNTIFS('04 Assessment Log'!$D$6:$D$155,B62,'04 Assessment Log'!$J$6:$J$155,G62,'04 Assessment Log'!$AA$6:$AA$155,"Yes")=0,"",SUMIFS('04 Assessment Log'!$O$6:$O$155,'04 Assessment Log'!$D$6:$D$155,B62,'04 Assessment Log'!$J$6:$J$155,G62,'04 Assessment Log'!$AA$6:$AA$155,"Yes")))</x:f>
      </x:c>
      <x:c r="L62" s="94" t="str">
        <x:f>IF(OR(J62="",K62=""),"",MAX(J62-K62,0))</x:f>
      </x:c>
      <x:c r="M62" s="102" t="str">
        <x:f>IF(COUNTIFS('04 Assessment Log'!$D$6:$D$155,B62,'04 Assessment Log'!$J$6:$J$155,G62,'04 Assessment Log'!$AA$6:$AA$155,"Yes")=0,"",SUMIFS('04 Assessment Log'!$B$6:$B$155,'04 Assessment Log'!$D$6:$D$155,B62,'04 Assessment Log'!$J$6:$J$155,G62,'04 Assessment Log'!$AA$6:$AA$155,"Yes"))</x:f>
      </x:c>
      <x:c r="N62" s="102" t="str">
        <x:f>IF(M62="","",SUMIFS('04 Assessment Log'!$Z$6:$Z$155,'04 Assessment Log'!$D$6:$D$155,B62,'04 Assessment Log'!$J$6:$J$155,G62,'04 Assessment Log'!$AA$6:$AA$155,"Yes"))</x:f>
      </x:c>
      <x:c r="O62" s="94" t="str">
        <x:f>IF(M62="","Not Assessed",IF(N62&lt;TODAY(),"Expired",IF(N62&lt;=TODAY()+30,"Due Soon","Current")))</x:f>
        <x:v>Not Assessed</x:v>
      </x:c>
      <x:c r="P62" s="94" t="str">
        <x:f>IF(OR(B62="",G62=""),"",COUNTIFS('05 Development Actions'!$C$6:$C$105,B62,'05 Development Actions'!$G$6:$G$105,G62,'05 Development Actions'!$A$6:$A$105,"&lt;&gt;",'05 Development Actions'!$AB$6:$AB$105,"&lt;&gt;Closed — Competent",'05 Development Actions'!$AB$6:$AB$105,"&lt;&gt;Cancelled"))</x:f>
      </x:c>
      <x:c r="Q62" s="94" t="str">
        <x:f>IF(OR(B62="",G62=""),"",COUNTIFS('11 Training Attendance'!$E$6:$E$155,B62,'11 Training Attendance'!$K$6:$K$155,"Attended",'11 Training Attendance'!$I$6:$I$155,G62))</x:f>
      </x:c>
      <x:c r="R62" s="102" t="str">
        <x:f>IF(Q62=0,"",MAXIFS('11 Training Attendance'!$D$6:$D$155,'11 Training Attendance'!$E$6:$E$155,B62,'11 Training Attendance'!$K$6:$K$155,"Attended",'11 Training Attendance'!$I$6:$I$155,G62))</x:f>
      </x:c>
      <x:c r="S62" s="94" t="str">
        <x:f>IF(OR(B62="",G62=""),"",COUNTIFS('13 Effectiveness Review'!$C$6:$C$155,B62,'13 Effectiveness Review'!$F$6:$F$155,G62,'13 Effectiveness Review'!$X$6:$X$155,"Closed — Effective"))</x:f>
      </x:c>
      <x:c r="T62" s="94" t="str">
        <x:f>IF(B62="","",IF(K62="","Not Assessed",IF(O62="Expired","Renewal Due",IF(L62=0,"Competent","Skill Gap"))))</x:f>
      </x:c>
      <x:c r="U62" s="94" t="str">
        <x:f>IFERROR(VLOOKUP(D62&amp;"|"&amp;E62&amp;"|"&amp;G62,'03 Position Requirements'!$A$6:$R$285,14,FALSE),"")</x:f>
      </x:c>
      <x:c r="V62" s="92"/>
      <x:c r="W62" s="85" t="str">
        <x:f>IF(B62="","",B62&amp;"|"&amp;COUNTIF($B$6:B62,B62))</x:f>
      </x:c>
      <x:c r="X62" s="85" t="str">
        <x:f>IF(B62="","",G62)</x:f>
      </x:c>
      <x:c r="Y62" s="85" t="str">
        <x:f>IF(B62="","",H62)</x:f>
      </x:c>
      <x:c r="Z62" s="85" t="str">
        <x:f>IF(B62="","",I62)</x:f>
      </x:c>
      <x:c r="AA62" s="85" t="str">
        <x:f>IF(B62="","",J62)</x:f>
      </x:c>
      <x:c r="AB62" s="85" t="str">
        <x:f>IF(B62="","",K62)</x:f>
      </x:c>
      <x:c r="AC62" s="85" t="str">
        <x:f>IF(B62="","",L62)</x:f>
      </x:c>
      <x:c r="AD62" s="85" t="str">
        <x:f>IF(B62="","",M62)</x:f>
      </x:c>
      <x:c r="AE62" s="85" t="str">
        <x:f>IF(B62="","",N62)</x:f>
      </x:c>
      <x:c r="AF62" s="85" t="str">
        <x:f>IF(B62="","",O62)</x:f>
      </x:c>
      <x:c r="AG62" s="85" t="str">
        <x:f>IF(B62="","",P62)</x:f>
      </x:c>
      <x:c r="AH62" s="85" t="str">
        <x:f>IF(B62="","",Q62)</x:f>
      </x:c>
      <x:c r="AI62" s="85" t="str">
        <x:f>IF(B62="","",R62)</x:f>
      </x:c>
      <x:c r="AJ62" s="85" t="str">
        <x:f>IF(B62="","",S62)</x:f>
      </x:c>
      <x:c r="AK62" s="85" t="str">
        <x:f>IF(B62="","",T62)</x:f>
      </x:c>
    </x:row>
    <x:row r="63">
      <x:c r="A63" s="94" t="str">
        <x:f>IF(OR(B63="",G63=""),"",B63&amp;"|"&amp;G63)</x:f>
      </x:c>
      <x:c r="B63" s="92"/>
      <x:c r="C63" s="94" t="str">
        <x:f>IFERROR(VLOOKUP(B63,'01 Staff Master'!$A$6:$M$105,2,FALSE),"")</x:f>
      </x:c>
      <x:c r="D63" s="94" t="str">
        <x:f>IFERROR(VLOOKUP(B63,'01 Staff Master'!$A$6:$M$105,3,FALSE),"")</x:f>
      </x:c>
      <x:c r="E63" s="94" t="str">
        <x:f>IFERROR(VLOOKUP(B63,'01 Staff Master'!$A$6:$M$105,5,FALSE),"")</x:f>
      </x:c>
      <x:c r="F63" s="94" t="str">
        <x:f>IFERROR(VLOOKUP(B63,'01 Staff Master'!$A$6:$M$105,4,FALSE),"")</x:f>
      </x:c>
      <x:c r="G63" s="92"/>
      <x:c r="H63" s="94" t="str">
        <x:f>IFERROR(VLOOKUP(G63,'02 Skill Catalogue'!$A$6:$K$95,4,FALSE),"")</x:f>
      </x:c>
      <x:c r="I63" s="94" t="str">
        <x:f>IFERROR(VLOOKUP(D63&amp;"|"&amp;E63&amp;"|"&amp;G63,'03 Position Requirements'!$A$6:$R$285,8,FALSE),"")</x:f>
      </x:c>
      <x:c r="J63" s="94" t="str">
        <x:f>IFERROR(VLOOKUP(D63&amp;"|"&amp;E63&amp;"|"&amp;G63,'03 Position Requirements'!$A$6:$R$285,10,FALSE),"")</x:f>
      </x:c>
      <x:c r="K63" s="94" t="str">
        <x:f>IF(OR(B63="",G63=""),"",IF(COUNTIFS('04 Assessment Log'!$D$6:$D$155,B63,'04 Assessment Log'!$J$6:$J$155,G63,'04 Assessment Log'!$AA$6:$AA$155,"Yes")=0,"",SUMIFS('04 Assessment Log'!$O$6:$O$155,'04 Assessment Log'!$D$6:$D$155,B63,'04 Assessment Log'!$J$6:$J$155,G63,'04 Assessment Log'!$AA$6:$AA$155,"Yes")))</x:f>
      </x:c>
      <x:c r="L63" s="94" t="str">
        <x:f>IF(OR(J63="",K63=""),"",MAX(J63-K63,0))</x:f>
      </x:c>
      <x:c r="M63" s="102" t="str">
        <x:f>IF(COUNTIFS('04 Assessment Log'!$D$6:$D$155,B63,'04 Assessment Log'!$J$6:$J$155,G63,'04 Assessment Log'!$AA$6:$AA$155,"Yes")=0,"",SUMIFS('04 Assessment Log'!$B$6:$B$155,'04 Assessment Log'!$D$6:$D$155,B63,'04 Assessment Log'!$J$6:$J$155,G63,'04 Assessment Log'!$AA$6:$AA$155,"Yes"))</x:f>
      </x:c>
      <x:c r="N63" s="102" t="str">
        <x:f>IF(M63="","",SUMIFS('04 Assessment Log'!$Z$6:$Z$155,'04 Assessment Log'!$D$6:$D$155,B63,'04 Assessment Log'!$J$6:$J$155,G63,'04 Assessment Log'!$AA$6:$AA$155,"Yes"))</x:f>
      </x:c>
      <x:c r="O63" s="94" t="str">
        <x:f>IF(M63="","Not Assessed",IF(N63&lt;TODAY(),"Expired",IF(N63&lt;=TODAY()+30,"Due Soon","Current")))</x:f>
        <x:v>Not Assessed</x:v>
      </x:c>
      <x:c r="P63" s="94" t="str">
        <x:f>IF(OR(B63="",G63=""),"",COUNTIFS('05 Development Actions'!$C$6:$C$105,B63,'05 Development Actions'!$G$6:$G$105,G63,'05 Development Actions'!$A$6:$A$105,"&lt;&gt;",'05 Development Actions'!$AB$6:$AB$105,"&lt;&gt;Closed — Competent",'05 Development Actions'!$AB$6:$AB$105,"&lt;&gt;Cancelled"))</x:f>
      </x:c>
      <x:c r="Q63" s="94" t="str">
        <x:f>IF(OR(B63="",G63=""),"",COUNTIFS('11 Training Attendance'!$E$6:$E$155,B63,'11 Training Attendance'!$K$6:$K$155,"Attended",'11 Training Attendance'!$I$6:$I$155,G63))</x:f>
      </x:c>
      <x:c r="R63" s="102" t="str">
        <x:f>IF(Q63=0,"",MAXIFS('11 Training Attendance'!$D$6:$D$155,'11 Training Attendance'!$E$6:$E$155,B63,'11 Training Attendance'!$K$6:$K$155,"Attended",'11 Training Attendance'!$I$6:$I$155,G63))</x:f>
      </x:c>
      <x:c r="S63" s="94" t="str">
        <x:f>IF(OR(B63="",G63=""),"",COUNTIFS('13 Effectiveness Review'!$C$6:$C$155,B63,'13 Effectiveness Review'!$F$6:$F$155,G63,'13 Effectiveness Review'!$X$6:$X$155,"Closed — Effective"))</x:f>
      </x:c>
      <x:c r="T63" s="94" t="str">
        <x:f>IF(B63="","",IF(K63="","Not Assessed",IF(O63="Expired","Renewal Due",IF(L63=0,"Competent","Skill Gap"))))</x:f>
      </x:c>
      <x:c r="U63" s="94" t="str">
        <x:f>IFERROR(VLOOKUP(D63&amp;"|"&amp;E63&amp;"|"&amp;G63,'03 Position Requirements'!$A$6:$R$285,14,FALSE),"")</x:f>
      </x:c>
      <x:c r="V63" s="92"/>
      <x:c r="W63" s="85" t="str">
        <x:f>IF(B63="","",B63&amp;"|"&amp;COUNTIF($B$6:B63,B63))</x:f>
      </x:c>
      <x:c r="X63" s="85" t="str">
        <x:f>IF(B63="","",G63)</x:f>
      </x:c>
      <x:c r="Y63" s="85" t="str">
        <x:f>IF(B63="","",H63)</x:f>
      </x:c>
      <x:c r="Z63" s="85" t="str">
        <x:f>IF(B63="","",I63)</x:f>
      </x:c>
      <x:c r="AA63" s="85" t="str">
        <x:f>IF(B63="","",J63)</x:f>
      </x:c>
      <x:c r="AB63" s="85" t="str">
        <x:f>IF(B63="","",K63)</x:f>
      </x:c>
      <x:c r="AC63" s="85" t="str">
        <x:f>IF(B63="","",L63)</x:f>
      </x:c>
      <x:c r="AD63" s="85" t="str">
        <x:f>IF(B63="","",M63)</x:f>
      </x:c>
      <x:c r="AE63" s="85" t="str">
        <x:f>IF(B63="","",N63)</x:f>
      </x:c>
      <x:c r="AF63" s="85" t="str">
        <x:f>IF(B63="","",O63)</x:f>
      </x:c>
      <x:c r="AG63" s="85" t="str">
        <x:f>IF(B63="","",P63)</x:f>
      </x:c>
      <x:c r="AH63" s="85" t="str">
        <x:f>IF(B63="","",Q63)</x:f>
      </x:c>
      <x:c r="AI63" s="85" t="str">
        <x:f>IF(B63="","",R63)</x:f>
      </x:c>
      <x:c r="AJ63" s="85" t="str">
        <x:f>IF(B63="","",S63)</x:f>
      </x:c>
      <x:c r="AK63" s="85" t="str">
        <x:f>IF(B63="","",T63)</x:f>
      </x:c>
    </x:row>
    <x:row r="64">
      <x:c r="A64" s="94" t="str">
        <x:f>IF(OR(B64="",G64=""),"",B64&amp;"|"&amp;G64)</x:f>
      </x:c>
      <x:c r="B64" s="92"/>
      <x:c r="C64" s="94" t="str">
        <x:f>IFERROR(VLOOKUP(B64,'01 Staff Master'!$A$6:$M$105,2,FALSE),"")</x:f>
      </x:c>
      <x:c r="D64" s="94" t="str">
        <x:f>IFERROR(VLOOKUP(B64,'01 Staff Master'!$A$6:$M$105,3,FALSE),"")</x:f>
      </x:c>
      <x:c r="E64" s="94" t="str">
        <x:f>IFERROR(VLOOKUP(B64,'01 Staff Master'!$A$6:$M$105,5,FALSE),"")</x:f>
      </x:c>
      <x:c r="F64" s="94" t="str">
        <x:f>IFERROR(VLOOKUP(B64,'01 Staff Master'!$A$6:$M$105,4,FALSE),"")</x:f>
      </x:c>
      <x:c r="G64" s="92"/>
      <x:c r="H64" s="94" t="str">
        <x:f>IFERROR(VLOOKUP(G64,'02 Skill Catalogue'!$A$6:$K$95,4,FALSE),"")</x:f>
      </x:c>
      <x:c r="I64" s="94" t="str">
        <x:f>IFERROR(VLOOKUP(D64&amp;"|"&amp;E64&amp;"|"&amp;G64,'03 Position Requirements'!$A$6:$R$285,8,FALSE),"")</x:f>
      </x:c>
      <x:c r="J64" s="94" t="str">
        <x:f>IFERROR(VLOOKUP(D64&amp;"|"&amp;E64&amp;"|"&amp;G64,'03 Position Requirements'!$A$6:$R$285,10,FALSE),"")</x:f>
      </x:c>
      <x:c r="K64" s="94" t="str">
        <x:f>IF(OR(B64="",G64=""),"",IF(COUNTIFS('04 Assessment Log'!$D$6:$D$155,B64,'04 Assessment Log'!$J$6:$J$155,G64,'04 Assessment Log'!$AA$6:$AA$155,"Yes")=0,"",SUMIFS('04 Assessment Log'!$O$6:$O$155,'04 Assessment Log'!$D$6:$D$155,B64,'04 Assessment Log'!$J$6:$J$155,G64,'04 Assessment Log'!$AA$6:$AA$155,"Yes")))</x:f>
      </x:c>
      <x:c r="L64" s="94" t="str">
        <x:f>IF(OR(J64="",K64=""),"",MAX(J64-K64,0))</x:f>
      </x:c>
      <x:c r="M64" s="102" t="str">
        <x:f>IF(COUNTIFS('04 Assessment Log'!$D$6:$D$155,B64,'04 Assessment Log'!$J$6:$J$155,G64,'04 Assessment Log'!$AA$6:$AA$155,"Yes")=0,"",SUMIFS('04 Assessment Log'!$B$6:$B$155,'04 Assessment Log'!$D$6:$D$155,B64,'04 Assessment Log'!$J$6:$J$155,G64,'04 Assessment Log'!$AA$6:$AA$155,"Yes"))</x:f>
      </x:c>
      <x:c r="N64" s="102" t="str">
        <x:f>IF(M64="","",SUMIFS('04 Assessment Log'!$Z$6:$Z$155,'04 Assessment Log'!$D$6:$D$155,B64,'04 Assessment Log'!$J$6:$J$155,G64,'04 Assessment Log'!$AA$6:$AA$155,"Yes"))</x:f>
      </x:c>
      <x:c r="O64" s="94" t="str">
        <x:f>IF(M64="","Not Assessed",IF(N64&lt;TODAY(),"Expired",IF(N64&lt;=TODAY()+30,"Due Soon","Current")))</x:f>
        <x:v>Not Assessed</x:v>
      </x:c>
      <x:c r="P64" s="94" t="str">
        <x:f>IF(OR(B64="",G64=""),"",COUNTIFS('05 Development Actions'!$C$6:$C$105,B64,'05 Development Actions'!$G$6:$G$105,G64,'05 Development Actions'!$A$6:$A$105,"&lt;&gt;",'05 Development Actions'!$AB$6:$AB$105,"&lt;&gt;Closed — Competent",'05 Development Actions'!$AB$6:$AB$105,"&lt;&gt;Cancelled"))</x:f>
      </x:c>
      <x:c r="Q64" s="94" t="str">
        <x:f>IF(OR(B64="",G64=""),"",COUNTIFS('11 Training Attendance'!$E$6:$E$155,B64,'11 Training Attendance'!$K$6:$K$155,"Attended",'11 Training Attendance'!$I$6:$I$155,G64))</x:f>
      </x:c>
      <x:c r="R64" s="102" t="str">
        <x:f>IF(Q64=0,"",MAXIFS('11 Training Attendance'!$D$6:$D$155,'11 Training Attendance'!$E$6:$E$155,B64,'11 Training Attendance'!$K$6:$K$155,"Attended",'11 Training Attendance'!$I$6:$I$155,G64))</x:f>
      </x:c>
      <x:c r="S64" s="94" t="str">
        <x:f>IF(OR(B64="",G64=""),"",COUNTIFS('13 Effectiveness Review'!$C$6:$C$155,B64,'13 Effectiveness Review'!$F$6:$F$155,G64,'13 Effectiveness Review'!$X$6:$X$155,"Closed — Effective"))</x:f>
      </x:c>
      <x:c r="T64" s="94" t="str">
        <x:f>IF(B64="","",IF(K64="","Not Assessed",IF(O64="Expired","Renewal Due",IF(L64=0,"Competent","Skill Gap"))))</x:f>
      </x:c>
      <x:c r="U64" s="94" t="str">
        <x:f>IFERROR(VLOOKUP(D64&amp;"|"&amp;E64&amp;"|"&amp;G64,'03 Position Requirements'!$A$6:$R$285,14,FALSE),"")</x:f>
      </x:c>
      <x:c r="V64" s="92"/>
      <x:c r="W64" s="85" t="str">
        <x:f>IF(B64="","",B64&amp;"|"&amp;COUNTIF($B$6:B64,B64))</x:f>
      </x:c>
      <x:c r="X64" s="85" t="str">
        <x:f>IF(B64="","",G64)</x:f>
      </x:c>
      <x:c r="Y64" s="85" t="str">
        <x:f>IF(B64="","",H64)</x:f>
      </x:c>
      <x:c r="Z64" s="85" t="str">
        <x:f>IF(B64="","",I64)</x:f>
      </x:c>
      <x:c r="AA64" s="85" t="str">
        <x:f>IF(B64="","",J64)</x:f>
      </x:c>
      <x:c r="AB64" s="85" t="str">
        <x:f>IF(B64="","",K64)</x:f>
      </x:c>
      <x:c r="AC64" s="85" t="str">
        <x:f>IF(B64="","",L64)</x:f>
      </x:c>
      <x:c r="AD64" s="85" t="str">
        <x:f>IF(B64="","",M64)</x:f>
      </x:c>
      <x:c r="AE64" s="85" t="str">
        <x:f>IF(B64="","",N64)</x:f>
      </x:c>
      <x:c r="AF64" s="85" t="str">
        <x:f>IF(B64="","",O64)</x:f>
      </x:c>
      <x:c r="AG64" s="85" t="str">
        <x:f>IF(B64="","",P64)</x:f>
      </x:c>
      <x:c r="AH64" s="85" t="str">
        <x:f>IF(B64="","",Q64)</x:f>
      </x:c>
      <x:c r="AI64" s="85" t="str">
        <x:f>IF(B64="","",R64)</x:f>
      </x:c>
      <x:c r="AJ64" s="85" t="str">
        <x:f>IF(B64="","",S64)</x:f>
      </x:c>
      <x:c r="AK64" s="85" t="str">
        <x:f>IF(B64="","",T64)</x:f>
      </x:c>
    </x:row>
    <x:row r="65">
      <x:c r="A65" s="94" t="str">
        <x:f>IF(OR(B65="",G65=""),"",B65&amp;"|"&amp;G65)</x:f>
      </x:c>
      <x:c r="B65" s="92"/>
      <x:c r="C65" s="94" t="str">
        <x:f>IFERROR(VLOOKUP(B65,'01 Staff Master'!$A$6:$M$105,2,FALSE),"")</x:f>
      </x:c>
      <x:c r="D65" s="94" t="str">
        <x:f>IFERROR(VLOOKUP(B65,'01 Staff Master'!$A$6:$M$105,3,FALSE),"")</x:f>
      </x:c>
      <x:c r="E65" s="94" t="str">
        <x:f>IFERROR(VLOOKUP(B65,'01 Staff Master'!$A$6:$M$105,5,FALSE),"")</x:f>
      </x:c>
      <x:c r="F65" s="94" t="str">
        <x:f>IFERROR(VLOOKUP(B65,'01 Staff Master'!$A$6:$M$105,4,FALSE),"")</x:f>
      </x:c>
      <x:c r="G65" s="92"/>
      <x:c r="H65" s="94" t="str">
        <x:f>IFERROR(VLOOKUP(G65,'02 Skill Catalogue'!$A$6:$K$95,4,FALSE),"")</x:f>
      </x:c>
      <x:c r="I65" s="94" t="str">
        <x:f>IFERROR(VLOOKUP(D65&amp;"|"&amp;E65&amp;"|"&amp;G65,'03 Position Requirements'!$A$6:$R$285,8,FALSE),"")</x:f>
      </x:c>
      <x:c r="J65" s="94" t="str">
        <x:f>IFERROR(VLOOKUP(D65&amp;"|"&amp;E65&amp;"|"&amp;G65,'03 Position Requirements'!$A$6:$R$285,10,FALSE),"")</x:f>
      </x:c>
      <x:c r="K65" s="94" t="str">
        <x:f>IF(OR(B65="",G65=""),"",IF(COUNTIFS('04 Assessment Log'!$D$6:$D$155,B65,'04 Assessment Log'!$J$6:$J$155,G65,'04 Assessment Log'!$AA$6:$AA$155,"Yes")=0,"",SUMIFS('04 Assessment Log'!$O$6:$O$155,'04 Assessment Log'!$D$6:$D$155,B65,'04 Assessment Log'!$J$6:$J$155,G65,'04 Assessment Log'!$AA$6:$AA$155,"Yes")))</x:f>
      </x:c>
      <x:c r="L65" s="94" t="str">
        <x:f>IF(OR(J65="",K65=""),"",MAX(J65-K65,0))</x:f>
      </x:c>
      <x:c r="M65" s="102" t="str">
        <x:f>IF(COUNTIFS('04 Assessment Log'!$D$6:$D$155,B65,'04 Assessment Log'!$J$6:$J$155,G65,'04 Assessment Log'!$AA$6:$AA$155,"Yes")=0,"",SUMIFS('04 Assessment Log'!$B$6:$B$155,'04 Assessment Log'!$D$6:$D$155,B65,'04 Assessment Log'!$J$6:$J$155,G65,'04 Assessment Log'!$AA$6:$AA$155,"Yes"))</x:f>
      </x:c>
      <x:c r="N65" s="102" t="str">
        <x:f>IF(M65="","",SUMIFS('04 Assessment Log'!$Z$6:$Z$155,'04 Assessment Log'!$D$6:$D$155,B65,'04 Assessment Log'!$J$6:$J$155,G65,'04 Assessment Log'!$AA$6:$AA$155,"Yes"))</x:f>
      </x:c>
      <x:c r="O65" s="94" t="str">
        <x:f>IF(M65="","Not Assessed",IF(N65&lt;TODAY(),"Expired",IF(N65&lt;=TODAY()+30,"Due Soon","Current")))</x:f>
        <x:v>Not Assessed</x:v>
      </x:c>
      <x:c r="P65" s="94" t="str">
        <x:f>IF(OR(B65="",G65=""),"",COUNTIFS('05 Development Actions'!$C$6:$C$105,B65,'05 Development Actions'!$G$6:$G$105,G65,'05 Development Actions'!$A$6:$A$105,"&lt;&gt;",'05 Development Actions'!$AB$6:$AB$105,"&lt;&gt;Closed — Competent",'05 Development Actions'!$AB$6:$AB$105,"&lt;&gt;Cancelled"))</x:f>
      </x:c>
      <x:c r="Q65" s="94" t="str">
        <x:f>IF(OR(B65="",G65=""),"",COUNTIFS('11 Training Attendance'!$E$6:$E$155,B65,'11 Training Attendance'!$K$6:$K$155,"Attended",'11 Training Attendance'!$I$6:$I$155,G65))</x:f>
      </x:c>
      <x:c r="R65" s="102" t="str">
        <x:f>IF(Q65=0,"",MAXIFS('11 Training Attendance'!$D$6:$D$155,'11 Training Attendance'!$E$6:$E$155,B65,'11 Training Attendance'!$K$6:$K$155,"Attended",'11 Training Attendance'!$I$6:$I$155,G65))</x:f>
      </x:c>
      <x:c r="S65" s="94" t="str">
        <x:f>IF(OR(B65="",G65=""),"",COUNTIFS('13 Effectiveness Review'!$C$6:$C$155,B65,'13 Effectiveness Review'!$F$6:$F$155,G65,'13 Effectiveness Review'!$X$6:$X$155,"Closed — Effective"))</x:f>
      </x:c>
      <x:c r="T65" s="94" t="str">
        <x:f>IF(B65="","",IF(K65="","Not Assessed",IF(O65="Expired","Renewal Due",IF(L65=0,"Competent","Skill Gap"))))</x:f>
      </x:c>
      <x:c r="U65" s="94" t="str">
        <x:f>IFERROR(VLOOKUP(D65&amp;"|"&amp;E65&amp;"|"&amp;G65,'03 Position Requirements'!$A$6:$R$285,14,FALSE),"")</x:f>
      </x:c>
      <x:c r="V65" s="92"/>
      <x:c r="W65" s="85" t="str">
        <x:f>IF(B65="","",B65&amp;"|"&amp;COUNTIF($B$6:B65,B65))</x:f>
      </x:c>
      <x:c r="X65" s="85" t="str">
        <x:f>IF(B65="","",G65)</x:f>
      </x:c>
      <x:c r="Y65" s="85" t="str">
        <x:f>IF(B65="","",H65)</x:f>
      </x:c>
      <x:c r="Z65" s="85" t="str">
        <x:f>IF(B65="","",I65)</x:f>
      </x:c>
      <x:c r="AA65" s="85" t="str">
        <x:f>IF(B65="","",J65)</x:f>
      </x:c>
      <x:c r="AB65" s="85" t="str">
        <x:f>IF(B65="","",K65)</x:f>
      </x:c>
      <x:c r="AC65" s="85" t="str">
        <x:f>IF(B65="","",L65)</x:f>
      </x:c>
      <x:c r="AD65" s="85" t="str">
        <x:f>IF(B65="","",M65)</x:f>
      </x:c>
      <x:c r="AE65" s="85" t="str">
        <x:f>IF(B65="","",N65)</x:f>
      </x:c>
      <x:c r="AF65" s="85" t="str">
        <x:f>IF(B65="","",O65)</x:f>
      </x:c>
      <x:c r="AG65" s="85" t="str">
        <x:f>IF(B65="","",P65)</x:f>
      </x:c>
      <x:c r="AH65" s="85" t="str">
        <x:f>IF(B65="","",Q65)</x:f>
      </x:c>
      <x:c r="AI65" s="85" t="str">
        <x:f>IF(B65="","",R65)</x:f>
      </x:c>
      <x:c r="AJ65" s="85" t="str">
        <x:f>IF(B65="","",S65)</x:f>
      </x:c>
      <x:c r="AK65" s="85" t="str">
        <x:f>IF(B65="","",T65)</x:f>
      </x:c>
    </x:row>
    <x:row r="66">
      <x:c r="A66" s="94" t="str">
        <x:f>IF(OR(B66="",G66=""),"",B66&amp;"|"&amp;G66)</x:f>
      </x:c>
      <x:c r="B66" s="92"/>
      <x:c r="C66" s="94" t="str">
        <x:f>IFERROR(VLOOKUP(B66,'01 Staff Master'!$A$6:$M$105,2,FALSE),"")</x:f>
      </x:c>
      <x:c r="D66" s="94" t="str">
        <x:f>IFERROR(VLOOKUP(B66,'01 Staff Master'!$A$6:$M$105,3,FALSE),"")</x:f>
      </x:c>
      <x:c r="E66" s="94" t="str">
        <x:f>IFERROR(VLOOKUP(B66,'01 Staff Master'!$A$6:$M$105,5,FALSE),"")</x:f>
      </x:c>
      <x:c r="F66" s="94" t="str">
        <x:f>IFERROR(VLOOKUP(B66,'01 Staff Master'!$A$6:$M$105,4,FALSE),"")</x:f>
      </x:c>
      <x:c r="G66" s="92"/>
      <x:c r="H66" s="94" t="str">
        <x:f>IFERROR(VLOOKUP(G66,'02 Skill Catalogue'!$A$6:$K$95,4,FALSE),"")</x:f>
      </x:c>
      <x:c r="I66" s="94" t="str">
        <x:f>IFERROR(VLOOKUP(D66&amp;"|"&amp;E66&amp;"|"&amp;G66,'03 Position Requirements'!$A$6:$R$285,8,FALSE),"")</x:f>
      </x:c>
      <x:c r="J66" s="94" t="str">
        <x:f>IFERROR(VLOOKUP(D66&amp;"|"&amp;E66&amp;"|"&amp;G66,'03 Position Requirements'!$A$6:$R$285,10,FALSE),"")</x:f>
      </x:c>
      <x:c r="K66" s="94" t="str">
        <x:f>IF(OR(B66="",G66=""),"",IF(COUNTIFS('04 Assessment Log'!$D$6:$D$155,B66,'04 Assessment Log'!$J$6:$J$155,G66,'04 Assessment Log'!$AA$6:$AA$155,"Yes")=0,"",SUMIFS('04 Assessment Log'!$O$6:$O$155,'04 Assessment Log'!$D$6:$D$155,B66,'04 Assessment Log'!$J$6:$J$155,G66,'04 Assessment Log'!$AA$6:$AA$155,"Yes")))</x:f>
      </x:c>
      <x:c r="L66" s="94" t="str">
        <x:f>IF(OR(J66="",K66=""),"",MAX(J66-K66,0))</x:f>
      </x:c>
      <x:c r="M66" s="102" t="str">
        <x:f>IF(COUNTIFS('04 Assessment Log'!$D$6:$D$155,B66,'04 Assessment Log'!$J$6:$J$155,G66,'04 Assessment Log'!$AA$6:$AA$155,"Yes")=0,"",SUMIFS('04 Assessment Log'!$B$6:$B$155,'04 Assessment Log'!$D$6:$D$155,B66,'04 Assessment Log'!$J$6:$J$155,G66,'04 Assessment Log'!$AA$6:$AA$155,"Yes"))</x:f>
      </x:c>
      <x:c r="N66" s="102" t="str">
        <x:f>IF(M66="","",SUMIFS('04 Assessment Log'!$Z$6:$Z$155,'04 Assessment Log'!$D$6:$D$155,B66,'04 Assessment Log'!$J$6:$J$155,G66,'04 Assessment Log'!$AA$6:$AA$155,"Yes"))</x:f>
      </x:c>
      <x:c r="O66" s="94" t="str">
        <x:f>IF(M66="","Not Assessed",IF(N66&lt;TODAY(),"Expired",IF(N66&lt;=TODAY()+30,"Due Soon","Current")))</x:f>
        <x:v>Not Assessed</x:v>
      </x:c>
      <x:c r="P66" s="94" t="str">
        <x:f>IF(OR(B66="",G66=""),"",COUNTIFS('05 Development Actions'!$C$6:$C$105,B66,'05 Development Actions'!$G$6:$G$105,G66,'05 Development Actions'!$A$6:$A$105,"&lt;&gt;",'05 Development Actions'!$AB$6:$AB$105,"&lt;&gt;Closed — Competent",'05 Development Actions'!$AB$6:$AB$105,"&lt;&gt;Cancelled"))</x:f>
      </x:c>
      <x:c r="Q66" s="94" t="str">
        <x:f>IF(OR(B66="",G66=""),"",COUNTIFS('11 Training Attendance'!$E$6:$E$155,B66,'11 Training Attendance'!$K$6:$K$155,"Attended",'11 Training Attendance'!$I$6:$I$155,G66))</x:f>
      </x:c>
      <x:c r="R66" s="102" t="str">
        <x:f>IF(Q66=0,"",MAXIFS('11 Training Attendance'!$D$6:$D$155,'11 Training Attendance'!$E$6:$E$155,B66,'11 Training Attendance'!$K$6:$K$155,"Attended",'11 Training Attendance'!$I$6:$I$155,G66))</x:f>
      </x:c>
      <x:c r="S66" s="94" t="str">
        <x:f>IF(OR(B66="",G66=""),"",COUNTIFS('13 Effectiveness Review'!$C$6:$C$155,B66,'13 Effectiveness Review'!$F$6:$F$155,G66,'13 Effectiveness Review'!$X$6:$X$155,"Closed — Effective"))</x:f>
      </x:c>
      <x:c r="T66" s="94" t="str">
        <x:f>IF(B66="","",IF(K66="","Not Assessed",IF(O66="Expired","Renewal Due",IF(L66=0,"Competent","Skill Gap"))))</x:f>
      </x:c>
      <x:c r="U66" s="94" t="str">
        <x:f>IFERROR(VLOOKUP(D66&amp;"|"&amp;E66&amp;"|"&amp;G66,'03 Position Requirements'!$A$6:$R$285,14,FALSE),"")</x:f>
      </x:c>
      <x:c r="V66" s="92"/>
      <x:c r="W66" s="85" t="str">
        <x:f>IF(B66="","",B66&amp;"|"&amp;COUNTIF($B$6:B66,B66))</x:f>
      </x:c>
      <x:c r="X66" s="85" t="str">
        <x:f>IF(B66="","",G66)</x:f>
      </x:c>
      <x:c r="Y66" s="85" t="str">
        <x:f>IF(B66="","",H66)</x:f>
      </x:c>
      <x:c r="Z66" s="85" t="str">
        <x:f>IF(B66="","",I66)</x:f>
      </x:c>
      <x:c r="AA66" s="85" t="str">
        <x:f>IF(B66="","",J66)</x:f>
      </x:c>
      <x:c r="AB66" s="85" t="str">
        <x:f>IF(B66="","",K66)</x:f>
      </x:c>
      <x:c r="AC66" s="85" t="str">
        <x:f>IF(B66="","",L66)</x:f>
      </x:c>
      <x:c r="AD66" s="85" t="str">
        <x:f>IF(B66="","",M66)</x:f>
      </x:c>
      <x:c r="AE66" s="85" t="str">
        <x:f>IF(B66="","",N66)</x:f>
      </x:c>
      <x:c r="AF66" s="85" t="str">
        <x:f>IF(B66="","",O66)</x:f>
      </x:c>
      <x:c r="AG66" s="85" t="str">
        <x:f>IF(B66="","",P66)</x:f>
      </x:c>
      <x:c r="AH66" s="85" t="str">
        <x:f>IF(B66="","",Q66)</x:f>
      </x:c>
      <x:c r="AI66" s="85" t="str">
        <x:f>IF(B66="","",R66)</x:f>
      </x:c>
      <x:c r="AJ66" s="85" t="str">
        <x:f>IF(B66="","",S66)</x:f>
      </x:c>
      <x:c r="AK66" s="85" t="str">
        <x:f>IF(B66="","",T66)</x:f>
      </x:c>
    </x:row>
    <x:row r="67">
      <x:c r="A67" s="94" t="str">
        <x:f>IF(OR(B67="",G67=""),"",B67&amp;"|"&amp;G67)</x:f>
      </x:c>
      <x:c r="B67" s="92"/>
      <x:c r="C67" s="94" t="str">
        <x:f>IFERROR(VLOOKUP(B67,'01 Staff Master'!$A$6:$M$105,2,FALSE),"")</x:f>
      </x:c>
      <x:c r="D67" s="94" t="str">
        <x:f>IFERROR(VLOOKUP(B67,'01 Staff Master'!$A$6:$M$105,3,FALSE),"")</x:f>
      </x:c>
      <x:c r="E67" s="94" t="str">
        <x:f>IFERROR(VLOOKUP(B67,'01 Staff Master'!$A$6:$M$105,5,FALSE),"")</x:f>
      </x:c>
      <x:c r="F67" s="94" t="str">
        <x:f>IFERROR(VLOOKUP(B67,'01 Staff Master'!$A$6:$M$105,4,FALSE),"")</x:f>
      </x:c>
      <x:c r="G67" s="92"/>
      <x:c r="H67" s="94" t="str">
        <x:f>IFERROR(VLOOKUP(G67,'02 Skill Catalogue'!$A$6:$K$95,4,FALSE),"")</x:f>
      </x:c>
      <x:c r="I67" s="94" t="str">
        <x:f>IFERROR(VLOOKUP(D67&amp;"|"&amp;E67&amp;"|"&amp;G67,'03 Position Requirements'!$A$6:$R$285,8,FALSE),"")</x:f>
      </x:c>
      <x:c r="J67" s="94" t="str">
        <x:f>IFERROR(VLOOKUP(D67&amp;"|"&amp;E67&amp;"|"&amp;G67,'03 Position Requirements'!$A$6:$R$285,10,FALSE),"")</x:f>
      </x:c>
      <x:c r="K67" s="94" t="str">
        <x:f>IF(OR(B67="",G67=""),"",IF(COUNTIFS('04 Assessment Log'!$D$6:$D$155,B67,'04 Assessment Log'!$J$6:$J$155,G67,'04 Assessment Log'!$AA$6:$AA$155,"Yes")=0,"",SUMIFS('04 Assessment Log'!$O$6:$O$155,'04 Assessment Log'!$D$6:$D$155,B67,'04 Assessment Log'!$J$6:$J$155,G67,'04 Assessment Log'!$AA$6:$AA$155,"Yes")))</x:f>
      </x:c>
      <x:c r="L67" s="94" t="str">
        <x:f>IF(OR(J67="",K67=""),"",MAX(J67-K67,0))</x:f>
      </x:c>
      <x:c r="M67" s="102" t="str">
        <x:f>IF(COUNTIFS('04 Assessment Log'!$D$6:$D$155,B67,'04 Assessment Log'!$J$6:$J$155,G67,'04 Assessment Log'!$AA$6:$AA$155,"Yes")=0,"",SUMIFS('04 Assessment Log'!$B$6:$B$155,'04 Assessment Log'!$D$6:$D$155,B67,'04 Assessment Log'!$J$6:$J$155,G67,'04 Assessment Log'!$AA$6:$AA$155,"Yes"))</x:f>
      </x:c>
      <x:c r="N67" s="102" t="str">
        <x:f>IF(M67="","",SUMIFS('04 Assessment Log'!$Z$6:$Z$155,'04 Assessment Log'!$D$6:$D$155,B67,'04 Assessment Log'!$J$6:$J$155,G67,'04 Assessment Log'!$AA$6:$AA$155,"Yes"))</x:f>
      </x:c>
      <x:c r="O67" s="94" t="str">
        <x:f>IF(M67="","Not Assessed",IF(N67&lt;TODAY(),"Expired",IF(N67&lt;=TODAY()+30,"Due Soon","Current")))</x:f>
        <x:v>Not Assessed</x:v>
      </x:c>
      <x:c r="P67" s="94" t="str">
        <x:f>IF(OR(B67="",G67=""),"",COUNTIFS('05 Development Actions'!$C$6:$C$105,B67,'05 Development Actions'!$G$6:$G$105,G67,'05 Development Actions'!$A$6:$A$105,"&lt;&gt;",'05 Development Actions'!$AB$6:$AB$105,"&lt;&gt;Closed — Competent",'05 Development Actions'!$AB$6:$AB$105,"&lt;&gt;Cancelled"))</x:f>
      </x:c>
      <x:c r="Q67" s="94" t="str">
        <x:f>IF(OR(B67="",G67=""),"",COUNTIFS('11 Training Attendance'!$E$6:$E$155,B67,'11 Training Attendance'!$K$6:$K$155,"Attended",'11 Training Attendance'!$I$6:$I$155,G67))</x:f>
      </x:c>
      <x:c r="R67" s="102" t="str">
        <x:f>IF(Q67=0,"",MAXIFS('11 Training Attendance'!$D$6:$D$155,'11 Training Attendance'!$E$6:$E$155,B67,'11 Training Attendance'!$K$6:$K$155,"Attended",'11 Training Attendance'!$I$6:$I$155,G67))</x:f>
      </x:c>
      <x:c r="S67" s="94" t="str">
        <x:f>IF(OR(B67="",G67=""),"",COUNTIFS('13 Effectiveness Review'!$C$6:$C$155,B67,'13 Effectiveness Review'!$F$6:$F$155,G67,'13 Effectiveness Review'!$X$6:$X$155,"Closed — Effective"))</x:f>
      </x:c>
      <x:c r="T67" s="94" t="str">
        <x:f>IF(B67="","",IF(K67="","Not Assessed",IF(O67="Expired","Renewal Due",IF(L67=0,"Competent","Skill Gap"))))</x:f>
      </x:c>
      <x:c r="U67" s="94" t="str">
        <x:f>IFERROR(VLOOKUP(D67&amp;"|"&amp;E67&amp;"|"&amp;G67,'03 Position Requirements'!$A$6:$R$285,14,FALSE),"")</x:f>
      </x:c>
      <x:c r="V67" s="92"/>
      <x:c r="W67" s="85" t="str">
        <x:f>IF(B67="","",B67&amp;"|"&amp;COUNTIF($B$6:B67,B67))</x:f>
      </x:c>
      <x:c r="X67" s="85" t="str">
        <x:f>IF(B67="","",G67)</x:f>
      </x:c>
      <x:c r="Y67" s="85" t="str">
        <x:f>IF(B67="","",H67)</x:f>
      </x:c>
      <x:c r="Z67" s="85" t="str">
        <x:f>IF(B67="","",I67)</x:f>
      </x:c>
      <x:c r="AA67" s="85" t="str">
        <x:f>IF(B67="","",J67)</x:f>
      </x:c>
      <x:c r="AB67" s="85" t="str">
        <x:f>IF(B67="","",K67)</x:f>
      </x:c>
      <x:c r="AC67" s="85" t="str">
        <x:f>IF(B67="","",L67)</x:f>
      </x:c>
      <x:c r="AD67" s="85" t="str">
        <x:f>IF(B67="","",M67)</x:f>
      </x:c>
      <x:c r="AE67" s="85" t="str">
        <x:f>IF(B67="","",N67)</x:f>
      </x:c>
      <x:c r="AF67" s="85" t="str">
        <x:f>IF(B67="","",O67)</x:f>
      </x:c>
      <x:c r="AG67" s="85" t="str">
        <x:f>IF(B67="","",P67)</x:f>
      </x:c>
      <x:c r="AH67" s="85" t="str">
        <x:f>IF(B67="","",Q67)</x:f>
      </x:c>
      <x:c r="AI67" s="85" t="str">
        <x:f>IF(B67="","",R67)</x:f>
      </x:c>
      <x:c r="AJ67" s="85" t="str">
        <x:f>IF(B67="","",S67)</x:f>
      </x:c>
      <x:c r="AK67" s="85" t="str">
        <x:f>IF(B67="","",T67)</x:f>
      </x:c>
    </x:row>
    <x:row r="68">
      <x:c r="A68" s="94" t="str">
        <x:f>IF(OR(B68="",G68=""),"",B68&amp;"|"&amp;G68)</x:f>
      </x:c>
      <x:c r="B68" s="92"/>
      <x:c r="C68" s="94" t="str">
        <x:f>IFERROR(VLOOKUP(B68,'01 Staff Master'!$A$6:$M$105,2,FALSE),"")</x:f>
      </x:c>
      <x:c r="D68" s="94" t="str">
        <x:f>IFERROR(VLOOKUP(B68,'01 Staff Master'!$A$6:$M$105,3,FALSE),"")</x:f>
      </x:c>
      <x:c r="E68" s="94" t="str">
        <x:f>IFERROR(VLOOKUP(B68,'01 Staff Master'!$A$6:$M$105,5,FALSE),"")</x:f>
      </x:c>
      <x:c r="F68" s="94" t="str">
        <x:f>IFERROR(VLOOKUP(B68,'01 Staff Master'!$A$6:$M$105,4,FALSE),"")</x:f>
      </x:c>
      <x:c r="G68" s="92"/>
      <x:c r="H68" s="94" t="str">
        <x:f>IFERROR(VLOOKUP(G68,'02 Skill Catalogue'!$A$6:$K$95,4,FALSE),"")</x:f>
      </x:c>
      <x:c r="I68" s="94" t="str">
        <x:f>IFERROR(VLOOKUP(D68&amp;"|"&amp;E68&amp;"|"&amp;G68,'03 Position Requirements'!$A$6:$R$285,8,FALSE),"")</x:f>
      </x:c>
      <x:c r="J68" s="94" t="str">
        <x:f>IFERROR(VLOOKUP(D68&amp;"|"&amp;E68&amp;"|"&amp;G68,'03 Position Requirements'!$A$6:$R$285,10,FALSE),"")</x:f>
      </x:c>
      <x:c r="K68" s="94" t="str">
        <x:f>IF(OR(B68="",G68=""),"",IF(COUNTIFS('04 Assessment Log'!$D$6:$D$155,B68,'04 Assessment Log'!$J$6:$J$155,G68,'04 Assessment Log'!$AA$6:$AA$155,"Yes")=0,"",SUMIFS('04 Assessment Log'!$O$6:$O$155,'04 Assessment Log'!$D$6:$D$155,B68,'04 Assessment Log'!$J$6:$J$155,G68,'04 Assessment Log'!$AA$6:$AA$155,"Yes")))</x:f>
      </x:c>
      <x:c r="L68" s="94" t="str">
        <x:f>IF(OR(J68="",K68=""),"",MAX(J68-K68,0))</x:f>
      </x:c>
      <x:c r="M68" s="102" t="str">
        <x:f>IF(COUNTIFS('04 Assessment Log'!$D$6:$D$155,B68,'04 Assessment Log'!$J$6:$J$155,G68,'04 Assessment Log'!$AA$6:$AA$155,"Yes")=0,"",SUMIFS('04 Assessment Log'!$B$6:$B$155,'04 Assessment Log'!$D$6:$D$155,B68,'04 Assessment Log'!$J$6:$J$155,G68,'04 Assessment Log'!$AA$6:$AA$155,"Yes"))</x:f>
      </x:c>
      <x:c r="N68" s="102" t="str">
        <x:f>IF(M68="","",SUMIFS('04 Assessment Log'!$Z$6:$Z$155,'04 Assessment Log'!$D$6:$D$155,B68,'04 Assessment Log'!$J$6:$J$155,G68,'04 Assessment Log'!$AA$6:$AA$155,"Yes"))</x:f>
      </x:c>
      <x:c r="O68" s="94" t="str">
        <x:f>IF(M68="","Not Assessed",IF(N68&lt;TODAY(),"Expired",IF(N68&lt;=TODAY()+30,"Due Soon","Current")))</x:f>
        <x:v>Not Assessed</x:v>
      </x:c>
      <x:c r="P68" s="94" t="str">
        <x:f>IF(OR(B68="",G68=""),"",COUNTIFS('05 Development Actions'!$C$6:$C$105,B68,'05 Development Actions'!$G$6:$G$105,G68,'05 Development Actions'!$A$6:$A$105,"&lt;&gt;",'05 Development Actions'!$AB$6:$AB$105,"&lt;&gt;Closed — Competent",'05 Development Actions'!$AB$6:$AB$105,"&lt;&gt;Cancelled"))</x:f>
      </x:c>
      <x:c r="Q68" s="94" t="str">
        <x:f>IF(OR(B68="",G68=""),"",COUNTIFS('11 Training Attendance'!$E$6:$E$155,B68,'11 Training Attendance'!$K$6:$K$155,"Attended",'11 Training Attendance'!$I$6:$I$155,G68))</x:f>
      </x:c>
      <x:c r="R68" s="102" t="str">
        <x:f>IF(Q68=0,"",MAXIFS('11 Training Attendance'!$D$6:$D$155,'11 Training Attendance'!$E$6:$E$155,B68,'11 Training Attendance'!$K$6:$K$155,"Attended",'11 Training Attendance'!$I$6:$I$155,G68))</x:f>
      </x:c>
      <x:c r="S68" s="94" t="str">
        <x:f>IF(OR(B68="",G68=""),"",COUNTIFS('13 Effectiveness Review'!$C$6:$C$155,B68,'13 Effectiveness Review'!$F$6:$F$155,G68,'13 Effectiveness Review'!$X$6:$X$155,"Closed — Effective"))</x:f>
      </x:c>
      <x:c r="T68" s="94" t="str">
        <x:f>IF(B68="","",IF(K68="","Not Assessed",IF(O68="Expired","Renewal Due",IF(L68=0,"Competent","Skill Gap"))))</x:f>
      </x:c>
      <x:c r="U68" s="94" t="str">
        <x:f>IFERROR(VLOOKUP(D68&amp;"|"&amp;E68&amp;"|"&amp;G68,'03 Position Requirements'!$A$6:$R$285,14,FALSE),"")</x:f>
      </x:c>
      <x:c r="V68" s="92"/>
      <x:c r="W68" s="85" t="str">
        <x:f>IF(B68="","",B68&amp;"|"&amp;COUNTIF($B$6:B68,B68))</x:f>
      </x:c>
      <x:c r="X68" s="85" t="str">
        <x:f>IF(B68="","",G68)</x:f>
      </x:c>
      <x:c r="Y68" s="85" t="str">
        <x:f>IF(B68="","",H68)</x:f>
      </x:c>
      <x:c r="Z68" s="85" t="str">
        <x:f>IF(B68="","",I68)</x:f>
      </x:c>
      <x:c r="AA68" s="85" t="str">
        <x:f>IF(B68="","",J68)</x:f>
      </x:c>
      <x:c r="AB68" s="85" t="str">
        <x:f>IF(B68="","",K68)</x:f>
      </x:c>
      <x:c r="AC68" s="85" t="str">
        <x:f>IF(B68="","",L68)</x:f>
      </x:c>
      <x:c r="AD68" s="85" t="str">
        <x:f>IF(B68="","",M68)</x:f>
      </x:c>
      <x:c r="AE68" s="85" t="str">
        <x:f>IF(B68="","",N68)</x:f>
      </x:c>
      <x:c r="AF68" s="85" t="str">
        <x:f>IF(B68="","",O68)</x:f>
      </x:c>
      <x:c r="AG68" s="85" t="str">
        <x:f>IF(B68="","",P68)</x:f>
      </x:c>
      <x:c r="AH68" s="85" t="str">
        <x:f>IF(B68="","",Q68)</x:f>
      </x:c>
      <x:c r="AI68" s="85" t="str">
        <x:f>IF(B68="","",R68)</x:f>
      </x:c>
      <x:c r="AJ68" s="85" t="str">
        <x:f>IF(B68="","",S68)</x:f>
      </x:c>
      <x:c r="AK68" s="85" t="str">
        <x:f>IF(B68="","",T68)</x:f>
      </x:c>
    </x:row>
    <x:row r="69">
      <x:c r="A69" s="94" t="str">
        <x:f>IF(OR(B69="",G69=""),"",B69&amp;"|"&amp;G69)</x:f>
      </x:c>
      <x:c r="B69" s="92"/>
      <x:c r="C69" s="94" t="str">
        <x:f>IFERROR(VLOOKUP(B69,'01 Staff Master'!$A$6:$M$105,2,FALSE),"")</x:f>
      </x:c>
      <x:c r="D69" s="94" t="str">
        <x:f>IFERROR(VLOOKUP(B69,'01 Staff Master'!$A$6:$M$105,3,FALSE),"")</x:f>
      </x:c>
      <x:c r="E69" s="94" t="str">
        <x:f>IFERROR(VLOOKUP(B69,'01 Staff Master'!$A$6:$M$105,5,FALSE),"")</x:f>
      </x:c>
      <x:c r="F69" s="94" t="str">
        <x:f>IFERROR(VLOOKUP(B69,'01 Staff Master'!$A$6:$M$105,4,FALSE),"")</x:f>
      </x:c>
      <x:c r="G69" s="92"/>
      <x:c r="H69" s="94" t="str">
        <x:f>IFERROR(VLOOKUP(G69,'02 Skill Catalogue'!$A$6:$K$95,4,FALSE),"")</x:f>
      </x:c>
      <x:c r="I69" s="94" t="str">
        <x:f>IFERROR(VLOOKUP(D69&amp;"|"&amp;E69&amp;"|"&amp;G69,'03 Position Requirements'!$A$6:$R$285,8,FALSE),"")</x:f>
      </x:c>
      <x:c r="J69" s="94" t="str">
        <x:f>IFERROR(VLOOKUP(D69&amp;"|"&amp;E69&amp;"|"&amp;G69,'03 Position Requirements'!$A$6:$R$285,10,FALSE),"")</x:f>
      </x:c>
      <x:c r="K69" s="94" t="str">
        <x:f>IF(OR(B69="",G69=""),"",IF(COUNTIFS('04 Assessment Log'!$D$6:$D$155,B69,'04 Assessment Log'!$J$6:$J$155,G69,'04 Assessment Log'!$AA$6:$AA$155,"Yes")=0,"",SUMIFS('04 Assessment Log'!$O$6:$O$155,'04 Assessment Log'!$D$6:$D$155,B69,'04 Assessment Log'!$J$6:$J$155,G69,'04 Assessment Log'!$AA$6:$AA$155,"Yes")))</x:f>
      </x:c>
      <x:c r="L69" s="94" t="str">
        <x:f>IF(OR(J69="",K69=""),"",MAX(J69-K69,0))</x:f>
      </x:c>
      <x:c r="M69" s="102" t="str">
        <x:f>IF(COUNTIFS('04 Assessment Log'!$D$6:$D$155,B69,'04 Assessment Log'!$J$6:$J$155,G69,'04 Assessment Log'!$AA$6:$AA$155,"Yes")=0,"",SUMIFS('04 Assessment Log'!$B$6:$B$155,'04 Assessment Log'!$D$6:$D$155,B69,'04 Assessment Log'!$J$6:$J$155,G69,'04 Assessment Log'!$AA$6:$AA$155,"Yes"))</x:f>
      </x:c>
      <x:c r="N69" s="102" t="str">
        <x:f>IF(M69="","",SUMIFS('04 Assessment Log'!$Z$6:$Z$155,'04 Assessment Log'!$D$6:$D$155,B69,'04 Assessment Log'!$J$6:$J$155,G69,'04 Assessment Log'!$AA$6:$AA$155,"Yes"))</x:f>
      </x:c>
      <x:c r="O69" s="94" t="str">
        <x:f>IF(M69="","Not Assessed",IF(N69&lt;TODAY(),"Expired",IF(N69&lt;=TODAY()+30,"Due Soon","Current")))</x:f>
        <x:v>Not Assessed</x:v>
      </x:c>
      <x:c r="P69" s="94" t="str">
        <x:f>IF(OR(B69="",G69=""),"",COUNTIFS('05 Development Actions'!$C$6:$C$105,B69,'05 Development Actions'!$G$6:$G$105,G69,'05 Development Actions'!$A$6:$A$105,"&lt;&gt;",'05 Development Actions'!$AB$6:$AB$105,"&lt;&gt;Closed — Competent",'05 Development Actions'!$AB$6:$AB$105,"&lt;&gt;Cancelled"))</x:f>
      </x:c>
      <x:c r="Q69" s="94" t="str">
        <x:f>IF(OR(B69="",G69=""),"",COUNTIFS('11 Training Attendance'!$E$6:$E$155,B69,'11 Training Attendance'!$K$6:$K$155,"Attended",'11 Training Attendance'!$I$6:$I$155,G69))</x:f>
      </x:c>
      <x:c r="R69" s="102" t="str">
        <x:f>IF(Q69=0,"",MAXIFS('11 Training Attendance'!$D$6:$D$155,'11 Training Attendance'!$E$6:$E$155,B69,'11 Training Attendance'!$K$6:$K$155,"Attended",'11 Training Attendance'!$I$6:$I$155,G69))</x:f>
      </x:c>
      <x:c r="S69" s="94" t="str">
        <x:f>IF(OR(B69="",G69=""),"",COUNTIFS('13 Effectiveness Review'!$C$6:$C$155,B69,'13 Effectiveness Review'!$F$6:$F$155,G69,'13 Effectiveness Review'!$X$6:$X$155,"Closed — Effective"))</x:f>
      </x:c>
      <x:c r="T69" s="94" t="str">
        <x:f>IF(B69="","",IF(K69="","Not Assessed",IF(O69="Expired","Renewal Due",IF(L69=0,"Competent","Skill Gap"))))</x:f>
      </x:c>
      <x:c r="U69" s="94" t="str">
        <x:f>IFERROR(VLOOKUP(D69&amp;"|"&amp;E69&amp;"|"&amp;G69,'03 Position Requirements'!$A$6:$R$285,14,FALSE),"")</x:f>
      </x:c>
      <x:c r="V69" s="92"/>
      <x:c r="W69" s="85" t="str">
        <x:f>IF(B69="","",B69&amp;"|"&amp;COUNTIF($B$6:B69,B69))</x:f>
      </x:c>
      <x:c r="X69" s="85" t="str">
        <x:f>IF(B69="","",G69)</x:f>
      </x:c>
      <x:c r="Y69" s="85" t="str">
        <x:f>IF(B69="","",H69)</x:f>
      </x:c>
      <x:c r="Z69" s="85" t="str">
        <x:f>IF(B69="","",I69)</x:f>
      </x:c>
      <x:c r="AA69" s="85" t="str">
        <x:f>IF(B69="","",J69)</x:f>
      </x:c>
      <x:c r="AB69" s="85" t="str">
        <x:f>IF(B69="","",K69)</x:f>
      </x:c>
      <x:c r="AC69" s="85" t="str">
        <x:f>IF(B69="","",L69)</x:f>
      </x:c>
      <x:c r="AD69" s="85" t="str">
        <x:f>IF(B69="","",M69)</x:f>
      </x:c>
      <x:c r="AE69" s="85" t="str">
        <x:f>IF(B69="","",N69)</x:f>
      </x:c>
      <x:c r="AF69" s="85" t="str">
        <x:f>IF(B69="","",O69)</x:f>
      </x:c>
      <x:c r="AG69" s="85" t="str">
        <x:f>IF(B69="","",P69)</x:f>
      </x:c>
      <x:c r="AH69" s="85" t="str">
        <x:f>IF(B69="","",Q69)</x:f>
      </x:c>
      <x:c r="AI69" s="85" t="str">
        <x:f>IF(B69="","",R69)</x:f>
      </x:c>
      <x:c r="AJ69" s="85" t="str">
        <x:f>IF(B69="","",S69)</x:f>
      </x:c>
      <x:c r="AK69" s="85" t="str">
        <x:f>IF(B69="","",T69)</x:f>
      </x:c>
    </x:row>
    <x:row r="70">
      <x:c r="A70" s="94" t="str">
        <x:f>IF(OR(B70="",G70=""),"",B70&amp;"|"&amp;G70)</x:f>
      </x:c>
      <x:c r="B70" s="92"/>
      <x:c r="C70" s="94" t="str">
        <x:f>IFERROR(VLOOKUP(B70,'01 Staff Master'!$A$6:$M$105,2,FALSE),"")</x:f>
      </x:c>
      <x:c r="D70" s="94" t="str">
        <x:f>IFERROR(VLOOKUP(B70,'01 Staff Master'!$A$6:$M$105,3,FALSE),"")</x:f>
      </x:c>
      <x:c r="E70" s="94" t="str">
        <x:f>IFERROR(VLOOKUP(B70,'01 Staff Master'!$A$6:$M$105,5,FALSE),"")</x:f>
      </x:c>
      <x:c r="F70" s="94" t="str">
        <x:f>IFERROR(VLOOKUP(B70,'01 Staff Master'!$A$6:$M$105,4,FALSE),"")</x:f>
      </x:c>
      <x:c r="G70" s="92"/>
      <x:c r="H70" s="94" t="str">
        <x:f>IFERROR(VLOOKUP(G70,'02 Skill Catalogue'!$A$6:$K$95,4,FALSE),"")</x:f>
      </x:c>
      <x:c r="I70" s="94" t="str">
        <x:f>IFERROR(VLOOKUP(D70&amp;"|"&amp;E70&amp;"|"&amp;G70,'03 Position Requirements'!$A$6:$R$285,8,FALSE),"")</x:f>
      </x:c>
      <x:c r="J70" s="94" t="str">
        <x:f>IFERROR(VLOOKUP(D70&amp;"|"&amp;E70&amp;"|"&amp;G70,'03 Position Requirements'!$A$6:$R$285,10,FALSE),"")</x:f>
      </x:c>
      <x:c r="K70" s="94" t="str">
        <x:f>IF(OR(B70="",G70=""),"",IF(COUNTIFS('04 Assessment Log'!$D$6:$D$155,B70,'04 Assessment Log'!$J$6:$J$155,G70,'04 Assessment Log'!$AA$6:$AA$155,"Yes")=0,"",SUMIFS('04 Assessment Log'!$O$6:$O$155,'04 Assessment Log'!$D$6:$D$155,B70,'04 Assessment Log'!$J$6:$J$155,G70,'04 Assessment Log'!$AA$6:$AA$155,"Yes")))</x:f>
      </x:c>
      <x:c r="L70" s="94" t="str">
        <x:f>IF(OR(J70="",K70=""),"",MAX(J70-K70,0))</x:f>
      </x:c>
      <x:c r="M70" s="102" t="str">
        <x:f>IF(COUNTIFS('04 Assessment Log'!$D$6:$D$155,B70,'04 Assessment Log'!$J$6:$J$155,G70,'04 Assessment Log'!$AA$6:$AA$155,"Yes")=0,"",SUMIFS('04 Assessment Log'!$B$6:$B$155,'04 Assessment Log'!$D$6:$D$155,B70,'04 Assessment Log'!$J$6:$J$155,G70,'04 Assessment Log'!$AA$6:$AA$155,"Yes"))</x:f>
      </x:c>
      <x:c r="N70" s="102" t="str">
        <x:f>IF(M70="","",SUMIFS('04 Assessment Log'!$Z$6:$Z$155,'04 Assessment Log'!$D$6:$D$155,B70,'04 Assessment Log'!$J$6:$J$155,G70,'04 Assessment Log'!$AA$6:$AA$155,"Yes"))</x:f>
      </x:c>
      <x:c r="O70" s="94" t="str">
        <x:f>IF(M70="","Not Assessed",IF(N70&lt;TODAY(),"Expired",IF(N70&lt;=TODAY()+30,"Due Soon","Current")))</x:f>
        <x:v>Not Assessed</x:v>
      </x:c>
      <x:c r="P70" s="94" t="str">
        <x:f>IF(OR(B70="",G70=""),"",COUNTIFS('05 Development Actions'!$C$6:$C$105,B70,'05 Development Actions'!$G$6:$G$105,G70,'05 Development Actions'!$A$6:$A$105,"&lt;&gt;",'05 Development Actions'!$AB$6:$AB$105,"&lt;&gt;Closed — Competent",'05 Development Actions'!$AB$6:$AB$105,"&lt;&gt;Cancelled"))</x:f>
      </x:c>
      <x:c r="Q70" s="94" t="str">
        <x:f>IF(OR(B70="",G70=""),"",COUNTIFS('11 Training Attendance'!$E$6:$E$155,B70,'11 Training Attendance'!$K$6:$K$155,"Attended",'11 Training Attendance'!$I$6:$I$155,G70))</x:f>
      </x:c>
      <x:c r="R70" s="102" t="str">
        <x:f>IF(Q70=0,"",MAXIFS('11 Training Attendance'!$D$6:$D$155,'11 Training Attendance'!$E$6:$E$155,B70,'11 Training Attendance'!$K$6:$K$155,"Attended",'11 Training Attendance'!$I$6:$I$155,G70))</x:f>
      </x:c>
      <x:c r="S70" s="94" t="str">
        <x:f>IF(OR(B70="",G70=""),"",COUNTIFS('13 Effectiveness Review'!$C$6:$C$155,B70,'13 Effectiveness Review'!$F$6:$F$155,G70,'13 Effectiveness Review'!$X$6:$X$155,"Closed — Effective"))</x:f>
      </x:c>
      <x:c r="T70" s="94" t="str">
        <x:f>IF(B70="","",IF(K70="","Not Assessed",IF(O70="Expired","Renewal Due",IF(L70=0,"Competent","Skill Gap"))))</x:f>
      </x:c>
      <x:c r="U70" s="94" t="str">
        <x:f>IFERROR(VLOOKUP(D70&amp;"|"&amp;E70&amp;"|"&amp;G70,'03 Position Requirements'!$A$6:$R$285,14,FALSE),"")</x:f>
      </x:c>
      <x:c r="V70" s="92"/>
      <x:c r="W70" s="85" t="str">
        <x:f>IF(B70="","",B70&amp;"|"&amp;COUNTIF($B$6:B70,B70))</x:f>
      </x:c>
      <x:c r="X70" s="85" t="str">
        <x:f>IF(B70="","",G70)</x:f>
      </x:c>
      <x:c r="Y70" s="85" t="str">
        <x:f>IF(B70="","",H70)</x:f>
      </x:c>
      <x:c r="Z70" s="85" t="str">
        <x:f>IF(B70="","",I70)</x:f>
      </x:c>
      <x:c r="AA70" s="85" t="str">
        <x:f>IF(B70="","",J70)</x:f>
      </x:c>
      <x:c r="AB70" s="85" t="str">
        <x:f>IF(B70="","",K70)</x:f>
      </x:c>
      <x:c r="AC70" s="85" t="str">
        <x:f>IF(B70="","",L70)</x:f>
      </x:c>
      <x:c r="AD70" s="85" t="str">
        <x:f>IF(B70="","",M70)</x:f>
      </x:c>
      <x:c r="AE70" s="85" t="str">
        <x:f>IF(B70="","",N70)</x:f>
      </x:c>
      <x:c r="AF70" s="85" t="str">
        <x:f>IF(B70="","",O70)</x:f>
      </x:c>
      <x:c r="AG70" s="85" t="str">
        <x:f>IF(B70="","",P70)</x:f>
      </x:c>
      <x:c r="AH70" s="85" t="str">
        <x:f>IF(B70="","",Q70)</x:f>
      </x:c>
      <x:c r="AI70" s="85" t="str">
        <x:f>IF(B70="","",R70)</x:f>
      </x:c>
      <x:c r="AJ70" s="85" t="str">
        <x:f>IF(B70="","",S70)</x:f>
      </x:c>
      <x:c r="AK70" s="85" t="str">
        <x:f>IF(B70="","",T70)</x:f>
      </x:c>
    </x:row>
    <x:row r="71">
      <x:c r="A71" s="94" t="str">
        <x:f>IF(OR(B71="",G71=""),"",B71&amp;"|"&amp;G71)</x:f>
      </x:c>
      <x:c r="B71" s="92"/>
      <x:c r="C71" s="94" t="str">
        <x:f>IFERROR(VLOOKUP(B71,'01 Staff Master'!$A$6:$M$105,2,FALSE),"")</x:f>
      </x:c>
      <x:c r="D71" s="94" t="str">
        <x:f>IFERROR(VLOOKUP(B71,'01 Staff Master'!$A$6:$M$105,3,FALSE),"")</x:f>
      </x:c>
      <x:c r="E71" s="94" t="str">
        <x:f>IFERROR(VLOOKUP(B71,'01 Staff Master'!$A$6:$M$105,5,FALSE),"")</x:f>
      </x:c>
      <x:c r="F71" s="94" t="str">
        <x:f>IFERROR(VLOOKUP(B71,'01 Staff Master'!$A$6:$M$105,4,FALSE),"")</x:f>
      </x:c>
      <x:c r="G71" s="92"/>
      <x:c r="H71" s="94" t="str">
        <x:f>IFERROR(VLOOKUP(G71,'02 Skill Catalogue'!$A$6:$K$95,4,FALSE),"")</x:f>
      </x:c>
      <x:c r="I71" s="94" t="str">
        <x:f>IFERROR(VLOOKUP(D71&amp;"|"&amp;E71&amp;"|"&amp;G71,'03 Position Requirements'!$A$6:$R$285,8,FALSE),"")</x:f>
      </x:c>
      <x:c r="J71" s="94" t="str">
        <x:f>IFERROR(VLOOKUP(D71&amp;"|"&amp;E71&amp;"|"&amp;G71,'03 Position Requirements'!$A$6:$R$285,10,FALSE),"")</x:f>
      </x:c>
      <x:c r="K71" s="94" t="str">
        <x:f>IF(OR(B71="",G71=""),"",IF(COUNTIFS('04 Assessment Log'!$D$6:$D$155,B71,'04 Assessment Log'!$J$6:$J$155,G71,'04 Assessment Log'!$AA$6:$AA$155,"Yes")=0,"",SUMIFS('04 Assessment Log'!$O$6:$O$155,'04 Assessment Log'!$D$6:$D$155,B71,'04 Assessment Log'!$J$6:$J$155,G71,'04 Assessment Log'!$AA$6:$AA$155,"Yes")))</x:f>
      </x:c>
      <x:c r="L71" s="94" t="str">
        <x:f>IF(OR(J71="",K71=""),"",MAX(J71-K71,0))</x:f>
      </x:c>
      <x:c r="M71" s="102" t="str">
        <x:f>IF(COUNTIFS('04 Assessment Log'!$D$6:$D$155,B71,'04 Assessment Log'!$J$6:$J$155,G71,'04 Assessment Log'!$AA$6:$AA$155,"Yes")=0,"",SUMIFS('04 Assessment Log'!$B$6:$B$155,'04 Assessment Log'!$D$6:$D$155,B71,'04 Assessment Log'!$J$6:$J$155,G71,'04 Assessment Log'!$AA$6:$AA$155,"Yes"))</x:f>
      </x:c>
      <x:c r="N71" s="102" t="str">
        <x:f>IF(M71="","",SUMIFS('04 Assessment Log'!$Z$6:$Z$155,'04 Assessment Log'!$D$6:$D$155,B71,'04 Assessment Log'!$J$6:$J$155,G71,'04 Assessment Log'!$AA$6:$AA$155,"Yes"))</x:f>
      </x:c>
      <x:c r="O71" s="94" t="str">
        <x:f>IF(M71="","Not Assessed",IF(N71&lt;TODAY(),"Expired",IF(N71&lt;=TODAY()+30,"Due Soon","Current")))</x:f>
        <x:v>Not Assessed</x:v>
      </x:c>
      <x:c r="P71" s="94" t="str">
        <x:f>IF(OR(B71="",G71=""),"",COUNTIFS('05 Development Actions'!$C$6:$C$105,B71,'05 Development Actions'!$G$6:$G$105,G71,'05 Development Actions'!$A$6:$A$105,"&lt;&gt;",'05 Development Actions'!$AB$6:$AB$105,"&lt;&gt;Closed — Competent",'05 Development Actions'!$AB$6:$AB$105,"&lt;&gt;Cancelled"))</x:f>
      </x:c>
      <x:c r="Q71" s="94" t="str">
        <x:f>IF(OR(B71="",G71=""),"",COUNTIFS('11 Training Attendance'!$E$6:$E$155,B71,'11 Training Attendance'!$K$6:$K$155,"Attended",'11 Training Attendance'!$I$6:$I$155,G71))</x:f>
      </x:c>
      <x:c r="R71" s="102" t="str">
        <x:f>IF(Q71=0,"",MAXIFS('11 Training Attendance'!$D$6:$D$155,'11 Training Attendance'!$E$6:$E$155,B71,'11 Training Attendance'!$K$6:$K$155,"Attended",'11 Training Attendance'!$I$6:$I$155,G71))</x:f>
      </x:c>
      <x:c r="S71" s="94" t="str">
        <x:f>IF(OR(B71="",G71=""),"",COUNTIFS('13 Effectiveness Review'!$C$6:$C$155,B71,'13 Effectiveness Review'!$F$6:$F$155,G71,'13 Effectiveness Review'!$X$6:$X$155,"Closed — Effective"))</x:f>
      </x:c>
      <x:c r="T71" s="94" t="str">
        <x:f>IF(B71="","",IF(K71="","Not Assessed",IF(O71="Expired","Renewal Due",IF(L71=0,"Competent","Skill Gap"))))</x:f>
      </x:c>
      <x:c r="U71" s="94" t="str">
        <x:f>IFERROR(VLOOKUP(D71&amp;"|"&amp;E71&amp;"|"&amp;G71,'03 Position Requirements'!$A$6:$R$285,14,FALSE),"")</x:f>
      </x:c>
      <x:c r="V71" s="92"/>
      <x:c r="W71" s="85" t="str">
        <x:f>IF(B71="","",B71&amp;"|"&amp;COUNTIF($B$6:B71,B71))</x:f>
      </x:c>
      <x:c r="X71" s="85" t="str">
        <x:f>IF(B71="","",G71)</x:f>
      </x:c>
      <x:c r="Y71" s="85" t="str">
        <x:f>IF(B71="","",H71)</x:f>
      </x:c>
      <x:c r="Z71" s="85" t="str">
        <x:f>IF(B71="","",I71)</x:f>
      </x:c>
      <x:c r="AA71" s="85" t="str">
        <x:f>IF(B71="","",J71)</x:f>
      </x:c>
      <x:c r="AB71" s="85" t="str">
        <x:f>IF(B71="","",K71)</x:f>
      </x:c>
      <x:c r="AC71" s="85" t="str">
        <x:f>IF(B71="","",L71)</x:f>
      </x:c>
      <x:c r="AD71" s="85" t="str">
        <x:f>IF(B71="","",M71)</x:f>
      </x:c>
      <x:c r="AE71" s="85" t="str">
        <x:f>IF(B71="","",N71)</x:f>
      </x:c>
      <x:c r="AF71" s="85" t="str">
        <x:f>IF(B71="","",O71)</x:f>
      </x:c>
      <x:c r="AG71" s="85" t="str">
        <x:f>IF(B71="","",P71)</x:f>
      </x:c>
      <x:c r="AH71" s="85" t="str">
        <x:f>IF(B71="","",Q71)</x:f>
      </x:c>
      <x:c r="AI71" s="85" t="str">
        <x:f>IF(B71="","",R71)</x:f>
      </x:c>
      <x:c r="AJ71" s="85" t="str">
        <x:f>IF(B71="","",S71)</x:f>
      </x:c>
      <x:c r="AK71" s="85" t="str">
        <x:f>IF(B71="","",T71)</x:f>
      </x:c>
    </x:row>
    <x:row r="72">
      <x:c r="A72" s="94" t="str">
        <x:f>IF(OR(B72="",G72=""),"",B72&amp;"|"&amp;G72)</x:f>
      </x:c>
      <x:c r="B72" s="92"/>
      <x:c r="C72" s="94" t="str">
        <x:f>IFERROR(VLOOKUP(B72,'01 Staff Master'!$A$6:$M$105,2,FALSE),"")</x:f>
      </x:c>
      <x:c r="D72" s="94" t="str">
        <x:f>IFERROR(VLOOKUP(B72,'01 Staff Master'!$A$6:$M$105,3,FALSE),"")</x:f>
      </x:c>
      <x:c r="E72" s="94" t="str">
        <x:f>IFERROR(VLOOKUP(B72,'01 Staff Master'!$A$6:$M$105,5,FALSE),"")</x:f>
      </x:c>
      <x:c r="F72" s="94" t="str">
        <x:f>IFERROR(VLOOKUP(B72,'01 Staff Master'!$A$6:$M$105,4,FALSE),"")</x:f>
      </x:c>
      <x:c r="G72" s="92"/>
      <x:c r="H72" s="94" t="str">
        <x:f>IFERROR(VLOOKUP(G72,'02 Skill Catalogue'!$A$6:$K$95,4,FALSE),"")</x:f>
      </x:c>
      <x:c r="I72" s="94" t="str">
        <x:f>IFERROR(VLOOKUP(D72&amp;"|"&amp;E72&amp;"|"&amp;G72,'03 Position Requirements'!$A$6:$R$285,8,FALSE),"")</x:f>
      </x:c>
      <x:c r="J72" s="94" t="str">
        <x:f>IFERROR(VLOOKUP(D72&amp;"|"&amp;E72&amp;"|"&amp;G72,'03 Position Requirements'!$A$6:$R$285,10,FALSE),"")</x:f>
      </x:c>
      <x:c r="K72" s="94" t="str">
        <x:f>IF(OR(B72="",G72=""),"",IF(COUNTIFS('04 Assessment Log'!$D$6:$D$155,B72,'04 Assessment Log'!$J$6:$J$155,G72,'04 Assessment Log'!$AA$6:$AA$155,"Yes")=0,"",SUMIFS('04 Assessment Log'!$O$6:$O$155,'04 Assessment Log'!$D$6:$D$155,B72,'04 Assessment Log'!$J$6:$J$155,G72,'04 Assessment Log'!$AA$6:$AA$155,"Yes")))</x:f>
      </x:c>
      <x:c r="L72" s="94" t="str">
        <x:f>IF(OR(J72="",K72=""),"",MAX(J72-K72,0))</x:f>
      </x:c>
      <x:c r="M72" s="102" t="str">
        <x:f>IF(COUNTIFS('04 Assessment Log'!$D$6:$D$155,B72,'04 Assessment Log'!$J$6:$J$155,G72,'04 Assessment Log'!$AA$6:$AA$155,"Yes")=0,"",SUMIFS('04 Assessment Log'!$B$6:$B$155,'04 Assessment Log'!$D$6:$D$155,B72,'04 Assessment Log'!$J$6:$J$155,G72,'04 Assessment Log'!$AA$6:$AA$155,"Yes"))</x:f>
      </x:c>
      <x:c r="N72" s="102" t="str">
        <x:f>IF(M72="","",SUMIFS('04 Assessment Log'!$Z$6:$Z$155,'04 Assessment Log'!$D$6:$D$155,B72,'04 Assessment Log'!$J$6:$J$155,G72,'04 Assessment Log'!$AA$6:$AA$155,"Yes"))</x:f>
      </x:c>
      <x:c r="O72" s="94" t="str">
        <x:f>IF(M72="","Not Assessed",IF(N72&lt;TODAY(),"Expired",IF(N72&lt;=TODAY()+30,"Due Soon","Current")))</x:f>
        <x:v>Not Assessed</x:v>
      </x:c>
      <x:c r="P72" s="94" t="str">
        <x:f>IF(OR(B72="",G72=""),"",COUNTIFS('05 Development Actions'!$C$6:$C$105,B72,'05 Development Actions'!$G$6:$G$105,G72,'05 Development Actions'!$A$6:$A$105,"&lt;&gt;",'05 Development Actions'!$AB$6:$AB$105,"&lt;&gt;Closed — Competent",'05 Development Actions'!$AB$6:$AB$105,"&lt;&gt;Cancelled"))</x:f>
      </x:c>
      <x:c r="Q72" s="94" t="str">
        <x:f>IF(OR(B72="",G72=""),"",COUNTIFS('11 Training Attendance'!$E$6:$E$155,B72,'11 Training Attendance'!$K$6:$K$155,"Attended",'11 Training Attendance'!$I$6:$I$155,G72))</x:f>
      </x:c>
      <x:c r="R72" s="102" t="str">
        <x:f>IF(Q72=0,"",MAXIFS('11 Training Attendance'!$D$6:$D$155,'11 Training Attendance'!$E$6:$E$155,B72,'11 Training Attendance'!$K$6:$K$155,"Attended",'11 Training Attendance'!$I$6:$I$155,G72))</x:f>
      </x:c>
      <x:c r="S72" s="94" t="str">
        <x:f>IF(OR(B72="",G72=""),"",COUNTIFS('13 Effectiveness Review'!$C$6:$C$155,B72,'13 Effectiveness Review'!$F$6:$F$155,G72,'13 Effectiveness Review'!$X$6:$X$155,"Closed — Effective"))</x:f>
      </x:c>
      <x:c r="T72" s="94" t="str">
        <x:f>IF(B72="","",IF(K72="","Not Assessed",IF(O72="Expired","Renewal Due",IF(L72=0,"Competent","Skill Gap"))))</x:f>
      </x:c>
      <x:c r="U72" s="94" t="str">
        <x:f>IFERROR(VLOOKUP(D72&amp;"|"&amp;E72&amp;"|"&amp;G72,'03 Position Requirements'!$A$6:$R$285,14,FALSE),"")</x:f>
      </x:c>
      <x:c r="V72" s="92"/>
      <x:c r="W72" s="85" t="str">
        <x:f>IF(B72="","",B72&amp;"|"&amp;COUNTIF($B$6:B72,B72))</x:f>
      </x:c>
      <x:c r="X72" s="85" t="str">
        <x:f>IF(B72="","",G72)</x:f>
      </x:c>
      <x:c r="Y72" s="85" t="str">
        <x:f>IF(B72="","",H72)</x:f>
      </x:c>
      <x:c r="Z72" s="85" t="str">
        <x:f>IF(B72="","",I72)</x:f>
      </x:c>
      <x:c r="AA72" s="85" t="str">
        <x:f>IF(B72="","",J72)</x:f>
      </x:c>
      <x:c r="AB72" s="85" t="str">
        <x:f>IF(B72="","",K72)</x:f>
      </x:c>
      <x:c r="AC72" s="85" t="str">
        <x:f>IF(B72="","",L72)</x:f>
      </x:c>
      <x:c r="AD72" s="85" t="str">
        <x:f>IF(B72="","",M72)</x:f>
      </x:c>
      <x:c r="AE72" s="85" t="str">
        <x:f>IF(B72="","",N72)</x:f>
      </x:c>
      <x:c r="AF72" s="85" t="str">
        <x:f>IF(B72="","",O72)</x:f>
      </x:c>
      <x:c r="AG72" s="85" t="str">
        <x:f>IF(B72="","",P72)</x:f>
      </x:c>
      <x:c r="AH72" s="85" t="str">
        <x:f>IF(B72="","",Q72)</x:f>
      </x:c>
      <x:c r="AI72" s="85" t="str">
        <x:f>IF(B72="","",R72)</x:f>
      </x:c>
      <x:c r="AJ72" s="85" t="str">
        <x:f>IF(B72="","",S72)</x:f>
      </x:c>
      <x:c r="AK72" s="85" t="str">
        <x:f>IF(B72="","",T72)</x:f>
      </x:c>
    </x:row>
    <x:row r="73">
      <x:c r="A73" s="94" t="str">
        <x:f>IF(OR(B73="",G73=""),"",B73&amp;"|"&amp;G73)</x:f>
      </x:c>
      <x:c r="B73" s="92"/>
      <x:c r="C73" s="94" t="str">
        <x:f>IFERROR(VLOOKUP(B73,'01 Staff Master'!$A$6:$M$105,2,FALSE),"")</x:f>
      </x:c>
      <x:c r="D73" s="94" t="str">
        <x:f>IFERROR(VLOOKUP(B73,'01 Staff Master'!$A$6:$M$105,3,FALSE),"")</x:f>
      </x:c>
      <x:c r="E73" s="94" t="str">
        <x:f>IFERROR(VLOOKUP(B73,'01 Staff Master'!$A$6:$M$105,5,FALSE),"")</x:f>
      </x:c>
      <x:c r="F73" s="94" t="str">
        <x:f>IFERROR(VLOOKUP(B73,'01 Staff Master'!$A$6:$M$105,4,FALSE),"")</x:f>
      </x:c>
      <x:c r="G73" s="92"/>
      <x:c r="H73" s="94" t="str">
        <x:f>IFERROR(VLOOKUP(G73,'02 Skill Catalogue'!$A$6:$K$95,4,FALSE),"")</x:f>
      </x:c>
      <x:c r="I73" s="94" t="str">
        <x:f>IFERROR(VLOOKUP(D73&amp;"|"&amp;E73&amp;"|"&amp;G73,'03 Position Requirements'!$A$6:$R$285,8,FALSE),"")</x:f>
      </x:c>
      <x:c r="J73" s="94" t="str">
        <x:f>IFERROR(VLOOKUP(D73&amp;"|"&amp;E73&amp;"|"&amp;G73,'03 Position Requirements'!$A$6:$R$285,10,FALSE),"")</x:f>
      </x:c>
      <x:c r="K73" s="94" t="str">
        <x:f>IF(OR(B73="",G73=""),"",IF(COUNTIFS('04 Assessment Log'!$D$6:$D$155,B73,'04 Assessment Log'!$J$6:$J$155,G73,'04 Assessment Log'!$AA$6:$AA$155,"Yes")=0,"",SUMIFS('04 Assessment Log'!$O$6:$O$155,'04 Assessment Log'!$D$6:$D$155,B73,'04 Assessment Log'!$J$6:$J$155,G73,'04 Assessment Log'!$AA$6:$AA$155,"Yes")))</x:f>
      </x:c>
      <x:c r="L73" s="94" t="str">
        <x:f>IF(OR(J73="",K73=""),"",MAX(J73-K73,0))</x:f>
      </x:c>
      <x:c r="M73" s="102" t="str">
        <x:f>IF(COUNTIFS('04 Assessment Log'!$D$6:$D$155,B73,'04 Assessment Log'!$J$6:$J$155,G73,'04 Assessment Log'!$AA$6:$AA$155,"Yes")=0,"",SUMIFS('04 Assessment Log'!$B$6:$B$155,'04 Assessment Log'!$D$6:$D$155,B73,'04 Assessment Log'!$J$6:$J$155,G73,'04 Assessment Log'!$AA$6:$AA$155,"Yes"))</x:f>
      </x:c>
      <x:c r="N73" s="102" t="str">
        <x:f>IF(M73="","",SUMIFS('04 Assessment Log'!$Z$6:$Z$155,'04 Assessment Log'!$D$6:$D$155,B73,'04 Assessment Log'!$J$6:$J$155,G73,'04 Assessment Log'!$AA$6:$AA$155,"Yes"))</x:f>
      </x:c>
      <x:c r="O73" s="94" t="str">
        <x:f>IF(M73="","Not Assessed",IF(N73&lt;TODAY(),"Expired",IF(N73&lt;=TODAY()+30,"Due Soon","Current")))</x:f>
        <x:v>Not Assessed</x:v>
      </x:c>
      <x:c r="P73" s="94" t="str">
        <x:f>IF(OR(B73="",G73=""),"",COUNTIFS('05 Development Actions'!$C$6:$C$105,B73,'05 Development Actions'!$G$6:$G$105,G73,'05 Development Actions'!$A$6:$A$105,"&lt;&gt;",'05 Development Actions'!$AB$6:$AB$105,"&lt;&gt;Closed — Competent",'05 Development Actions'!$AB$6:$AB$105,"&lt;&gt;Cancelled"))</x:f>
      </x:c>
      <x:c r="Q73" s="94" t="str">
        <x:f>IF(OR(B73="",G73=""),"",COUNTIFS('11 Training Attendance'!$E$6:$E$155,B73,'11 Training Attendance'!$K$6:$K$155,"Attended",'11 Training Attendance'!$I$6:$I$155,G73))</x:f>
      </x:c>
      <x:c r="R73" s="102" t="str">
        <x:f>IF(Q73=0,"",MAXIFS('11 Training Attendance'!$D$6:$D$155,'11 Training Attendance'!$E$6:$E$155,B73,'11 Training Attendance'!$K$6:$K$155,"Attended",'11 Training Attendance'!$I$6:$I$155,G73))</x:f>
      </x:c>
      <x:c r="S73" s="94" t="str">
        <x:f>IF(OR(B73="",G73=""),"",COUNTIFS('13 Effectiveness Review'!$C$6:$C$155,B73,'13 Effectiveness Review'!$F$6:$F$155,G73,'13 Effectiveness Review'!$X$6:$X$155,"Closed — Effective"))</x:f>
      </x:c>
      <x:c r="T73" s="94" t="str">
        <x:f>IF(B73="","",IF(K73="","Not Assessed",IF(O73="Expired","Renewal Due",IF(L73=0,"Competent","Skill Gap"))))</x:f>
      </x:c>
      <x:c r="U73" s="94" t="str">
        <x:f>IFERROR(VLOOKUP(D73&amp;"|"&amp;E73&amp;"|"&amp;G73,'03 Position Requirements'!$A$6:$R$285,14,FALSE),"")</x:f>
      </x:c>
      <x:c r="V73" s="92"/>
      <x:c r="W73" s="85" t="str">
        <x:f>IF(B73="","",B73&amp;"|"&amp;COUNTIF($B$6:B73,B73))</x:f>
      </x:c>
      <x:c r="X73" s="85" t="str">
        <x:f>IF(B73="","",G73)</x:f>
      </x:c>
      <x:c r="Y73" s="85" t="str">
        <x:f>IF(B73="","",H73)</x:f>
      </x:c>
      <x:c r="Z73" s="85" t="str">
        <x:f>IF(B73="","",I73)</x:f>
      </x:c>
      <x:c r="AA73" s="85" t="str">
        <x:f>IF(B73="","",J73)</x:f>
      </x:c>
      <x:c r="AB73" s="85" t="str">
        <x:f>IF(B73="","",K73)</x:f>
      </x:c>
      <x:c r="AC73" s="85" t="str">
        <x:f>IF(B73="","",L73)</x:f>
      </x:c>
      <x:c r="AD73" s="85" t="str">
        <x:f>IF(B73="","",M73)</x:f>
      </x:c>
      <x:c r="AE73" s="85" t="str">
        <x:f>IF(B73="","",N73)</x:f>
      </x:c>
      <x:c r="AF73" s="85" t="str">
        <x:f>IF(B73="","",O73)</x:f>
      </x:c>
      <x:c r="AG73" s="85" t="str">
        <x:f>IF(B73="","",P73)</x:f>
      </x:c>
      <x:c r="AH73" s="85" t="str">
        <x:f>IF(B73="","",Q73)</x:f>
      </x:c>
      <x:c r="AI73" s="85" t="str">
        <x:f>IF(B73="","",R73)</x:f>
      </x:c>
      <x:c r="AJ73" s="85" t="str">
        <x:f>IF(B73="","",S73)</x:f>
      </x:c>
      <x:c r="AK73" s="85" t="str">
        <x:f>IF(B73="","",T73)</x:f>
      </x:c>
    </x:row>
    <x:row r="74">
      <x:c r="A74" s="94" t="str">
        <x:f>IF(OR(B74="",G74=""),"",B74&amp;"|"&amp;G74)</x:f>
      </x:c>
      <x:c r="B74" s="92"/>
      <x:c r="C74" s="94" t="str">
        <x:f>IFERROR(VLOOKUP(B74,'01 Staff Master'!$A$6:$M$105,2,FALSE),"")</x:f>
      </x:c>
      <x:c r="D74" s="94" t="str">
        <x:f>IFERROR(VLOOKUP(B74,'01 Staff Master'!$A$6:$M$105,3,FALSE),"")</x:f>
      </x:c>
      <x:c r="E74" s="94" t="str">
        <x:f>IFERROR(VLOOKUP(B74,'01 Staff Master'!$A$6:$M$105,5,FALSE),"")</x:f>
      </x:c>
      <x:c r="F74" s="94" t="str">
        <x:f>IFERROR(VLOOKUP(B74,'01 Staff Master'!$A$6:$M$105,4,FALSE),"")</x:f>
      </x:c>
      <x:c r="G74" s="92"/>
      <x:c r="H74" s="94" t="str">
        <x:f>IFERROR(VLOOKUP(G74,'02 Skill Catalogue'!$A$6:$K$95,4,FALSE),"")</x:f>
      </x:c>
      <x:c r="I74" s="94" t="str">
        <x:f>IFERROR(VLOOKUP(D74&amp;"|"&amp;E74&amp;"|"&amp;G74,'03 Position Requirements'!$A$6:$R$285,8,FALSE),"")</x:f>
      </x:c>
      <x:c r="J74" s="94" t="str">
        <x:f>IFERROR(VLOOKUP(D74&amp;"|"&amp;E74&amp;"|"&amp;G74,'03 Position Requirements'!$A$6:$R$285,10,FALSE),"")</x:f>
      </x:c>
      <x:c r="K74" s="94" t="str">
        <x:f>IF(OR(B74="",G74=""),"",IF(COUNTIFS('04 Assessment Log'!$D$6:$D$155,B74,'04 Assessment Log'!$J$6:$J$155,G74,'04 Assessment Log'!$AA$6:$AA$155,"Yes")=0,"",SUMIFS('04 Assessment Log'!$O$6:$O$155,'04 Assessment Log'!$D$6:$D$155,B74,'04 Assessment Log'!$J$6:$J$155,G74,'04 Assessment Log'!$AA$6:$AA$155,"Yes")))</x:f>
      </x:c>
      <x:c r="L74" s="94" t="str">
        <x:f>IF(OR(J74="",K74=""),"",MAX(J74-K74,0))</x:f>
      </x:c>
      <x:c r="M74" s="102" t="str">
        <x:f>IF(COUNTIFS('04 Assessment Log'!$D$6:$D$155,B74,'04 Assessment Log'!$J$6:$J$155,G74,'04 Assessment Log'!$AA$6:$AA$155,"Yes")=0,"",SUMIFS('04 Assessment Log'!$B$6:$B$155,'04 Assessment Log'!$D$6:$D$155,B74,'04 Assessment Log'!$J$6:$J$155,G74,'04 Assessment Log'!$AA$6:$AA$155,"Yes"))</x:f>
      </x:c>
      <x:c r="N74" s="102" t="str">
        <x:f>IF(M74="","",SUMIFS('04 Assessment Log'!$Z$6:$Z$155,'04 Assessment Log'!$D$6:$D$155,B74,'04 Assessment Log'!$J$6:$J$155,G74,'04 Assessment Log'!$AA$6:$AA$155,"Yes"))</x:f>
      </x:c>
      <x:c r="O74" s="94" t="str">
        <x:f>IF(M74="","Not Assessed",IF(N74&lt;TODAY(),"Expired",IF(N74&lt;=TODAY()+30,"Due Soon","Current")))</x:f>
        <x:v>Not Assessed</x:v>
      </x:c>
      <x:c r="P74" s="94" t="str">
        <x:f>IF(OR(B74="",G74=""),"",COUNTIFS('05 Development Actions'!$C$6:$C$105,B74,'05 Development Actions'!$G$6:$G$105,G74,'05 Development Actions'!$A$6:$A$105,"&lt;&gt;",'05 Development Actions'!$AB$6:$AB$105,"&lt;&gt;Closed — Competent",'05 Development Actions'!$AB$6:$AB$105,"&lt;&gt;Cancelled"))</x:f>
      </x:c>
      <x:c r="Q74" s="94" t="str">
        <x:f>IF(OR(B74="",G74=""),"",COUNTIFS('11 Training Attendance'!$E$6:$E$155,B74,'11 Training Attendance'!$K$6:$K$155,"Attended",'11 Training Attendance'!$I$6:$I$155,G74))</x:f>
      </x:c>
      <x:c r="R74" s="102" t="str">
        <x:f>IF(Q74=0,"",MAXIFS('11 Training Attendance'!$D$6:$D$155,'11 Training Attendance'!$E$6:$E$155,B74,'11 Training Attendance'!$K$6:$K$155,"Attended",'11 Training Attendance'!$I$6:$I$155,G74))</x:f>
      </x:c>
      <x:c r="S74" s="94" t="str">
        <x:f>IF(OR(B74="",G74=""),"",COUNTIFS('13 Effectiveness Review'!$C$6:$C$155,B74,'13 Effectiveness Review'!$F$6:$F$155,G74,'13 Effectiveness Review'!$X$6:$X$155,"Closed — Effective"))</x:f>
      </x:c>
      <x:c r="T74" s="94" t="str">
        <x:f>IF(B74="","",IF(K74="","Not Assessed",IF(O74="Expired","Renewal Due",IF(L74=0,"Competent","Skill Gap"))))</x:f>
      </x:c>
      <x:c r="U74" s="94" t="str">
        <x:f>IFERROR(VLOOKUP(D74&amp;"|"&amp;E74&amp;"|"&amp;G74,'03 Position Requirements'!$A$6:$R$285,14,FALSE),"")</x:f>
      </x:c>
      <x:c r="V74" s="92"/>
      <x:c r="W74" s="85" t="str">
        <x:f>IF(B74="","",B74&amp;"|"&amp;COUNTIF($B$6:B74,B74))</x:f>
      </x:c>
      <x:c r="X74" s="85" t="str">
        <x:f>IF(B74="","",G74)</x:f>
      </x:c>
      <x:c r="Y74" s="85" t="str">
        <x:f>IF(B74="","",H74)</x:f>
      </x:c>
      <x:c r="Z74" s="85" t="str">
        <x:f>IF(B74="","",I74)</x:f>
      </x:c>
      <x:c r="AA74" s="85" t="str">
        <x:f>IF(B74="","",J74)</x:f>
      </x:c>
      <x:c r="AB74" s="85" t="str">
        <x:f>IF(B74="","",K74)</x:f>
      </x:c>
      <x:c r="AC74" s="85" t="str">
        <x:f>IF(B74="","",L74)</x:f>
      </x:c>
      <x:c r="AD74" s="85" t="str">
        <x:f>IF(B74="","",M74)</x:f>
      </x:c>
      <x:c r="AE74" s="85" t="str">
        <x:f>IF(B74="","",N74)</x:f>
      </x:c>
      <x:c r="AF74" s="85" t="str">
        <x:f>IF(B74="","",O74)</x:f>
      </x:c>
      <x:c r="AG74" s="85" t="str">
        <x:f>IF(B74="","",P74)</x:f>
      </x:c>
      <x:c r="AH74" s="85" t="str">
        <x:f>IF(B74="","",Q74)</x:f>
      </x:c>
      <x:c r="AI74" s="85" t="str">
        <x:f>IF(B74="","",R74)</x:f>
      </x:c>
      <x:c r="AJ74" s="85" t="str">
        <x:f>IF(B74="","",S74)</x:f>
      </x:c>
      <x:c r="AK74" s="85" t="str">
        <x:f>IF(B74="","",T74)</x:f>
      </x:c>
    </x:row>
    <x:row r="75">
      <x:c r="A75" s="94" t="str">
        <x:f>IF(OR(B75="",G75=""),"",B75&amp;"|"&amp;G75)</x:f>
      </x:c>
      <x:c r="B75" s="92"/>
      <x:c r="C75" s="94" t="str">
        <x:f>IFERROR(VLOOKUP(B75,'01 Staff Master'!$A$6:$M$105,2,FALSE),"")</x:f>
      </x:c>
      <x:c r="D75" s="94" t="str">
        <x:f>IFERROR(VLOOKUP(B75,'01 Staff Master'!$A$6:$M$105,3,FALSE),"")</x:f>
      </x:c>
      <x:c r="E75" s="94" t="str">
        <x:f>IFERROR(VLOOKUP(B75,'01 Staff Master'!$A$6:$M$105,5,FALSE),"")</x:f>
      </x:c>
      <x:c r="F75" s="94" t="str">
        <x:f>IFERROR(VLOOKUP(B75,'01 Staff Master'!$A$6:$M$105,4,FALSE),"")</x:f>
      </x:c>
      <x:c r="G75" s="92"/>
      <x:c r="H75" s="94" t="str">
        <x:f>IFERROR(VLOOKUP(G75,'02 Skill Catalogue'!$A$6:$K$95,4,FALSE),"")</x:f>
      </x:c>
      <x:c r="I75" s="94" t="str">
        <x:f>IFERROR(VLOOKUP(D75&amp;"|"&amp;E75&amp;"|"&amp;G75,'03 Position Requirements'!$A$6:$R$285,8,FALSE),"")</x:f>
      </x:c>
      <x:c r="J75" s="94" t="str">
        <x:f>IFERROR(VLOOKUP(D75&amp;"|"&amp;E75&amp;"|"&amp;G75,'03 Position Requirements'!$A$6:$R$285,10,FALSE),"")</x:f>
      </x:c>
      <x:c r="K75" s="94" t="str">
        <x:f>IF(OR(B75="",G75=""),"",IF(COUNTIFS('04 Assessment Log'!$D$6:$D$155,B75,'04 Assessment Log'!$J$6:$J$155,G75,'04 Assessment Log'!$AA$6:$AA$155,"Yes")=0,"",SUMIFS('04 Assessment Log'!$O$6:$O$155,'04 Assessment Log'!$D$6:$D$155,B75,'04 Assessment Log'!$J$6:$J$155,G75,'04 Assessment Log'!$AA$6:$AA$155,"Yes")))</x:f>
      </x:c>
      <x:c r="L75" s="94" t="str">
        <x:f>IF(OR(J75="",K75=""),"",MAX(J75-K75,0))</x:f>
      </x:c>
      <x:c r="M75" s="102" t="str">
        <x:f>IF(COUNTIFS('04 Assessment Log'!$D$6:$D$155,B75,'04 Assessment Log'!$J$6:$J$155,G75,'04 Assessment Log'!$AA$6:$AA$155,"Yes")=0,"",SUMIFS('04 Assessment Log'!$B$6:$B$155,'04 Assessment Log'!$D$6:$D$155,B75,'04 Assessment Log'!$J$6:$J$155,G75,'04 Assessment Log'!$AA$6:$AA$155,"Yes"))</x:f>
      </x:c>
      <x:c r="N75" s="102" t="str">
        <x:f>IF(M75="","",SUMIFS('04 Assessment Log'!$Z$6:$Z$155,'04 Assessment Log'!$D$6:$D$155,B75,'04 Assessment Log'!$J$6:$J$155,G75,'04 Assessment Log'!$AA$6:$AA$155,"Yes"))</x:f>
      </x:c>
      <x:c r="O75" s="94" t="str">
        <x:f>IF(M75="","Not Assessed",IF(N75&lt;TODAY(),"Expired",IF(N75&lt;=TODAY()+30,"Due Soon","Current")))</x:f>
        <x:v>Not Assessed</x:v>
      </x:c>
      <x:c r="P75" s="94" t="str">
        <x:f>IF(OR(B75="",G75=""),"",COUNTIFS('05 Development Actions'!$C$6:$C$105,B75,'05 Development Actions'!$G$6:$G$105,G75,'05 Development Actions'!$A$6:$A$105,"&lt;&gt;",'05 Development Actions'!$AB$6:$AB$105,"&lt;&gt;Closed — Competent",'05 Development Actions'!$AB$6:$AB$105,"&lt;&gt;Cancelled"))</x:f>
      </x:c>
      <x:c r="Q75" s="94" t="str">
        <x:f>IF(OR(B75="",G75=""),"",COUNTIFS('11 Training Attendance'!$E$6:$E$155,B75,'11 Training Attendance'!$K$6:$K$155,"Attended",'11 Training Attendance'!$I$6:$I$155,G75))</x:f>
      </x:c>
      <x:c r="R75" s="102" t="str">
        <x:f>IF(Q75=0,"",MAXIFS('11 Training Attendance'!$D$6:$D$155,'11 Training Attendance'!$E$6:$E$155,B75,'11 Training Attendance'!$K$6:$K$155,"Attended",'11 Training Attendance'!$I$6:$I$155,G75))</x:f>
      </x:c>
      <x:c r="S75" s="94" t="str">
        <x:f>IF(OR(B75="",G75=""),"",COUNTIFS('13 Effectiveness Review'!$C$6:$C$155,B75,'13 Effectiveness Review'!$F$6:$F$155,G75,'13 Effectiveness Review'!$X$6:$X$155,"Closed — Effective"))</x:f>
      </x:c>
      <x:c r="T75" s="94" t="str">
        <x:f>IF(B75="","",IF(K75="","Not Assessed",IF(O75="Expired","Renewal Due",IF(L75=0,"Competent","Skill Gap"))))</x:f>
      </x:c>
      <x:c r="U75" s="94" t="str">
        <x:f>IFERROR(VLOOKUP(D75&amp;"|"&amp;E75&amp;"|"&amp;G75,'03 Position Requirements'!$A$6:$R$285,14,FALSE),"")</x:f>
      </x:c>
      <x:c r="V75" s="92"/>
      <x:c r="W75" s="85" t="str">
        <x:f>IF(B75="","",B75&amp;"|"&amp;COUNTIF($B$6:B75,B75))</x:f>
      </x:c>
      <x:c r="X75" s="85" t="str">
        <x:f>IF(B75="","",G75)</x:f>
      </x:c>
      <x:c r="Y75" s="85" t="str">
        <x:f>IF(B75="","",H75)</x:f>
      </x:c>
      <x:c r="Z75" s="85" t="str">
        <x:f>IF(B75="","",I75)</x:f>
      </x:c>
      <x:c r="AA75" s="85" t="str">
        <x:f>IF(B75="","",J75)</x:f>
      </x:c>
      <x:c r="AB75" s="85" t="str">
        <x:f>IF(B75="","",K75)</x:f>
      </x:c>
      <x:c r="AC75" s="85" t="str">
        <x:f>IF(B75="","",L75)</x:f>
      </x:c>
      <x:c r="AD75" s="85" t="str">
        <x:f>IF(B75="","",M75)</x:f>
      </x:c>
      <x:c r="AE75" s="85" t="str">
        <x:f>IF(B75="","",N75)</x:f>
      </x:c>
      <x:c r="AF75" s="85" t="str">
        <x:f>IF(B75="","",O75)</x:f>
      </x:c>
      <x:c r="AG75" s="85" t="str">
        <x:f>IF(B75="","",P75)</x:f>
      </x:c>
      <x:c r="AH75" s="85" t="str">
        <x:f>IF(B75="","",Q75)</x:f>
      </x:c>
      <x:c r="AI75" s="85" t="str">
        <x:f>IF(B75="","",R75)</x:f>
      </x:c>
      <x:c r="AJ75" s="85" t="str">
        <x:f>IF(B75="","",S75)</x:f>
      </x:c>
      <x:c r="AK75" s="85" t="str">
        <x:f>IF(B75="","",T75)</x:f>
      </x:c>
    </x:row>
    <x:row r="76">
      <x:c r="A76" s="94" t="str">
        <x:f>IF(OR(B76="",G76=""),"",B76&amp;"|"&amp;G76)</x:f>
      </x:c>
      <x:c r="B76" s="92"/>
      <x:c r="C76" s="94" t="str">
        <x:f>IFERROR(VLOOKUP(B76,'01 Staff Master'!$A$6:$M$105,2,FALSE),"")</x:f>
      </x:c>
      <x:c r="D76" s="94" t="str">
        <x:f>IFERROR(VLOOKUP(B76,'01 Staff Master'!$A$6:$M$105,3,FALSE),"")</x:f>
      </x:c>
      <x:c r="E76" s="94" t="str">
        <x:f>IFERROR(VLOOKUP(B76,'01 Staff Master'!$A$6:$M$105,5,FALSE),"")</x:f>
      </x:c>
      <x:c r="F76" s="94" t="str">
        <x:f>IFERROR(VLOOKUP(B76,'01 Staff Master'!$A$6:$M$105,4,FALSE),"")</x:f>
      </x:c>
      <x:c r="G76" s="92"/>
      <x:c r="H76" s="94" t="str">
        <x:f>IFERROR(VLOOKUP(G76,'02 Skill Catalogue'!$A$6:$K$95,4,FALSE),"")</x:f>
      </x:c>
      <x:c r="I76" s="94" t="str">
        <x:f>IFERROR(VLOOKUP(D76&amp;"|"&amp;E76&amp;"|"&amp;G76,'03 Position Requirements'!$A$6:$R$285,8,FALSE),"")</x:f>
      </x:c>
      <x:c r="J76" s="94" t="str">
        <x:f>IFERROR(VLOOKUP(D76&amp;"|"&amp;E76&amp;"|"&amp;G76,'03 Position Requirements'!$A$6:$R$285,10,FALSE),"")</x:f>
      </x:c>
      <x:c r="K76" s="94" t="str">
        <x:f>IF(OR(B76="",G76=""),"",IF(COUNTIFS('04 Assessment Log'!$D$6:$D$155,B76,'04 Assessment Log'!$J$6:$J$155,G76,'04 Assessment Log'!$AA$6:$AA$155,"Yes")=0,"",SUMIFS('04 Assessment Log'!$O$6:$O$155,'04 Assessment Log'!$D$6:$D$155,B76,'04 Assessment Log'!$J$6:$J$155,G76,'04 Assessment Log'!$AA$6:$AA$155,"Yes")))</x:f>
      </x:c>
      <x:c r="L76" s="94" t="str">
        <x:f>IF(OR(J76="",K76=""),"",MAX(J76-K76,0))</x:f>
      </x:c>
      <x:c r="M76" s="102" t="str">
        <x:f>IF(COUNTIFS('04 Assessment Log'!$D$6:$D$155,B76,'04 Assessment Log'!$J$6:$J$155,G76,'04 Assessment Log'!$AA$6:$AA$155,"Yes")=0,"",SUMIFS('04 Assessment Log'!$B$6:$B$155,'04 Assessment Log'!$D$6:$D$155,B76,'04 Assessment Log'!$J$6:$J$155,G76,'04 Assessment Log'!$AA$6:$AA$155,"Yes"))</x:f>
      </x:c>
      <x:c r="N76" s="102" t="str">
        <x:f>IF(M76="","",SUMIFS('04 Assessment Log'!$Z$6:$Z$155,'04 Assessment Log'!$D$6:$D$155,B76,'04 Assessment Log'!$J$6:$J$155,G76,'04 Assessment Log'!$AA$6:$AA$155,"Yes"))</x:f>
      </x:c>
      <x:c r="O76" s="94" t="str">
        <x:f>IF(M76="","Not Assessed",IF(N76&lt;TODAY(),"Expired",IF(N76&lt;=TODAY()+30,"Due Soon","Current")))</x:f>
        <x:v>Not Assessed</x:v>
      </x:c>
      <x:c r="P76" s="94" t="str">
        <x:f>IF(OR(B76="",G76=""),"",COUNTIFS('05 Development Actions'!$C$6:$C$105,B76,'05 Development Actions'!$G$6:$G$105,G76,'05 Development Actions'!$A$6:$A$105,"&lt;&gt;",'05 Development Actions'!$AB$6:$AB$105,"&lt;&gt;Closed — Competent",'05 Development Actions'!$AB$6:$AB$105,"&lt;&gt;Cancelled"))</x:f>
      </x:c>
      <x:c r="Q76" s="94" t="str">
        <x:f>IF(OR(B76="",G76=""),"",COUNTIFS('11 Training Attendance'!$E$6:$E$155,B76,'11 Training Attendance'!$K$6:$K$155,"Attended",'11 Training Attendance'!$I$6:$I$155,G76))</x:f>
      </x:c>
      <x:c r="R76" s="102" t="str">
        <x:f>IF(Q76=0,"",MAXIFS('11 Training Attendance'!$D$6:$D$155,'11 Training Attendance'!$E$6:$E$155,B76,'11 Training Attendance'!$K$6:$K$155,"Attended",'11 Training Attendance'!$I$6:$I$155,G76))</x:f>
      </x:c>
      <x:c r="S76" s="94" t="str">
        <x:f>IF(OR(B76="",G76=""),"",COUNTIFS('13 Effectiveness Review'!$C$6:$C$155,B76,'13 Effectiveness Review'!$F$6:$F$155,G76,'13 Effectiveness Review'!$X$6:$X$155,"Closed — Effective"))</x:f>
      </x:c>
      <x:c r="T76" s="94" t="str">
        <x:f>IF(B76="","",IF(K76="","Not Assessed",IF(O76="Expired","Renewal Due",IF(L76=0,"Competent","Skill Gap"))))</x:f>
      </x:c>
      <x:c r="U76" s="94" t="str">
        <x:f>IFERROR(VLOOKUP(D76&amp;"|"&amp;E76&amp;"|"&amp;G76,'03 Position Requirements'!$A$6:$R$285,14,FALSE),"")</x:f>
      </x:c>
      <x:c r="V76" s="92"/>
      <x:c r="W76" s="85" t="str">
        <x:f>IF(B76="","",B76&amp;"|"&amp;COUNTIF($B$6:B76,B76))</x:f>
      </x:c>
      <x:c r="X76" s="85" t="str">
        <x:f>IF(B76="","",G76)</x:f>
      </x:c>
      <x:c r="Y76" s="85" t="str">
        <x:f>IF(B76="","",H76)</x:f>
      </x:c>
      <x:c r="Z76" s="85" t="str">
        <x:f>IF(B76="","",I76)</x:f>
      </x:c>
      <x:c r="AA76" s="85" t="str">
        <x:f>IF(B76="","",J76)</x:f>
      </x:c>
      <x:c r="AB76" s="85" t="str">
        <x:f>IF(B76="","",K76)</x:f>
      </x:c>
      <x:c r="AC76" s="85" t="str">
        <x:f>IF(B76="","",L76)</x:f>
      </x:c>
      <x:c r="AD76" s="85" t="str">
        <x:f>IF(B76="","",M76)</x:f>
      </x:c>
      <x:c r="AE76" s="85" t="str">
        <x:f>IF(B76="","",N76)</x:f>
      </x:c>
      <x:c r="AF76" s="85" t="str">
        <x:f>IF(B76="","",O76)</x:f>
      </x:c>
      <x:c r="AG76" s="85" t="str">
        <x:f>IF(B76="","",P76)</x:f>
      </x:c>
      <x:c r="AH76" s="85" t="str">
        <x:f>IF(B76="","",Q76)</x:f>
      </x:c>
      <x:c r="AI76" s="85" t="str">
        <x:f>IF(B76="","",R76)</x:f>
      </x:c>
      <x:c r="AJ76" s="85" t="str">
        <x:f>IF(B76="","",S76)</x:f>
      </x:c>
      <x:c r="AK76" s="85" t="str">
        <x:f>IF(B76="","",T76)</x:f>
      </x:c>
    </x:row>
    <x:row r="77">
      <x:c r="A77" s="94" t="str">
        <x:f>IF(OR(B77="",G77=""),"",B77&amp;"|"&amp;G77)</x:f>
      </x:c>
      <x:c r="B77" s="92"/>
      <x:c r="C77" s="94" t="str">
        <x:f>IFERROR(VLOOKUP(B77,'01 Staff Master'!$A$6:$M$105,2,FALSE),"")</x:f>
      </x:c>
      <x:c r="D77" s="94" t="str">
        <x:f>IFERROR(VLOOKUP(B77,'01 Staff Master'!$A$6:$M$105,3,FALSE),"")</x:f>
      </x:c>
      <x:c r="E77" s="94" t="str">
        <x:f>IFERROR(VLOOKUP(B77,'01 Staff Master'!$A$6:$M$105,5,FALSE),"")</x:f>
      </x:c>
      <x:c r="F77" s="94" t="str">
        <x:f>IFERROR(VLOOKUP(B77,'01 Staff Master'!$A$6:$M$105,4,FALSE),"")</x:f>
      </x:c>
      <x:c r="G77" s="92"/>
      <x:c r="H77" s="94" t="str">
        <x:f>IFERROR(VLOOKUP(G77,'02 Skill Catalogue'!$A$6:$K$95,4,FALSE),"")</x:f>
      </x:c>
      <x:c r="I77" s="94" t="str">
        <x:f>IFERROR(VLOOKUP(D77&amp;"|"&amp;E77&amp;"|"&amp;G77,'03 Position Requirements'!$A$6:$R$285,8,FALSE),"")</x:f>
      </x:c>
      <x:c r="J77" s="94" t="str">
        <x:f>IFERROR(VLOOKUP(D77&amp;"|"&amp;E77&amp;"|"&amp;G77,'03 Position Requirements'!$A$6:$R$285,10,FALSE),"")</x:f>
      </x:c>
      <x:c r="K77" s="94" t="str">
        <x:f>IF(OR(B77="",G77=""),"",IF(COUNTIFS('04 Assessment Log'!$D$6:$D$155,B77,'04 Assessment Log'!$J$6:$J$155,G77,'04 Assessment Log'!$AA$6:$AA$155,"Yes")=0,"",SUMIFS('04 Assessment Log'!$O$6:$O$155,'04 Assessment Log'!$D$6:$D$155,B77,'04 Assessment Log'!$J$6:$J$155,G77,'04 Assessment Log'!$AA$6:$AA$155,"Yes")))</x:f>
      </x:c>
      <x:c r="L77" s="94" t="str">
        <x:f>IF(OR(J77="",K77=""),"",MAX(J77-K77,0))</x:f>
      </x:c>
      <x:c r="M77" s="102" t="str">
        <x:f>IF(COUNTIFS('04 Assessment Log'!$D$6:$D$155,B77,'04 Assessment Log'!$J$6:$J$155,G77,'04 Assessment Log'!$AA$6:$AA$155,"Yes")=0,"",SUMIFS('04 Assessment Log'!$B$6:$B$155,'04 Assessment Log'!$D$6:$D$155,B77,'04 Assessment Log'!$J$6:$J$155,G77,'04 Assessment Log'!$AA$6:$AA$155,"Yes"))</x:f>
      </x:c>
      <x:c r="N77" s="102" t="str">
        <x:f>IF(M77="","",SUMIFS('04 Assessment Log'!$Z$6:$Z$155,'04 Assessment Log'!$D$6:$D$155,B77,'04 Assessment Log'!$J$6:$J$155,G77,'04 Assessment Log'!$AA$6:$AA$155,"Yes"))</x:f>
      </x:c>
      <x:c r="O77" s="94" t="str">
        <x:f>IF(M77="","Not Assessed",IF(N77&lt;TODAY(),"Expired",IF(N77&lt;=TODAY()+30,"Due Soon","Current")))</x:f>
        <x:v>Not Assessed</x:v>
      </x:c>
      <x:c r="P77" s="94" t="str">
        <x:f>IF(OR(B77="",G77=""),"",COUNTIFS('05 Development Actions'!$C$6:$C$105,B77,'05 Development Actions'!$G$6:$G$105,G77,'05 Development Actions'!$A$6:$A$105,"&lt;&gt;",'05 Development Actions'!$AB$6:$AB$105,"&lt;&gt;Closed — Competent",'05 Development Actions'!$AB$6:$AB$105,"&lt;&gt;Cancelled"))</x:f>
      </x:c>
      <x:c r="Q77" s="94" t="str">
        <x:f>IF(OR(B77="",G77=""),"",COUNTIFS('11 Training Attendance'!$E$6:$E$155,B77,'11 Training Attendance'!$K$6:$K$155,"Attended",'11 Training Attendance'!$I$6:$I$155,G77))</x:f>
      </x:c>
      <x:c r="R77" s="102" t="str">
        <x:f>IF(Q77=0,"",MAXIFS('11 Training Attendance'!$D$6:$D$155,'11 Training Attendance'!$E$6:$E$155,B77,'11 Training Attendance'!$K$6:$K$155,"Attended",'11 Training Attendance'!$I$6:$I$155,G77))</x:f>
      </x:c>
      <x:c r="S77" s="94" t="str">
        <x:f>IF(OR(B77="",G77=""),"",COUNTIFS('13 Effectiveness Review'!$C$6:$C$155,B77,'13 Effectiveness Review'!$F$6:$F$155,G77,'13 Effectiveness Review'!$X$6:$X$155,"Closed — Effective"))</x:f>
      </x:c>
      <x:c r="T77" s="94" t="str">
        <x:f>IF(B77="","",IF(K77="","Not Assessed",IF(O77="Expired","Renewal Due",IF(L77=0,"Competent","Skill Gap"))))</x:f>
      </x:c>
      <x:c r="U77" s="94" t="str">
        <x:f>IFERROR(VLOOKUP(D77&amp;"|"&amp;E77&amp;"|"&amp;G77,'03 Position Requirements'!$A$6:$R$285,14,FALSE),"")</x:f>
      </x:c>
      <x:c r="V77" s="92"/>
      <x:c r="W77" s="85" t="str">
        <x:f>IF(B77="","",B77&amp;"|"&amp;COUNTIF($B$6:B77,B77))</x:f>
      </x:c>
      <x:c r="X77" s="85" t="str">
        <x:f>IF(B77="","",G77)</x:f>
      </x:c>
      <x:c r="Y77" s="85" t="str">
        <x:f>IF(B77="","",H77)</x:f>
      </x:c>
      <x:c r="Z77" s="85" t="str">
        <x:f>IF(B77="","",I77)</x:f>
      </x:c>
      <x:c r="AA77" s="85" t="str">
        <x:f>IF(B77="","",J77)</x:f>
      </x:c>
      <x:c r="AB77" s="85" t="str">
        <x:f>IF(B77="","",K77)</x:f>
      </x:c>
      <x:c r="AC77" s="85" t="str">
        <x:f>IF(B77="","",L77)</x:f>
      </x:c>
      <x:c r="AD77" s="85" t="str">
        <x:f>IF(B77="","",M77)</x:f>
      </x:c>
      <x:c r="AE77" s="85" t="str">
        <x:f>IF(B77="","",N77)</x:f>
      </x:c>
      <x:c r="AF77" s="85" t="str">
        <x:f>IF(B77="","",O77)</x:f>
      </x:c>
      <x:c r="AG77" s="85" t="str">
        <x:f>IF(B77="","",P77)</x:f>
      </x:c>
      <x:c r="AH77" s="85" t="str">
        <x:f>IF(B77="","",Q77)</x:f>
      </x:c>
      <x:c r="AI77" s="85" t="str">
        <x:f>IF(B77="","",R77)</x:f>
      </x:c>
      <x:c r="AJ77" s="85" t="str">
        <x:f>IF(B77="","",S77)</x:f>
      </x:c>
      <x:c r="AK77" s="85" t="str">
        <x:f>IF(B77="","",T77)</x:f>
      </x:c>
    </x:row>
    <x:row r="78">
      <x:c r="A78" s="94" t="str">
        <x:f>IF(OR(B78="",G78=""),"",B78&amp;"|"&amp;G78)</x:f>
      </x:c>
      <x:c r="B78" s="92"/>
      <x:c r="C78" s="94" t="str">
        <x:f>IFERROR(VLOOKUP(B78,'01 Staff Master'!$A$6:$M$105,2,FALSE),"")</x:f>
      </x:c>
      <x:c r="D78" s="94" t="str">
        <x:f>IFERROR(VLOOKUP(B78,'01 Staff Master'!$A$6:$M$105,3,FALSE),"")</x:f>
      </x:c>
      <x:c r="E78" s="94" t="str">
        <x:f>IFERROR(VLOOKUP(B78,'01 Staff Master'!$A$6:$M$105,5,FALSE),"")</x:f>
      </x:c>
      <x:c r="F78" s="94" t="str">
        <x:f>IFERROR(VLOOKUP(B78,'01 Staff Master'!$A$6:$M$105,4,FALSE),"")</x:f>
      </x:c>
      <x:c r="G78" s="92"/>
      <x:c r="H78" s="94" t="str">
        <x:f>IFERROR(VLOOKUP(G78,'02 Skill Catalogue'!$A$6:$K$95,4,FALSE),"")</x:f>
      </x:c>
      <x:c r="I78" s="94" t="str">
        <x:f>IFERROR(VLOOKUP(D78&amp;"|"&amp;E78&amp;"|"&amp;G78,'03 Position Requirements'!$A$6:$R$285,8,FALSE),"")</x:f>
      </x:c>
      <x:c r="J78" s="94" t="str">
        <x:f>IFERROR(VLOOKUP(D78&amp;"|"&amp;E78&amp;"|"&amp;G78,'03 Position Requirements'!$A$6:$R$285,10,FALSE),"")</x:f>
      </x:c>
      <x:c r="K78" s="94" t="str">
        <x:f>IF(OR(B78="",G78=""),"",IF(COUNTIFS('04 Assessment Log'!$D$6:$D$155,B78,'04 Assessment Log'!$J$6:$J$155,G78,'04 Assessment Log'!$AA$6:$AA$155,"Yes")=0,"",SUMIFS('04 Assessment Log'!$O$6:$O$155,'04 Assessment Log'!$D$6:$D$155,B78,'04 Assessment Log'!$J$6:$J$155,G78,'04 Assessment Log'!$AA$6:$AA$155,"Yes")))</x:f>
      </x:c>
      <x:c r="L78" s="94" t="str">
        <x:f>IF(OR(J78="",K78=""),"",MAX(J78-K78,0))</x:f>
      </x:c>
      <x:c r="M78" s="102" t="str">
        <x:f>IF(COUNTIFS('04 Assessment Log'!$D$6:$D$155,B78,'04 Assessment Log'!$J$6:$J$155,G78,'04 Assessment Log'!$AA$6:$AA$155,"Yes")=0,"",SUMIFS('04 Assessment Log'!$B$6:$B$155,'04 Assessment Log'!$D$6:$D$155,B78,'04 Assessment Log'!$J$6:$J$155,G78,'04 Assessment Log'!$AA$6:$AA$155,"Yes"))</x:f>
      </x:c>
      <x:c r="N78" s="102" t="str">
        <x:f>IF(M78="","",SUMIFS('04 Assessment Log'!$Z$6:$Z$155,'04 Assessment Log'!$D$6:$D$155,B78,'04 Assessment Log'!$J$6:$J$155,G78,'04 Assessment Log'!$AA$6:$AA$155,"Yes"))</x:f>
      </x:c>
      <x:c r="O78" s="94" t="str">
        <x:f>IF(M78="","Not Assessed",IF(N78&lt;TODAY(),"Expired",IF(N78&lt;=TODAY()+30,"Due Soon","Current")))</x:f>
        <x:v>Not Assessed</x:v>
      </x:c>
      <x:c r="P78" s="94" t="str">
        <x:f>IF(OR(B78="",G78=""),"",COUNTIFS('05 Development Actions'!$C$6:$C$105,B78,'05 Development Actions'!$G$6:$G$105,G78,'05 Development Actions'!$A$6:$A$105,"&lt;&gt;",'05 Development Actions'!$AB$6:$AB$105,"&lt;&gt;Closed — Competent",'05 Development Actions'!$AB$6:$AB$105,"&lt;&gt;Cancelled"))</x:f>
      </x:c>
      <x:c r="Q78" s="94" t="str">
        <x:f>IF(OR(B78="",G78=""),"",COUNTIFS('11 Training Attendance'!$E$6:$E$155,B78,'11 Training Attendance'!$K$6:$K$155,"Attended",'11 Training Attendance'!$I$6:$I$155,G78))</x:f>
      </x:c>
      <x:c r="R78" s="102" t="str">
        <x:f>IF(Q78=0,"",MAXIFS('11 Training Attendance'!$D$6:$D$155,'11 Training Attendance'!$E$6:$E$155,B78,'11 Training Attendance'!$K$6:$K$155,"Attended",'11 Training Attendance'!$I$6:$I$155,G78))</x:f>
      </x:c>
      <x:c r="S78" s="94" t="str">
        <x:f>IF(OR(B78="",G78=""),"",COUNTIFS('13 Effectiveness Review'!$C$6:$C$155,B78,'13 Effectiveness Review'!$F$6:$F$155,G78,'13 Effectiveness Review'!$X$6:$X$155,"Closed — Effective"))</x:f>
      </x:c>
      <x:c r="T78" s="94" t="str">
        <x:f>IF(B78="","",IF(K78="","Not Assessed",IF(O78="Expired","Renewal Due",IF(L78=0,"Competent","Skill Gap"))))</x:f>
      </x:c>
      <x:c r="U78" s="94" t="str">
        <x:f>IFERROR(VLOOKUP(D78&amp;"|"&amp;E78&amp;"|"&amp;G78,'03 Position Requirements'!$A$6:$R$285,14,FALSE),"")</x:f>
      </x:c>
      <x:c r="V78" s="92"/>
      <x:c r="W78" s="85" t="str">
        <x:f>IF(B78="","",B78&amp;"|"&amp;COUNTIF($B$6:B78,B78))</x:f>
      </x:c>
      <x:c r="X78" s="85" t="str">
        <x:f>IF(B78="","",G78)</x:f>
      </x:c>
      <x:c r="Y78" s="85" t="str">
        <x:f>IF(B78="","",H78)</x:f>
      </x:c>
      <x:c r="Z78" s="85" t="str">
        <x:f>IF(B78="","",I78)</x:f>
      </x:c>
      <x:c r="AA78" s="85" t="str">
        <x:f>IF(B78="","",J78)</x:f>
      </x:c>
      <x:c r="AB78" s="85" t="str">
        <x:f>IF(B78="","",K78)</x:f>
      </x:c>
      <x:c r="AC78" s="85" t="str">
        <x:f>IF(B78="","",L78)</x:f>
      </x:c>
      <x:c r="AD78" s="85" t="str">
        <x:f>IF(B78="","",M78)</x:f>
      </x:c>
      <x:c r="AE78" s="85" t="str">
        <x:f>IF(B78="","",N78)</x:f>
      </x:c>
      <x:c r="AF78" s="85" t="str">
        <x:f>IF(B78="","",O78)</x:f>
      </x:c>
      <x:c r="AG78" s="85" t="str">
        <x:f>IF(B78="","",P78)</x:f>
      </x:c>
      <x:c r="AH78" s="85" t="str">
        <x:f>IF(B78="","",Q78)</x:f>
      </x:c>
      <x:c r="AI78" s="85" t="str">
        <x:f>IF(B78="","",R78)</x:f>
      </x:c>
      <x:c r="AJ78" s="85" t="str">
        <x:f>IF(B78="","",S78)</x:f>
      </x:c>
      <x:c r="AK78" s="85" t="str">
        <x:f>IF(B78="","",T78)</x:f>
      </x:c>
    </x:row>
    <x:row r="79">
      <x:c r="A79" s="94" t="str">
        <x:f>IF(OR(B79="",G79=""),"",B79&amp;"|"&amp;G79)</x:f>
      </x:c>
      <x:c r="B79" s="92"/>
      <x:c r="C79" s="94" t="str">
        <x:f>IFERROR(VLOOKUP(B79,'01 Staff Master'!$A$6:$M$105,2,FALSE),"")</x:f>
      </x:c>
      <x:c r="D79" s="94" t="str">
        <x:f>IFERROR(VLOOKUP(B79,'01 Staff Master'!$A$6:$M$105,3,FALSE),"")</x:f>
      </x:c>
      <x:c r="E79" s="94" t="str">
        <x:f>IFERROR(VLOOKUP(B79,'01 Staff Master'!$A$6:$M$105,5,FALSE),"")</x:f>
      </x:c>
      <x:c r="F79" s="94" t="str">
        <x:f>IFERROR(VLOOKUP(B79,'01 Staff Master'!$A$6:$M$105,4,FALSE),"")</x:f>
      </x:c>
      <x:c r="G79" s="92"/>
      <x:c r="H79" s="94" t="str">
        <x:f>IFERROR(VLOOKUP(G79,'02 Skill Catalogue'!$A$6:$K$95,4,FALSE),"")</x:f>
      </x:c>
      <x:c r="I79" s="94" t="str">
        <x:f>IFERROR(VLOOKUP(D79&amp;"|"&amp;E79&amp;"|"&amp;G79,'03 Position Requirements'!$A$6:$R$285,8,FALSE),"")</x:f>
      </x:c>
      <x:c r="J79" s="94" t="str">
        <x:f>IFERROR(VLOOKUP(D79&amp;"|"&amp;E79&amp;"|"&amp;G79,'03 Position Requirements'!$A$6:$R$285,10,FALSE),"")</x:f>
      </x:c>
      <x:c r="K79" s="94" t="str">
        <x:f>IF(OR(B79="",G79=""),"",IF(COUNTIFS('04 Assessment Log'!$D$6:$D$155,B79,'04 Assessment Log'!$J$6:$J$155,G79,'04 Assessment Log'!$AA$6:$AA$155,"Yes")=0,"",SUMIFS('04 Assessment Log'!$O$6:$O$155,'04 Assessment Log'!$D$6:$D$155,B79,'04 Assessment Log'!$J$6:$J$155,G79,'04 Assessment Log'!$AA$6:$AA$155,"Yes")))</x:f>
      </x:c>
      <x:c r="L79" s="94" t="str">
        <x:f>IF(OR(J79="",K79=""),"",MAX(J79-K79,0))</x:f>
      </x:c>
      <x:c r="M79" s="102" t="str">
        <x:f>IF(COUNTIFS('04 Assessment Log'!$D$6:$D$155,B79,'04 Assessment Log'!$J$6:$J$155,G79,'04 Assessment Log'!$AA$6:$AA$155,"Yes")=0,"",SUMIFS('04 Assessment Log'!$B$6:$B$155,'04 Assessment Log'!$D$6:$D$155,B79,'04 Assessment Log'!$J$6:$J$155,G79,'04 Assessment Log'!$AA$6:$AA$155,"Yes"))</x:f>
      </x:c>
      <x:c r="N79" s="102" t="str">
        <x:f>IF(M79="","",SUMIFS('04 Assessment Log'!$Z$6:$Z$155,'04 Assessment Log'!$D$6:$D$155,B79,'04 Assessment Log'!$J$6:$J$155,G79,'04 Assessment Log'!$AA$6:$AA$155,"Yes"))</x:f>
      </x:c>
      <x:c r="O79" s="94" t="str">
        <x:f>IF(M79="","Not Assessed",IF(N79&lt;TODAY(),"Expired",IF(N79&lt;=TODAY()+30,"Due Soon","Current")))</x:f>
        <x:v>Not Assessed</x:v>
      </x:c>
      <x:c r="P79" s="94" t="str">
        <x:f>IF(OR(B79="",G79=""),"",COUNTIFS('05 Development Actions'!$C$6:$C$105,B79,'05 Development Actions'!$G$6:$G$105,G79,'05 Development Actions'!$A$6:$A$105,"&lt;&gt;",'05 Development Actions'!$AB$6:$AB$105,"&lt;&gt;Closed — Competent",'05 Development Actions'!$AB$6:$AB$105,"&lt;&gt;Cancelled"))</x:f>
      </x:c>
      <x:c r="Q79" s="94" t="str">
        <x:f>IF(OR(B79="",G79=""),"",COUNTIFS('11 Training Attendance'!$E$6:$E$155,B79,'11 Training Attendance'!$K$6:$K$155,"Attended",'11 Training Attendance'!$I$6:$I$155,G79))</x:f>
      </x:c>
      <x:c r="R79" s="102" t="str">
        <x:f>IF(Q79=0,"",MAXIFS('11 Training Attendance'!$D$6:$D$155,'11 Training Attendance'!$E$6:$E$155,B79,'11 Training Attendance'!$K$6:$K$155,"Attended",'11 Training Attendance'!$I$6:$I$155,G79))</x:f>
      </x:c>
      <x:c r="S79" s="94" t="str">
        <x:f>IF(OR(B79="",G79=""),"",COUNTIFS('13 Effectiveness Review'!$C$6:$C$155,B79,'13 Effectiveness Review'!$F$6:$F$155,G79,'13 Effectiveness Review'!$X$6:$X$155,"Closed — Effective"))</x:f>
      </x:c>
      <x:c r="T79" s="94" t="str">
        <x:f>IF(B79="","",IF(K79="","Not Assessed",IF(O79="Expired","Renewal Due",IF(L79=0,"Competent","Skill Gap"))))</x:f>
      </x:c>
      <x:c r="U79" s="94" t="str">
        <x:f>IFERROR(VLOOKUP(D79&amp;"|"&amp;E79&amp;"|"&amp;G79,'03 Position Requirements'!$A$6:$R$285,14,FALSE),"")</x:f>
      </x:c>
      <x:c r="V79" s="92"/>
      <x:c r="W79" s="85" t="str">
        <x:f>IF(B79="","",B79&amp;"|"&amp;COUNTIF($B$6:B79,B79))</x:f>
      </x:c>
      <x:c r="X79" s="85" t="str">
        <x:f>IF(B79="","",G79)</x:f>
      </x:c>
      <x:c r="Y79" s="85" t="str">
        <x:f>IF(B79="","",H79)</x:f>
      </x:c>
      <x:c r="Z79" s="85" t="str">
        <x:f>IF(B79="","",I79)</x:f>
      </x:c>
      <x:c r="AA79" s="85" t="str">
        <x:f>IF(B79="","",J79)</x:f>
      </x:c>
      <x:c r="AB79" s="85" t="str">
        <x:f>IF(B79="","",K79)</x:f>
      </x:c>
      <x:c r="AC79" s="85" t="str">
        <x:f>IF(B79="","",L79)</x:f>
      </x:c>
      <x:c r="AD79" s="85" t="str">
        <x:f>IF(B79="","",M79)</x:f>
      </x:c>
      <x:c r="AE79" s="85" t="str">
        <x:f>IF(B79="","",N79)</x:f>
      </x:c>
      <x:c r="AF79" s="85" t="str">
        <x:f>IF(B79="","",O79)</x:f>
      </x:c>
      <x:c r="AG79" s="85" t="str">
        <x:f>IF(B79="","",P79)</x:f>
      </x:c>
      <x:c r="AH79" s="85" t="str">
        <x:f>IF(B79="","",Q79)</x:f>
      </x:c>
      <x:c r="AI79" s="85" t="str">
        <x:f>IF(B79="","",R79)</x:f>
      </x:c>
      <x:c r="AJ79" s="85" t="str">
        <x:f>IF(B79="","",S79)</x:f>
      </x:c>
      <x:c r="AK79" s="85" t="str">
        <x:f>IF(B79="","",T79)</x:f>
      </x:c>
    </x:row>
    <x:row r="80">
      <x:c r="A80" s="94" t="str">
        <x:f>IF(OR(B80="",G80=""),"",B80&amp;"|"&amp;G80)</x:f>
      </x:c>
      <x:c r="B80" s="92"/>
      <x:c r="C80" s="94" t="str">
        <x:f>IFERROR(VLOOKUP(B80,'01 Staff Master'!$A$6:$M$105,2,FALSE),"")</x:f>
      </x:c>
      <x:c r="D80" s="94" t="str">
        <x:f>IFERROR(VLOOKUP(B80,'01 Staff Master'!$A$6:$M$105,3,FALSE),"")</x:f>
      </x:c>
      <x:c r="E80" s="94" t="str">
        <x:f>IFERROR(VLOOKUP(B80,'01 Staff Master'!$A$6:$M$105,5,FALSE),"")</x:f>
      </x:c>
      <x:c r="F80" s="94" t="str">
        <x:f>IFERROR(VLOOKUP(B80,'01 Staff Master'!$A$6:$M$105,4,FALSE),"")</x:f>
      </x:c>
      <x:c r="G80" s="92"/>
      <x:c r="H80" s="94" t="str">
        <x:f>IFERROR(VLOOKUP(G80,'02 Skill Catalogue'!$A$6:$K$95,4,FALSE),"")</x:f>
      </x:c>
      <x:c r="I80" s="94" t="str">
        <x:f>IFERROR(VLOOKUP(D80&amp;"|"&amp;E80&amp;"|"&amp;G80,'03 Position Requirements'!$A$6:$R$285,8,FALSE),"")</x:f>
      </x:c>
      <x:c r="J80" s="94" t="str">
        <x:f>IFERROR(VLOOKUP(D80&amp;"|"&amp;E80&amp;"|"&amp;G80,'03 Position Requirements'!$A$6:$R$285,10,FALSE),"")</x:f>
      </x:c>
      <x:c r="K80" s="94" t="str">
        <x:f>IF(OR(B80="",G80=""),"",IF(COUNTIFS('04 Assessment Log'!$D$6:$D$155,B80,'04 Assessment Log'!$J$6:$J$155,G80,'04 Assessment Log'!$AA$6:$AA$155,"Yes")=0,"",SUMIFS('04 Assessment Log'!$O$6:$O$155,'04 Assessment Log'!$D$6:$D$155,B80,'04 Assessment Log'!$J$6:$J$155,G80,'04 Assessment Log'!$AA$6:$AA$155,"Yes")))</x:f>
      </x:c>
      <x:c r="L80" s="94" t="str">
        <x:f>IF(OR(J80="",K80=""),"",MAX(J80-K80,0))</x:f>
      </x:c>
      <x:c r="M80" s="102" t="str">
        <x:f>IF(COUNTIFS('04 Assessment Log'!$D$6:$D$155,B80,'04 Assessment Log'!$J$6:$J$155,G80,'04 Assessment Log'!$AA$6:$AA$155,"Yes")=0,"",SUMIFS('04 Assessment Log'!$B$6:$B$155,'04 Assessment Log'!$D$6:$D$155,B80,'04 Assessment Log'!$J$6:$J$155,G80,'04 Assessment Log'!$AA$6:$AA$155,"Yes"))</x:f>
      </x:c>
      <x:c r="N80" s="102" t="str">
        <x:f>IF(M80="","",SUMIFS('04 Assessment Log'!$Z$6:$Z$155,'04 Assessment Log'!$D$6:$D$155,B80,'04 Assessment Log'!$J$6:$J$155,G80,'04 Assessment Log'!$AA$6:$AA$155,"Yes"))</x:f>
      </x:c>
      <x:c r="O80" s="94" t="str">
        <x:f>IF(M80="","Not Assessed",IF(N80&lt;TODAY(),"Expired",IF(N80&lt;=TODAY()+30,"Due Soon","Current")))</x:f>
        <x:v>Not Assessed</x:v>
      </x:c>
      <x:c r="P80" s="94" t="str">
        <x:f>IF(OR(B80="",G80=""),"",COUNTIFS('05 Development Actions'!$C$6:$C$105,B80,'05 Development Actions'!$G$6:$G$105,G80,'05 Development Actions'!$A$6:$A$105,"&lt;&gt;",'05 Development Actions'!$AB$6:$AB$105,"&lt;&gt;Closed — Competent",'05 Development Actions'!$AB$6:$AB$105,"&lt;&gt;Cancelled"))</x:f>
      </x:c>
      <x:c r="Q80" s="94" t="str">
        <x:f>IF(OR(B80="",G80=""),"",COUNTIFS('11 Training Attendance'!$E$6:$E$155,B80,'11 Training Attendance'!$K$6:$K$155,"Attended",'11 Training Attendance'!$I$6:$I$155,G80))</x:f>
      </x:c>
      <x:c r="R80" s="102" t="str">
        <x:f>IF(Q80=0,"",MAXIFS('11 Training Attendance'!$D$6:$D$155,'11 Training Attendance'!$E$6:$E$155,B80,'11 Training Attendance'!$K$6:$K$155,"Attended",'11 Training Attendance'!$I$6:$I$155,G80))</x:f>
      </x:c>
      <x:c r="S80" s="94" t="str">
        <x:f>IF(OR(B80="",G80=""),"",COUNTIFS('13 Effectiveness Review'!$C$6:$C$155,B80,'13 Effectiveness Review'!$F$6:$F$155,G80,'13 Effectiveness Review'!$X$6:$X$155,"Closed — Effective"))</x:f>
      </x:c>
      <x:c r="T80" s="94" t="str">
        <x:f>IF(B80="","",IF(K80="","Not Assessed",IF(O80="Expired","Renewal Due",IF(L80=0,"Competent","Skill Gap"))))</x:f>
      </x:c>
      <x:c r="U80" s="94" t="str">
        <x:f>IFERROR(VLOOKUP(D80&amp;"|"&amp;E80&amp;"|"&amp;G80,'03 Position Requirements'!$A$6:$R$285,14,FALSE),"")</x:f>
      </x:c>
      <x:c r="V80" s="92"/>
      <x:c r="W80" s="85" t="str">
        <x:f>IF(B80="","",B80&amp;"|"&amp;COUNTIF($B$6:B80,B80))</x:f>
      </x:c>
      <x:c r="X80" s="85" t="str">
        <x:f>IF(B80="","",G80)</x:f>
      </x:c>
      <x:c r="Y80" s="85" t="str">
        <x:f>IF(B80="","",H80)</x:f>
      </x:c>
      <x:c r="Z80" s="85" t="str">
        <x:f>IF(B80="","",I80)</x:f>
      </x:c>
      <x:c r="AA80" s="85" t="str">
        <x:f>IF(B80="","",J80)</x:f>
      </x:c>
      <x:c r="AB80" s="85" t="str">
        <x:f>IF(B80="","",K80)</x:f>
      </x:c>
      <x:c r="AC80" s="85" t="str">
        <x:f>IF(B80="","",L80)</x:f>
      </x:c>
      <x:c r="AD80" s="85" t="str">
        <x:f>IF(B80="","",M80)</x:f>
      </x:c>
      <x:c r="AE80" s="85" t="str">
        <x:f>IF(B80="","",N80)</x:f>
      </x:c>
      <x:c r="AF80" s="85" t="str">
        <x:f>IF(B80="","",O80)</x:f>
      </x:c>
      <x:c r="AG80" s="85" t="str">
        <x:f>IF(B80="","",P80)</x:f>
      </x:c>
      <x:c r="AH80" s="85" t="str">
        <x:f>IF(B80="","",Q80)</x:f>
      </x:c>
      <x:c r="AI80" s="85" t="str">
        <x:f>IF(B80="","",R80)</x:f>
      </x:c>
      <x:c r="AJ80" s="85" t="str">
        <x:f>IF(B80="","",S80)</x:f>
      </x:c>
      <x:c r="AK80" s="85" t="str">
        <x:f>IF(B80="","",T80)</x:f>
      </x:c>
    </x:row>
    <x:row r="81">
      <x:c r="A81" s="94" t="str">
        <x:f>IF(OR(B81="",G81=""),"",B81&amp;"|"&amp;G81)</x:f>
      </x:c>
      <x:c r="B81" s="92"/>
      <x:c r="C81" s="94" t="str">
        <x:f>IFERROR(VLOOKUP(B81,'01 Staff Master'!$A$6:$M$105,2,FALSE),"")</x:f>
      </x:c>
      <x:c r="D81" s="94" t="str">
        <x:f>IFERROR(VLOOKUP(B81,'01 Staff Master'!$A$6:$M$105,3,FALSE),"")</x:f>
      </x:c>
      <x:c r="E81" s="94" t="str">
        <x:f>IFERROR(VLOOKUP(B81,'01 Staff Master'!$A$6:$M$105,5,FALSE),"")</x:f>
      </x:c>
      <x:c r="F81" s="94" t="str">
        <x:f>IFERROR(VLOOKUP(B81,'01 Staff Master'!$A$6:$M$105,4,FALSE),"")</x:f>
      </x:c>
      <x:c r="G81" s="92"/>
      <x:c r="H81" s="94" t="str">
        <x:f>IFERROR(VLOOKUP(G81,'02 Skill Catalogue'!$A$6:$K$95,4,FALSE),"")</x:f>
      </x:c>
      <x:c r="I81" s="94" t="str">
        <x:f>IFERROR(VLOOKUP(D81&amp;"|"&amp;E81&amp;"|"&amp;G81,'03 Position Requirements'!$A$6:$R$285,8,FALSE),"")</x:f>
      </x:c>
      <x:c r="J81" s="94" t="str">
        <x:f>IFERROR(VLOOKUP(D81&amp;"|"&amp;E81&amp;"|"&amp;G81,'03 Position Requirements'!$A$6:$R$285,10,FALSE),"")</x:f>
      </x:c>
      <x:c r="K81" s="94" t="str">
        <x:f>IF(OR(B81="",G81=""),"",IF(COUNTIFS('04 Assessment Log'!$D$6:$D$155,B81,'04 Assessment Log'!$J$6:$J$155,G81,'04 Assessment Log'!$AA$6:$AA$155,"Yes")=0,"",SUMIFS('04 Assessment Log'!$O$6:$O$155,'04 Assessment Log'!$D$6:$D$155,B81,'04 Assessment Log'!$J$6:$J$155,G81,'04 Assessment Log'!$AA$6:$AA$155,"Yes")))</x:f>
      </x:c>
      <x:c r="L81" s="94" t="str">
        <x:f>IF(OR(J81="",K81=""),"",MAX(J81-K81,0))</x:f>
      </x:c>
      <x:c r="M81" s="102" t="str">
        <x:f>IF(COUNTIFS('04 Assessment Log'!$D$6:$D$155,B81,'04 Assessment Log'!$J$6:$J$155,G81,'04 Assessment Log'!$AA$6:$AA$155,"Yes")=0,"",SUMIFS('04 Assessment Log'!$B$6:$B$155,'04 Assessment Log'!$D$6:$D$155,B81,'04 Assessment Log'!$J$6:$J$155,G81,'04 Assessment Log'!$AA$6:$AA$155,"Yes"))</x:f>
      </x:c>
      <x:c r="N81" s="102" t="str">
        <x:f>IF(M81="","",SUMIFS('04 Assessment Log'!$Z$6:$Z$155,'04 Assessment Log'!$D$6:$D$155,B81,'04 Assessment Log'!$J$6:$J$155,G81,'04 Assessment Log'!$AA$6:$AA$155,"Yes"))</x:f>
      </x:c>
      <x:c r="O81" s="94" t="str">
        <x:f>IF(M81="","Not Assessed",IF(N81&lt;TODAY(),"Expired",IF(N81&lt;=TODAY()+30,"Due Soon","Current")))</x:f>
        <x:v>Not Assessed</x:v>
      </x:c>
      <x:c r="P81" s="94" t="str">
        <x:f>IF(OR(B81="",G81=""),"",COUNTIFS('05 Development Actions'!$C$6:$C$105,B81,'05 Development Actions'!$G$6:$G$105,G81,'05 Development Actions'!$A$6:$A$105,"&lt;&gt;",'05 Development Actions'!$AB$6:$AB$105,"&lt;&gt;Closed — Competent",'05 Development Actions'!$AB$6:$AB$105,"&lt;&gt;Cancelled"))</x:f>
      </x:c>
      <x:c r="Q81" s="94" t="str">
        <x:f>IF(OR(B81="",G81=""),"",COUNTIFS('11 Training Attendance'!$E$6:$E$155,B81,'11 Training Attendance'!$K$6:$K$155,"Attended",'11 Training Attendance'!$I$6:$I$155,G81))</x:f>
      </x:c>
      <x:c r="R81" s="102" t="str">
        <x:f>IF(Q81=0,"",MAXIFS('11 Training Attendance'!$D$6:$D$155,'11 Training Attendance'!$E$6:$E$155,B81,'11 Training Attendance'!$K$6:$K$155,"Attended",'11 Training Attendance'!$I$6:$I$155,G81))</x:f>
      </x:c>
      <x:c r="S81" s="94" t="str">
        <x:f>IF(OR(B81="",G81=""),"",COUNTIFS('13 Effectiveness Review'!$C$6:$C$155,B81,'13 Effectiveness Review'!$F$6:$F$155,G81,'13 Effectiveness Review'!$X$6:$X$155,"Closed — Effective"))</x:f>
      </x:c>
      <x:c r="T81" s="94" t="str">
        <x:f>IF(B81="","",IF(K81="","Not Assessed",IF(O81="Expired","Renewal Due",IF(L81=0,"Competent","Skill Gap"))))</x:f>
      </x:c>
      <x:c r="U81" s="94" t="str">
        <x:f>IFERROR(VLOOKUP(D81&amp;"|"&amp;E81&amp;"|"&amp;G81,'03 Position Requirements'!$A$6:$R$285,14,FALSE),"")</x:f>
      </x:c>
      <x:c r="V81" s="92"/>
      <x:c r="W81" s="85" t="str">
        <x:f>IF(B81="","",B81&amp;"|"&amp;COUNTIF($B$6:B81,B81))</x:f>
      </x:c>
      <x:c r="X81" s="85" t="str">
        <x:f>IF(B81="","",G81)</x:f>
      </x:c>
      <x:c r="Y81" s="85" t="str">
        <x:f>IF(B81="","",H81)</x:f>
      </x:c>
      <x:c r="Z81" s="85" t="str">
        <x:f>IF(B81="","",I81)</x:f>
      </x:c>
      <x:c r="AA81" s="85" t="str">
        <x:f>IF(B81="","",J81)</x:f>
      </x:c>
      <x:c r="AB81" s="85" t="str">
        <x:f>IF(B81="","",K81)</x:f>
      </x:c>
      <x:c r="AC81" s="85" t="str">
        <x:f>IF(B81="","",L81)</x:f>
      </x:c>
      <x:c r="AD81" s="85" t="str">
        <x:f>IF(B81="","",M81)</x:f>
      </x:c>
      <x:c r="AE81" s="85" t="str">
        <x:f>IF(B81="","",N81)</x:f>
      </x:c>
      <x:c r="AF81" s="85" t="str">
        <x:f>IF(B81="","",O81)</x:f>
      </x:c>
      <x:c r="AG81" s="85" t="str">
        <x:f>IF(B81="","",P81)</x:f>
      </x:c>
      <x:c r="AH81" s="85" t="str">
        <x:f>IF(B81="","",Q81)</x:f>
      </x:c>
      <x:c r="AI81" s="85" t="str">
        <x:f>IF(B81="","",R81)</x:f>
      </x:c>
      <x:c r="AJ81" s="85" t="str">
        <x:f>IF(B81="","",S81)</x:f>
      </x:c>
      <x:c r="AK81" s="85" t="str">
        <x:f>IF(B81="","",T81)</x:f>
      </x:c>
    </x:row>
    <x:row r="82">
      <x:c r="A82" s="94" t="str">
        <x:f>IF(OR(B82="",G82=""),"",B82&amp;"|"&amp;G82)</x:f>
      </x:c>
      <x:c r="B82" s="92"/>
      <x:c r="C82" s="94" t="str">
        <x:f>IFERROR(VLOOKUP(B82,'01 Staff Master'!$A$6:$M$105,2,FALSE),"")</x:f>
      </x:c>
      <x:c r="D82" s="94" t="str">
        <x:f>IFERROR(VLOOKUP(B82,'01 Staff Master'!$A$6:$M$105,3,FALSE),"")</x:f>
      </x:c>
      <x:c r="E82" s="94" t="str">
        <x:f>IFERROR(VLOOKUP(B82,'01 Staff Master'!$A$6:$M$105,5,FALSE),"")</x:f>
      </x:c>
      <x:c r="F82" s="94" t="str">
        <x:f>IFERROR(VLOOKUP(B82,'01 Staff Master'!$A$6:$M$105,4,FALSE),"")</x:f>
      </x:c>
      <x:c r="G82" s="92"/>
      <x:c r="H82" s="94" t="str">
        <x:f>IFERROR(VLOOKUP(G82,'02 Skill Catalogue'!$A$6:$K$95,4,FALSE),"")</x:f>
      </x:c>
      <x:c r="I82" s="94" t="str">
        <x:f>IFERROR(VLOOKUP(D82&amp;"|"&amp;E82&amp;"|"&amp;G82,'03 Position Requirements'!$A$6:$R$285,8,FALSE),"")</x:f>
      </x:c>
      <x:c r="J82" s="94" t="str">
        <x:f>IFERROR(VLOOKUP(D82&amp;"|"&amp;E82&amp;"|"&amp;G82,'03 Position Requirements'!$A$6:$R$285,10,FALSE),"")</x:f>
      </x:c>
      <x:c r="K82" s="94" t="str">
        <x:f>IF(OR(B82="",G82=""),"",IF(COUNTIFS('04 Assessment Log'!$D$6:$D$155,B82,'04 Assessment Log'!$J$6:$J$155,G82,'04 Assessment Log'!$AA$6:$AA$155,"Yes")=0,"",SUMIFS('04 Assessment Log'!$O$6:$O$155,'04 Assessment Log'!$D$6:$D$155,B82,'04 Assessment Log'!$J$6:$J$155,G82,'04 Assessment Log'!$AA$6:$AA$155,"Yes")))</x:f>
      </x:c>
      <x:c r="L82" s="94" t="str">
        <x:f>IF(OR(J82="",K82=""),"",MAX(J82-K82,0))</x:f>
      </x:c>
      <x:c r="M82" s="102" t="str">
        <x:f>IF(COUNTIFS('04 Assessment Log'!$D$6:$D$155,B82,'04 Assessment Log'!$J$6:$J$155,G82,'04 Assessment Log'!$AA$6:$AA$155,"Yes")=0,"",SUMIFS('04 Assessment Log'!$B$6:$B$155,'04 Assessment Log'!$D$6:$D$155,B82,'04 Assessment Log'!$J$6:$J$155,G82,'04 Assessment Log'!$AA$6:$AA$155,"Yes"))</x:f>
      </x:c>
      <x:c r="N82" s="102" t="str">
        <x:f>IF(M82="","",SUMIFS('04 Assessment Log'!$Z$6:$Z$155,'04 Assessment Log'!$D$6:$D$155,B82,'04 Assessment Log'!$J$6:$J$155,G82,'04 Assessment Log'!$AA$6:$AA$155,"Yes"))</x:f>
      </x:c>
      <x:c r="O82" s="94" t="str">
        <x:f>IF(M82="","Not Assessed",IF(N82&lt;TODAY(),"Expired",IF(N82&lt;=TODAY()+30,"Due Soon","Current")))</x:f>
        <x:v>Not Assessed</x:v>
      </x:c>
      <x:c r="P82" s="94" t="str">
        <x:f>IF(OR(B82="",G82=""),"",COUNTIFS('05 Development Actions'!$C$6:$C$105,B82,'05 Development Actions'!$G$6:$G$105,G82,'05 Development Actions'!$A$6:$A$105,"&lt;&gt;",'05 Development Actions'!$AB$6:$AB$105,"&lt;&gt;Closed — Competent",'05 Development Actions'!$AB$6:$AB$105,"&lt;&gt;Cancelled"))</x:f>
      </x:c>
      <x:c r="Q82" s="94" t="str">
        <x:f>IF(OR(B82="",G82=""),"",COUNTIFS('11 Training Attendance'!$E$6:$E$155,B82,'11 Training Attendance'!$K$6:$K$155,"Attended",'11 Training Attendance'!$I$6:$I$155,G82))</x:f>
      </x:c>
      <x:c r="R82" s="102" t="str">
        <x:f>IF(Q82=0,"",MAXIFS('11 Training Attendance'!$D$6:$D$155,'11 Training Attendance'!$E$6:$E$155,B82,'11 Training Attendance'!$K$6:$K$155,"Attended",'11 Training Attendance'!$I$6:$I$155,G82))</x:f>
      </x:c>
      <x:c r="S82" s="94" t="str">
        <x:f>IF(OR(B82="",G82=""),"",COUNTIFS('13 Effectiveness Review'!$C$6:$C$155,B82,'13 Effectiveness Review'!$F$6:$F$155,G82,'13 Effectiveness Review'!$X$6:$X$155,"Closed — Effective"))</x:f>
      </x:c>
      <x:c r="T82" s="94" t="str">
        <x:f>IF(B82="","",IF(K82="","Not Assessed",IF(O82="Expired","Renewal Due",IF(L82=0,"Competent","Skill Gap"))))</x:f>
      </x:c>
      <x:c r="U82" s="94" t="str">
        <x:f>IFERROR(VLOOKUP(D82&amp;"|"&amp;E82&amp;"|"&amp;G82,'03 Position Requirements'!$A$6:$R$285,14,FALSE),"")</x:f>
      </x:c>
      <x:c r="V82" s="92"/>
      <x:c r="W82" s="85" t="str">
        <x:f>IF(B82="","",B82&amp;"|"&amp;COUNTIF($B$6:B82,B82))</x:f>
      </x:c>
      <x:c r="X82" s="85" t="str">
        <x:f>IF(B82="","",G82)</x:f>
      </x:c>
      <x:c r="Y82" s="85" t="str">
        <x:f>IF(B82="","",H82)</x:f>
      </x:c>
      <x:c r="Z82" s="85" t="str">
        <x:f>IF(B82="","",I82)</x:f>
      </x:c>
      <x:c r="AA82" s="85" t="str">
        <x:f>IF(B82="","",J82)</x:f>
      </x:c>
      <x:c r="AB82" s="85" t="str">
        <x:f>IF(B82="","",K82)</x:f>
      </x:c>
      <x:c r="AC82" s="85" t="str">
        <x:f>IF(B82="","",L82)</x:f>
      </x:c>
      <x:c r="AD82" s="85" t="str">
        <x:f>IF(B82="","",M82)</x:f>
      </x:c>
      <x:c r="AE82" s="85" t="str">
        <x:f>IF(B82="","",N82)</x:f>
      </x:c>
      <x:c r="AF82" s="85" t="str">
        <x:f>IF(B82="","",O82)</x:f>
      </x:c>
      <x:c r="AG82" s="85" t="str">
        <x:f>IF(B82="","",P82)</x:f>
      </x:c>
      <x:c r="AH82" s="85" t="str">
        <x:f>IF(B82="","",Q82)</x:f>
      </x:c>
      <x:c r="AI82" s="85" t="str">
        <x:f>IF(B82="","",R82)</x:f>
      </x:c>
      <x:c r="AJ82" s="85" t="str">
        <x:f>IF(B82="","",S82)</x:f>
      </x:c>
      <x:c r="AK82" s="85" t="str">
        <x:f>IF(B82="","",T82)</x:f>
      </x:c>
    </x:row>
    <x:row r="83">
      <x:c r="A83" s="94" t="str">
        <x:f>IF(OR(B83="",G83=""),"",B83&amp;"|"&amp;G83)</x:f>
      </x:c>
      <x:c r="B83" s="92"/>
      <x:c r="C83" s="94" t="str">
        <x:f>IFERROR(VLOOKUP(B83,'01 Staff Master'!$A$6:$M$105,2,FALSE),"")</x:f>
      </x:c>
      <x:c r="D83" s="94" t="str">
        <x:f>IFERROR(VLOOKUP(B83,'01 Staff Master'!$A$6:$M$105,3,FALSE),"")</x:f>
      </x:c>
      <x:c r="E83" s="94" t="str">
        <x:f>IFERROR(VLOOKUP(B83,'01 Staff Master'!$A$6:$M$105,5,FALSE),"")</x:f>
      </x:c>
      <x:c r="F83" s="94" t="str">
        <x:f>IFERROR(VLOOKUP(B83,'01 Staff Master'!$A$6:$M$105,4,FALSE),"")</x:f>
      </x:c>
      <x:c r="G83" s="92"/>
      <x:c r="H83" s="94" t="str">
        <x:f>IFERROR(VLOOKUP(G83,'02 Skill Catalogue'!$A$6:$K$95,4,FALSE),"")</x:f>
      </x:c>
      <x:c r="I83" s="94" t="str">
        <x:f>IFERROR(VLOOKUP(D83&amp;"|"&amp;E83&amp;"|"&amp;G83,'03 Position Requirements'!$A$6:$R$285,8,FALSE),"")</x:f>
      </x:c>
      <x:c r="J83" s="94" t="str">
        <x:f>IFERROR(VLOOKUP(D83&amp;"|"&amp;E83&amp;"|"&amp;G83,'03 Position Requirements'!$A$6:$R$285,10,FALSE),"")</x:f>
      </x:c>
      <x:c r="K83" s="94" t="str">
        <x:f>IF(OR(B83="",G83=""),"",IF(COUNTIFS('04 Assessment Log'!$D$6:$D$155,B83,'04 Assessment Log'!$J$6:$J$155,G83,'04 Assessment Log'!$AA$6:$AA$155,"Yes")=0,"",SUMIFS('04 Assessment Log'!$O$6:$O$155,'04 Assessment Log'!$D$6:$D$155,B83,'04 Assessment Log'!$J$6:$J$155,G83,'04 Assessment Log'!$AA$6:$AA$155,"Yes")))</x:f>
      </x:c>
      <x:c r="L83" s="94" t="str">
        <x:f>IF(OR(J83="",K83=""),"",MAX(J83-K83,0))</x:f>
      </x:c>
      <x:c r="M83" s="102" t="str">
        <x:f>IF(COUNTIFS('04 Assessment Log'!$D$6:$D$155,B83,'04 Assessment Log'!$J$6:$J$155,G83,'04 Assessment Log'!$AA$6:$AA$155,"Yes")=0,"",SUMIFS('04 Assessment Log'!$B$6:$B$155,'04 Assessment Log'!$D$6:$D$155,B83,'04 Assessment Log'!$J$6:$J$155,G83,'04 Assessment Log'!$AA$6:$AA$155,"Yes"))</x:f>
      </x:c>
      <x:c r="N83" s="102" t="str">
        <x:f>IF(M83="","",SUMIFS('04 Assessment Log'!$Z$6:$Z$155,'04 Assessment Log'!$D$6:$D$155,B83,'04 Assessment Log'!$J$6:$J$155,G83,'04 Assessment Log'!$AA$6:$AA$155,"Yes"))</x:f>
      </x:c>
      <x:c r="O83" s="94" t="str">
        <x:f>IF(M83="","Not Assessed",IF(N83&lt;TODAY(),"Expired",IF(N83&lt;=TODAY()+30,"Due Soon","Current")))</x:f>
        <x:v>Not Assessed</x:v>
      </x:c>
      <x:c r="P83" s="94" t="str">
        <x:f>IF(OR(B83="",G83=""),"",COUNTIFS('05 Development Actions'!$C$6:$C$105,B83,'05 Development Actions'!$G$6:$G$105,G83,'05 Development Actions'!$A$6:$A$105,"&lt;&gt;",'05 Development Actions'!$AB$6:$AB$105,"&lt;&gt;Closed — Competent",'05 Development Actions'!$AB$6:$AB$105,"&lt;&gt;Cancelled"))</x:f>
      </x:c>
      <x:c r="Q83" s="94" t="str">
        <x:f>IF(OR(B83="",G83=""),"",COUNTIFS('11 Training Attendance'!$E$6:$E$155,B83,'11 Training Attendance'!$K$6:$K$155,"Attended",'11 Training Attendance'!$I$6:$I$155,G83))</x:f>
      </x:c>
      <x:c r="R83" s="102" t="str">
        <x:f>IF(Q83=0,"",MAXIFS('11 Training Attendance'!$D$6:$D$155,'11 Training Attendance'!$E$6:$E$155,B83,'11 Training Attendance'!$K$6:$K$155,"Attended",'11 Training Attendance'!$I$6:$I$155,G83))</x:f>
      </x:c>
      <x:c r="S83" s="94" t="str">
        <x:f>IF(OR(B83="",G83=""),"",COUNTIFS('13 Effectiveness Review'!$C$6:$C$155,B83,'13 Effectiveness Review'!$F$6:$F$155,G83,'13 Effectiveness Review'!$X$6:$X$155,"Closed — Effective"))</x:f>
      </x:c>
      <x:c r="T83" s="94" t="str">
        <x:f>IF(B83="","",IF(K83="","Not Assessed",IF(O83="Expired","Renewal Due",IF(L83=0,"Competent","Skill Gap"))))</x:f>
      </x:c>
      <x:c r="U83" s="94" t="str">
        <x:f>IFERROR(VLOOKUP(D83&amp;"|"&amp;E83&amp;"|"&amp;G83,'03 Position Requirements'!$A$6:$R$285,14,FALSE),"")</x:f>
      </x:c>
      <x:c r="V83" s="92"/>
      <x:c r="W83" s="85" t="str">
        <x:f>IF(B83="","",B83&amp;"|"&amp;COUNTIF($B$6:B83,B83))</x:f>
      </x:c>
      <x:c r="X83" s="85" t="str">
        <x:f>IF(B83="","",G83)</x:f>
      </x:c>
      <x:c r="Y83" s="85" t="str">
        <x:f>IF(B83="","",H83)</x:f>
      </x:c>
      <x:c r="Z83" s="85" t="str">
        <x:f>IF(B83="","",I83)</x:f>
      </x:c>
      <x:c r="AA83" s="85" t="str">
        <x:f>IF(B83="","",J83)</x:f>
      </x:c>
      <x:c r="AB83" s="85" t="str">
        <x:f>IF(B83="","",K83)</x:f>
      </x:c>
      <x:c r="AC83" s="85" t="str">
        <x:f>IF(B83="","",L83)</x:f>
      </x:c>
      <x:c r="AD83" s="85" t="str">
        <x:f>IF(B83="","",M83)</x:f>
      </x:c>
      <x:c r="AE83" s="85" t="str">
        <x:f>IF(B83="","",N83)</x:f>
      </x:c>
      <x:c r="AF83" s="85" t="str">
        <x:f>IF(B83="","",O83)</x:f>
      </x:c>
      <x:c r="AG83" s="85" t="str">
        <x:f>IF(B83="","",P83)</x:f>
      </x:c>
      <x:c r="AH83" s="85" t="str">
        <x:f>IF(B83="","",Q83)</x:f>
      </x:c>
      <x:c r="AI83" s="85" t="str">
        <x:f>IF(B83="","",R83)</x:f>
      </x:c>
      <x:c r="AJ83" s="85" t="str">
        <x:f>IF(B83="","",S83)</x:f>
      </x:c>
      <x:c r="AK83" s="85" t="str">
        <x:f>IF(B83="","",T83)</x:f>
      </x:c>
    </x:row>
    <x:row r="84">
      <x:c r="A84" s="94" t="str">
        <x:f>IF(OR(B84="",G84=""),"",B84&amp;"|"&amp;G84)</x:f>
      </x:c>
      <x:c r="B84" s="92"/>
      <x:c r="C84" s="94" t="str">
        <x:f>IFERROR(VLOOKUP(B84,'01 Staff Master'!$A$6:$M$105,2,FALSE),"")</x:f>
      </x:c>
      <x:c r="D84" s="94" t="str">
        <x:f>IFERROR(VLOOKUP(B84,'01 Staff Master'!$A$6:$M$105,3,FALSE),"")</x:f>
      </x:c>
      <x:c r="E84" s="94" t="str">
        <x:f>IFERROR(VLOOKUP(B84,'01 Staff Master'!$A$6:$M$105,5,FALSE),"")</x:f>
      </x:c>
      <x:c r="F84" s="94" t="str">
        <x:f>IFERROR(VLOOKUP(B84,'01 Staff Master'!$A$6:$M$105,4,FALSE),"")</x:f>
      </x:c>
      <x:c r="G84" s="92"/>
      <x:c r="H84" s="94" t="str">
        <x:f>IFERROR(VLOOKUP(G84,'02 Skill Catalogue'!$A$6:$K$95,4,FALSE),"")</x:f>
      </x:c>
      <x:c r="I84" s="94" t="str">
        <x:f>IFERROR(VLOOKUP(D84&amp;"|"&amp;E84&amp;"|"&amp;G84,'03 Position Requirements'!$A$6:$R$285,8,FALSE),"")</x:f>
      </x:c>
      <x:c r="J84" s="94" t="str">
        <x:f>IFERROR(VLOOKUP(D84&amp;"|"&amp;E84&amp;"|"&amp;G84,'03 Position Requirements'!$A$6:$R$285,10,FALSE),"")</x:f>
      </x:c>
      <x:c r="K84" s="94" t="str">
        <x:f>IF(OR(B84="",G84=""),"",IF(COUNTIFS('04 Assessment Log'!$D$6:$D$155,B84,'04 Assessment Log'!$J$6:$J$155,G84,'04 Assessment Log'!$AA$6:$AA$155,"Yes")=0,"",SUMIFS('04 Assessment Log'!$O$6:$O$155,'04 Assessment Log'!$D$6:$D$155,B84,'04 Assessment Log'!$J$6:$J$155,G84,'04 Assessment Log'!$AA$6:$AA$155,"Yes")))</x:f>
      </x:c>
      <x:c r="L84" s="94" t="str">
        <x:f>IF(OR(J84="",K84=""),"",MAX(J84-K84,0))</x:f>
      </x:c>
      <x:c r="M84" s="102" t="str">
        <x:f>IF(COUNTIFS('04 Assessment Log'!$D$6:$D$155,B84,'04 Assessment Log'!$J$6:$J$155,G84,'04 Assessment Log'!$AA$6:$AA$155,"Yes")=0,"",SUMIFS('04 Assessment Log'!$B$6:$B$155,'04 Assessment Log'!$D$6:$D$155,B84,'04 Assessment Log'!$J$6:$J$155,G84,'04 Assessment Log'!$AA$6:$AA$155,"Yes"))</x:f>
      </x:c>
      <x:c r="N84" s="102" t="str">
        <x:f>IF(M84="","",SUMIFS('04 Assessment Log'!$Z$6:$Z$155,'04 Assessment Log'!$D$6:$D$155,B84,'04 Assessment Log'!$J$6:$J$155,G84,'04 Assessment Log'!$AA$6:$AA$155,"Yes"))</x:f>
      </x:c>
      <x:c r="O84" s="94" t="str">
        <x:f>IF(M84="","Not Assessed",IF(N84&lt;TODAY(),"Expired",IF(N84&lt;=TODAY()+30,"Due Soon","Current")))</x:f>
        <x:v>Not Assessed</x:v>
      </x:c>
      <x:c r="P84" s="94" t="str">
        <x:f>IF(OR(B84="",G84=""),"",COUNTIFS('05 Development Actions'!$C$6:$C$105,B84,'05 Development Actions'!$G$6:$G$105,G84,'05 Development Actions'!$A$6:$A$105,"&lt;&gt;",'05 Development Actions'!$AB$6:$AB$105,"&lt;&gt;Closed — Competent",'05 Development Actions'!$AB$6:$AB$105,"&lt;&gt;Cancelled"))</x:f>
      </x:c>
      <x:c r="Q84" s="94" t="str">
        <x:f>IF(OR(B84="",G84=""),"",COUNTIFS('11 Training Attendance'!$E$6:$E$155,B84,'11 Training Attendance'!$K$6:$K$155,"Attended",'11 Training Attendance'!$I$6:$I$155,G84))</x:f>
      </x:c>
      <x:c r="R84" s="102" t="str">
        <x:f>IF(Q84=0,"",MAXIFS('11 Training Attendance'!$D$6:$D$155,'11 Training Attendance'!$E$6:$E$155,B84,'11 Training Attendance'!$K$6:$K$155,"Attended",'11 Training Attendance'!$I$6:$I$155,G84))</x:f>
      </x:c>
      <x:c r="S84" s="94" t="str">
        <x:f>IF(OR(B84="",G84=""),"",COUNTIFS('13 Effectiveness Review'!$C$6:$C$155,B84,'13 Effectiveness Review'!$F$6:$F$155,G84,'13 Effectiveness Review'!$X$6:$X$155,"Closed — Effective"))</x:f>
      </x:c>
      <x:c r="T84" s="94" t="str">
        <x:f>IF(B84="","",IF(K84="","Not Assessed",IF(O84="Expired","Renewal Due",IF(L84=0,"Competent","Skill Gap"))))</x:f>
      </x:c>
      <x:c r="U84" s="94" t="str">
        <x:f>IFERROR(VLOOKUP(D84&amp;"|"&amp;E84&amp;"|"&amp;G84,'03 Position Requirements'!$A$6:$R$285,14,FALSE),"")</x:f>
      </x:c>
      <x:c r="V84" s="92"/>
      <x:c r="W84" s="85" t="str">
        <x:f>IF(B84="","",B84&amp;"|"&amp;COUNTIF($B$6:B84,B84))</x:f>
      </x:c>
      <x:c r="X84" s="85" t="str">
        <x:f>IF(B84="","",G84)</x:f>
      </x:c>
      <x:c r="Y84" s="85" t="str">
        <x:f>IF(B84="","",H84)</x:f>
      </x:c>
      <x:c r="Z84" s="85" t="str">
        <x:f>IF(B84="","",I84)</x:f>
      </x:c>
      <x:c r="AA84" s="85" t="str">
        <x:f>IF(B84="","",J84)</x:f>
      </x:c>
      <x:c r="AB84" s="85" t="str">
        <x:f>IF(B84="","",K84)</x:f>
      </x:c>
      <x:c r="AC84" s="85" t="str">
        <x:f>IF(B84="","",L84)</x:f>
      </x:c>
      <x:c r="AD84" s="85" t="str">
        <x:f>IF(B84="","",M84)</x:f>
      </x:c>
      <x:c r="AE84" s="85" t="str">
        <x:f>IF(B84="","",N84)</x:f>
      </x:c>
      <x:c r="AF84" s="85" t="str">
        <x:f>IF(B84="","",O84)</x:f>
      </x:c>
      <x:c r="AG84" s="85" t="str">
        <x:f>IF(B84="","",P84)</x:f>
      </x:c>
      <x:c r="AH84" s="85" t="str">
        <x:f>IF(B84="","",Q84)</x:f>
      </x:c>
      <x:c r="AI84" s="85" t="str">
        <x:f>IF(B84="","",R84)</x:f>
      </x:c>
      <x:c r="AJ84" s="85" t="str">
        <x:f>IF(B84="","",S84)</x:f>
      </x:c>
      <x:c r="AK84" s="85" t="str">
        <x:f>IF(B84="","",T84)</x:f>
      </x:c>
    </x:row>
    <x:row r="85">
      <x:c r="A85" s="94" t="str">
        <x:f>IF(OR(B85="",G85=""),"",B85&amp;"|"&amp;G85)</x:f>
      </x:c>
      <x:c r="B85" s="92"/>
      <x:c r="C85" s="94" t="str">
        <x:f>IFERROR(VLOOKUP(B85,'01 Staff Master'!$A$6:$M$105,2,FALSE),"")</x:f>
      </x:c>
      <x:c r="D85" s="94" t="str">
        <x:f>IFERROR(VLOOKUP(B85,'01 Staff Master'!$A$6:$M$105,3,FALSE),"")</x:f>
      </x:c>
      <x:c r="E85" s="94" t="str">
        <x:f>IFERROR(VLOOKUP(B85,'01 Staff Master'!$A$6:$M$105,5,FALSE),"")</x:f>
      </x:c>
      <x:c r="F85" s="94" t="str">
        <x:f>IFERROR(VLOOKUP(B85,'01 Staff Master'!$A$6:$M$105,4,FALSE),"")</x:f>
      </x:c>
      <x:c r="G85" s="92"/>
      <x:c r="H85" s="94" t="str">
        <x:f>IFERROR(VLOOKUP(G85,'02 Skill Catalogue'!$A$6:$K$95,4,FALSE),"")</x:f>
      </x:c>
      <x:c r="I85" s="94" t="str">
        <x:f>IFERROR(VLOOKUP(D85&amp;"|"&amp;E85&amp;"|"&amp;G85,'03 Position Requirements'!$A$6:$R$285,8,FALSE),"")</x:f>
      </x:c>
      <x:c r="J85" s="94" t="str">
        <x:f>IFERROR(VLOOKUP(D85&amp;"|"&amp;E85&amp;"|"&amp;G85,'03 Position Requirements'!$A$6:$R$285,10,FALSE),"")</x:f>
      </x:c>
      <x:c r="K85" s="94" t="str">
        <x:f>IF(OR(B85="",G85=""),"",IF(COUNTIFS('04 Assessment Log'!$D$6:$D$155,B85,'04 Assessment Log'!$J$6:$J$155,G85,'04 Assessment Log'!$AA$6:$AA$155,"Yes")=0,"",SUMIFS('04 Assessment Log'!$O$6:$O$155,'04 Assessment Log'!$D$6:$D$155,B85,'04 Assessment Log'!$J$6:$J$155,G85,'04 Assessment Log'!$AA$6:$AA$155,"Yes")))</x:f>
      </x:c>
      <x:c r="L85" s="94" t="str">
        <x:f>IF(OR(J85="",K85=""),"",MAX(J85-K85,0))</x:f>
      </x:c>
      <x:c r="M85" s="102" t="str">
        <x:f>IF(COUNTIFS('04 Assessment Log'!$D$6:$D$155,B85,'04 Assessment Log'!$J$6:$J$155,G85,'04 Assessment Log'!$AA$6:$AA$155,"Yes")=0,"",SUMIFS('04 Assessment Log'!$B$6:$B$155,'04 Assessment Log'!$D$6:$D$155,B85,'04 Assessment Log'!$J$6:$J$155,G85,'04 Assessment Log'!$AA$6:$AA$155,"Yes"))</x:f>
      </x:c>
      <x:c r="N85" s="102" t="str">
        <x:f>IF(M85="","",SUMIFS('04 Assessment Log'!$Z$6:$Z$155,'04 Assessment Log'!$D$6:$D$155,B85,'04 Assessment Log'!$J$6:$J$155,G85,'04 Assessment Log'!$AA$6:$AA$155,"Yes"))</x:f>
      </x:c>
      <x:c r="O85" s="94" t="str">
        <x:f>IF(M85="","Not Assessed",IF(N85&lt;TODAY(),"Expired",IF(N85&lt;=TODAY()+30,"Due Soon","Current")))</x:f>
        <x:v>Not Assessed</x:v>
      </x:c>
      <x:c r="P85" s="94" t="str">
        <x:f>IF(OR(B85="",G85=""),"",COUNTIFS('05 Development Actions'!$C$6:$C$105,B85,'05 Development Actions'!$G$6:$G$105,G85,'05 Development Actions'!$A$6:$A$105,"&lt;&gt;",'05 Development Actions'!$AB$6:$AB$105,"&lt;&gt;Closed — Competent",'05 Development Actions'!$AB$6:$AB$105,"&lt;&gt;Cancelled"))</x:f>
      </x:c>
      <x:c r="Q85" s="94" t="str">
        <x:f>IF(OR(B85="",G85=""),"",COUNTIFS('11 Training Attendance'!$E$6:$E$155,B85,'11 Training Attendance'!$K$6:$K$155,"Attended",'11 Training Attendance'!$I$6:$I$155,G85))</x:f>
      </x:c>
      <x:c r="R85" s="102" t="str">
        <x:f>IF(Q85=0,"",MAXIFS('11 Training Attendance'!$D$6:$D$155,'11 Training Attendance'!$E$6:$E$155,B85,'11 Training Attendance'!$K$6:$K$155,"Attended",'11 Training Attendance'!$I$6:$I$155,G85))</x:f>
      </x:c>
      <x:c r="S85" s="94" t="str">
        <x:f>IF(OR(B85="",G85=""),"",COUNTIFS('13 Effectiveness Review'!$C$6:$C$155,B85,'13 Effectiveness Review'!$F$6:$F$155,G85,'13 Effectiveness Review'!$X$6:$X$155,"Closed — Effective"))</x:f>
      </x:c>
      <x:c r="T85" s="94" t="str">
        <x:f>IF(B85="","",IF(K85="","Not Assessed",IF(O85="Expired","Renewal Due",IF(L85=0,"Competent","Skill Gap"))))</x:f>
      </x:c>
      <x:c r="U85" s="94" t="str">
        <x:f>IFERROR(VLOOKUP(D85&amp;"|"&amp;E85&amp;"|"&amp;G85,'03 Position Requirements'!$A$6:$R$285,14,FALSE),"")</x:f>
      </x:c>
      <x:c r="V85" s="92"/>
      <x:c r="W85" s="85" t="str">
        <x:f>IF(B85="","",B85&amp;"|"&amp;COUNTIF($B$6:B85,B85))</x:f>
      </x:c>
      <x:c r="X85" s="85" t="str">
        <x:f>IF(B85="","",G85)</x:f>
      </x:c>
      <x:c r="Y85" s="85" t="str">
        <x:f>IF(B85="","",H85)</x:f>
      </x:c>
      <x:c r="Z85" s="85" t="str">
        <x:f>IF(B85="","",I85)</x:f>
      </x:c>
      <x:c r="AA85" s="85" t="str">
        <x:f>IF(B85="","",J85)</x:f>
      </x:c>
      <x:c r="AB85" s="85" t="str">
        <x:f>IF(B85="","",K85)</x:f>
      </x:c>
      <x:c r="AC85" s="85" t="str">
        <x:f>IF(B85="","",L85)</x:f>
      </x:c>
      <x:c r="AD85" s="85" t="str">
        <x:f>IF(B85="","",M85)</x:f>
      </x:c>
      <x:c r="AE85" s="85" t="str">
        <x:f>IF(B85="","",N85)</x:f>
      </x:c>
      <x:c r="AF85" s="85" t="str">
        <x:f>IF(B85="","",O85)</x:f>
      </x:c>
      <x:c r="AG85" s="85" t="str">
        <x:f>IF(B85="","",P85)</x:f>
      </x:c>
      <x:c r="AH85" s="85" t="str">
        <x:f>IF(B85="","",Q85)</x:f>
      </x:c>
      <x:c r="AI85" s="85" t="str">
        <x:f>IF(B85="","",R85)</x:f>
      </x:c>
      <x:c r="AJ85" s="85" t="str">
        <x:f>IF(B85="","",S85)</x:f>
      </x:c>
      <x:c r="AK85" s="85" t="str">
        <x:f>IF(B85="","",T85)</x:f>
      </x:c>
    </x:row>
    <x:row r="86">
      <x:c r="A86" s="94" t="str">
        <x:f>IF(OR(B86="",G86=""),"",B86&amp;"|"&amp;G86)</x:f>
      </x:c>
      <x:c r="B86" s="92"/>
      <x:c r="C86" s="94" t="str">
        <x:f>IFERROR(VLOOKUP(B86,'01 Staff Master'!$A$6:$M$105,2,FALSE),"")</x:f>
      </x:c>
      <x:c r="D86" s="94" t="str">
        <x:f>IFERROR(VLOOKUP(B86,'01 Staff Master'!$A$6:$M$105,3,FALSE),"")</x:f>
      </x:c>
      <x:c r="E86" s="94" t="str">
        <x:f>IFERROR(VLOOKUP(B86,'01 Staff Master'!$A$6:$M$105,5,FALSE),"")</x:f>
      </x:c>
      <x:c r="F86" s="94" t="str">
        <x:f>IFERROR(VLOOKUP(B86,'01 Staff Master'!$A$6:$M$105,4,FALSE),"")</x:f>
      </x:c>
      <x:c r="G86" s="92"/>
      <x:c r="H86" s="94" t="str">
        <x:f>IFERROR(VLOOKUP(G86,'02 Skill Catalogue'!$A$6:$K$95,4,FALSE),"")</x:f>
      </x:c>
      <x:c r="I86" s="94" t="str">
        <x:f>IFERROR(VLOOKUP(D86&amp;"|"&amp;E86&amp;"|"&amp;G86,'03 Position Requirements'!$A$6:$R$285,8,FALSE),"")</x:f>
      </x:c>
      <x:c r="J86" s="94" t="str">
        <x:f>IFERROR(VLOOKUP(D86&amp;"|"&amp;E86&amp;"|"&amp;G86,'03 Position Requirements'!$A$6:$R$285,10,FALSE),"")</x:f>
      </x:c>
      <x:c r="K86" s="94" t="str">
        <x:f>IF(OR(B86="",G86=""),"",IF(COUNTIFS('04 Assessment Log'!$D$6:$D$155,B86,'04 Assessment Log'!$J$6:$J$155,G86,'04 Assessment Log'!$AA$6:$AA$155,"Yes")=0,"",SUMIFS('04 Assessment Log'!$O$6:$O$155,'04 Assessment Log'!$D$6:$D$155,B86,'04 Assessment Log'!$J$6:$J$155,G86,'04 Assessment Log'!$AA$6:$AA$155,"Yes")))</x:f>
      </x:c>
      <x:c r="L86" s="94" t="str">
        <x:f>IF(OR(J86="",K86=""),"",MAX(J86-K86,0))</x:f>
      </x:c>
      <x:c r="M86" s="102" t="str">
        <x:f>IF(COUNTIFS('04 Assessment Log'!$D$6:$D$155,B86,'04 Assessment Log'!$J$6:$J$155,G86,'04 Assessment Log'!$AA$6:$AA$155,"Yes")=0,"",SUMIFS('04 Assessment Log'!$B$6:$B$155,'04 Assessment Log'!$D$6:$D$155,B86,'04 Assessment Log'!$J$6:$J$155,G86,'04 Assessment Log'!$AA$6:$AA$155,"Yes"))</x:f>
      </x:c>
      <x:c r="N86" s="102" t="str">
        <x:f>IF(M86="","",SUMIFS('04 Assessment Log'!$Z$6:$Z$155,'04 Assessment Log'!$D$6:$D$155,B86,'04 Assessment Log'!$J$6:$J$155,G86,'04 Assessment Log'!$AA$6:$AA$155,"Yes"))</x:f>
      </x:c>
      <x:c r="O86" s="94" t="str">
        <x:f>IF(M86="","Not Assessed",IF(N86&lt;TODAY(),"Expired",IF(N86&lt;=TODAY()+30,"Due Soon","Current")))</x:f>
        <x:v>Not Assessed</x:v>
      </x:c>
      <x:c r="P86" s="94" t="str">
        <x:f>IF(OR(B86="",G86=""),"",COUNTIFS('05 Development Actions'!$C$6:$C$105,B86,'05 Development Actions'!$G$6:$G$105,G86,'05 Development Actions'!$A$6:$A$105,"&lt;&gt;",'05 Development Actions'!$AB$6:$AB$105,"&lt;&gt;Closed — Competent",'05 Development Actions'!$AB$6:$AB$105,"&lt;&gt;Cancelled"))</x:f>
      </x:c>
      <x:c r="Q86" s="94" t="str">
        <x:f>IF(OR(B86="",G86=""),"",COUNTIFS('11 Training Attendance'!$E$6:$E$155,B86,'11 Training Attendance'!$K$6:$K$155,"Attended",'11 Training Attendance'!$I$6:$I$155,G86))</x:f>
      </x:c>
      <x:c r="R86" s="102" t="str">
        <x:f>IF(Q86=0,"",MAXIFS('11 Training Attendance'!$D$6:$D$155,'11 Training Attendance'!$E$6:$E$155,B86,'11 Training Attendance'!$K$6:$K$155,"Attended",'11 Training Attendance'!$I$6:$I$155,G86))</x:f>
      </x:c>
      <x:c r="S86" s="94" t="str">
        <x:f>IF(OR(B86="",G86=""),"",COUNTIFS('13 Effectiveness Review'!$C$6:$C$155,B86,'13 Effectiveness Review'!$F$6:$F$155,G86,'13 Effectiveness Review'!$X$6:$X$155,"Closed — Effective"))</x:f>
      </x:c>
      <x:c r="T86" s="94" t="str">
        <x:f>IF(B86="","",IF(K86="","Not Assessed",IF(O86="Expired","Renewal Due",IF(L86=0,"Competent","Skill Gap"))))</x:f>
      </x:c>
      <x:c r="U86" s="94" t="str">
        <x:f>IFERROR(VLOOKUP(D86&amp;"|"&amp;E86&amp;"|"&amp;G86,'03 Position Requirements'!$A$6:$R$285,14,FALSE),"")</x:f>
      </x:c>
      <x:c r="V86" s="92"/>
      <x:c r="W86" s="85" t="str">
        <x:f>IF(B86="","",B86&amp;"|"&amp;COUNTIF($B$6:B86,B86))</x:f>
      </x:c>
      <x:c r="X86" s="85" t="str">
        <x:f>IF(B86="","",G86)</x:f>
      </x:c>
      <x:c r="Y86" s="85" t="str">
        <x:f>IF(B86="","",H86)</x:f>
      </x:c>
      <x:c r="Z86" s="85" t="str">
        <x:f>IF(B86="","",I86)</x:f>
      </x:c>
      <x:c r="AA86" s="85" t="str">
        <x:f>IF(B86="","",J86)</x:f>
      </x:c>
      <x:c r="AB86" s="85" t="str">
        <x:f>IF(B86="","",K86)</x:f>
      </x:c>
      <x:c r="AC86" s="85" t="str">
        <x:f>IF(B86="","",L86)</x:f>
      </x:c>
      <x:c r="AD86" s="85" t="str">
        <x:f>IF(B86="","",M86)</x:f>
      </x:c>
      <x:c r="AE86" s="85" t="str">
        <x:f>IF(B86="","",N86)</x:f>
      </x:c>
      <x:c r="AF86" s="85" t="str">
        <x:f>IF(B86="","",O86)</x:f>
      </x:c>
      <x:c r="AG86" s="85" t="str">
        <x:f>IF(B86="","",P86)</x:f>
      </x:c>
      <x:c r="AH86" s="85" t="str">
        <x:f>IF(B86="","",Q86)</x:f>
      </x:c>
      <x:c r="AI86" s="85" t="str">
        <x:f>IF(B86="","",R86)</x:f>
      </x:c>
      <x:c r="AJ86" s="85" t="str">
        <x:f>IF(B86="","",S86)</x:f>
      </x:c>
      <x:c r="AK86" s="85" t="str">
        <x:f>IF(B86="","",T86)</x:f>
      </x:c>
    </x:row>
    <x:row r="87">
      <x:c r="A87" s="94" t="str">
        <x:f>IF(OR(B87="",G87=""),"",B87&amp;"|"&amp;G87)</x:f>
      </x:c>
      <x:c r="B87" s="92"/>
      <x:c r="C87" s="94" t="str">
        <x:f>IFERROR(VLOOKUP(B87,'01 Staff Master'!$A$6:$M$105,2,FALSE),"")</x:f>
      </x:c>
      <x:c r="D87" s="94" t="str">
        <x:f>IFERROR(VLOOKUP(B87,'01 Staff Master'!$A$6:$M$105,3,FALSE),"")</x:f>
      </x:c>
      <x:c r="E87" s="94" t="str">
        <x:f>IFERROR(VLOOKUP(B87,'01 Staff Master'!$A$6:$M$105,5,FALSE),"")</x:f>
      </x:c>
      <x:c r="F87" s="94" t="str">
        <x:f>IFERROR(VLOOKUP(B87,'01 Staff Master'!$A$6:$M$105,4,FALSE),"")</x:f>
      </x:c>
      <x:c r="G87" s="92"/>
      <x:c r="H87" s="94" t="str">
        <x:f>IFERROR(VLOOKUP(G87,'02 Skill Catalogue'!$A$6:$K$95,4,FALSE),"")</x:f>
      </x:c>
      <x:c r="I87" s="94" t="str">
        <x:f>IFERROR(VLOOKUP(D87&amp;"|"&amp;E87&amp;"|"&amp;G87,'03 Position Requirements'!$A$6:$R$285,8,FALSE),"")</x:f>
      </x:c>
      <x:c r="J87" s="94" t="str">
        <x:f>IFERROR(VLOOKUP(D87&amp;"|"&amp;E87&amp;"|"&amp;G87,'03 Position Requirements'!$A$6:$R$285,10,FALSE),"")</x:f>
      </x:c>
      <x:c r="K87" s="94" t="str">
        <x:f>IF(OR(B87="",G87=""),"",IF(COUNTIFS('04 Assessment Log'!$D$6:$D$155,B87,'04 Assessment Log'!$J$6:$J$155,G87,'04 Assessment Log'!$AA$6:$AA$155,"Yes")=0,"",SUMIFS('04 Assessment Log'!$O$6:$O$155,'04 Assessment Log'!$D$6:$D$155,B87,'04 Assessment Log'!$J$6:$J$155,G87,'04 Assessment Log'!$AA$6:$AA$155,"Yes")))</x:f>
      </x:c>
      <x:c r="L87" s="94" t="str">
        <x:f>IF(OR(J87="",K87=""),"",MAX(J87-K87,0))</x:f>
      </x:c>
      <x:c r="M87" s="102" t="str">
        <x:f>IF(COUNTIFS('04 Assessment Log'!$D$6:$D$155,B87,'04 Assessment Log'!$J$6:$J$155,G87,'04 Assessment Log'!$AA$6:$AA$155,"Yes")=0,"",SUMIFS('04 Assessment Log'!$B$6:$B$155,'04 Assessment Log'!$D$6:$D$155,B87,'04 Assessment Log'!$J$6:$J$155,G87,'04 Assessment Log'!$AA$6:$AA$155,"Yes"))</x:f>
      </x:c>
      <x:c r="N87" s="102" t="str">
        <x:f>IF(M87="","",SUMIFS('04 Assessment Log'!$Z$6:$Z$155,'04 Assessment Log'!$D$6:$D$155,B87,'04 Assessment Log'!$J$6:$J$155,G87,'04 Assessment Log'!$AA$6:$AA$155,"Yes"))</x:f>
      </x:c>
      <x:c r="O87" s="94" t="str">
        <x:f>IF(M87="","Not Assessed",IF(N87&lt;TODAY(),"Expired",IF(N87&lt;=TODAY()+30,"Due Soon","Current")))</x:f>
        <x:v>Not Assessed</x:v>
      </x:c>
      <x:c r="P87" s="94" t="str">
        <x:f>IF(OR(B87="",G87=""),"",COUNTIFS('05 Development Actions'!$C$6:$C$105,B87,'05 Development Actions'!$G$6:$G$105,G87,'05 Development Actions'!$A$6:$A$105,"&lt;&gt;",'05 Development Actions'!$AB$6:$AB$105,"&lt;&gt;Closed — Competent",'05 Development Actions'!$AB$6:$AB$105,"&lt;&gt;Cancelled"))</x:f>
      </x:c>
      <x:c r="Q87" s="94" t="str">
        <x:f>IF(OR(B87="",G87=""),"",COUNTIFS('11 Training Attendance'!$E$6:$E$155,B87,'11 Training Attendance'!$K$6:$K$155,"Attended",'11 Training Attendance'!$I$6:$I$155,G87))</x:f>
      </x:c>
      <x:c r="R87" s="102" t="str">
        <x:f>IF(Q87=0,"",MAXIFS('11 Training Attendance'!$D$6:$D$155,'11 Training Attendance'!$E$6:$E$155,B87,'11 Training Attendance'!$K$6:$K$155,"Attended",'11 Training Attendance'!$I$6:$I$155,G87))</x:f>
      </x:c>
      <x:c r="S87" s="94" t="str">
        <x:f>IF(OR(B87="",G87=""),"",COUNTIFS('13 Effectiveness Review'!$C$6:$C$155,B87,'13 Effectiveness Review'!$F$6:$F$155,G87,'13 Effectiveness Review'!$X$6:$X$155,"Closed — Effective"))</x:f>
      </x:c>
      <x:c r="T87" s="94" t="str">
        <x:f>IF(B87="","",IF(K87="","Not Assessed",IF(O87="Expired","Renewal Due",IF(L87=0,"Competent","Skill Gap"))))</x:f>
      </x:c>
      <x:c r="U87" s="94" t="str">
        <x:f>IFERROR(VLOOKUP(D87&amp;"|"&amp;E87&amp;"|"&amp;G87,'03 Position Requirements'!$A$6:$R$285,14,FALSE),"")</x:f>
      </x:c>
      <x:c r="V87" s="92"/>
      <x:c r="W87" s="85" t="str">
        <x:f>IF(B87="","",B87&amp;"|"&amp;COUNTIF($B$6:B87,B87))</x:f>
      </x:c>
      <x:c r="X87" s="85" t="str">
        <x:f>IF(B87="","",G87)</x:f>
      </x:c>
      <x:c r="Y87" s="85" t="str">
        <x:f>IF(B87="","",H87)</x:f>
      </x:c>
      <x:c r="Z87" s="85" t="str">
        <x:f>IF(B87="","",I87)</x:f>
      </x:c>
      <x:c r="AA87" s="85" t="str">
        <x:f>IF(B87="","",J87)</x:f>
      </x:c>
      <x:c r="AB87" s="85" t="str">
        <x:f>IF(B87="","",K87)</x:f>
      </x:c>
      <x:c r="AC87" s="85" t="str">
        <x:f>IF(B87="","",L87)</x:f>
      </x:c>
      <x:c r="AD87" s="85" t="str">
        <x:f>IF(B87="","",M87)</x:f>
      </x:c>
      <x:c r="AE87" s="85" t="str">
        <x:f>IF(B87="","",N87)</x:f>
      </x:c>
      <x:c r="AF87" s="85" t="str">
        <x:f>IF(B87="","",O87)</x:f>
      </x:c>
      <x:c r="AG87" s="85" t="str">
        <x:f>IF(B87="","",P87)</x:f>
      </x:c>
      <x:c r="AH87" s="85" t="str">
        <x:f>IF(B87="","",Q87)</x:f>
      </x:c>
      <x:c r="AI87" s="85" t="str">
        <x:f>IF(B87="","",R87)</x:f>
      </x:c>
      <x:c r="AJ87" s="85" t="str">
        <x:f>IF(B87="","",S87)</x:f>
      </x:c>
      <x:c r="AK87" s="85" t="str">
        <x:f>IF(B87="","",T87)</x:f>
      </x:c>
    </x:row>
    <x:row r="88">
      <x:c r="A88" s="94" t="str">
        <x:f>IF(OR(B88="",G88=""),"",B88&amp;"|"&amp;G88)</x:f>
      </x:c>
      <x:c r="B88" s="92"/>
      <x:c r="C88" s="94" t="str">
        <x:f>IFERROR(VLOOKUP(B88,'01 Staff Master'!$A$6:$M$105,2,FALSE),"")</x:f>
      </x:c>
      <x:c r="D88" s="94" t="str">
        <x:f>IFERROR(VLOOKUP(B88,'01 Staff Master'!$A$6:$M$105,3,FALSE),"")</x:f>
      </x:c>
      <x:c r="E88" s="94" t="str">
        <x:f>IFERROR(VLOOKUP(B88,'01 Staff Master'!$A$6:$M$105,5,FALSE),"")</x:f>
      </x:c>
      <x:c r="F88" s="94" t="str">
        <x:f>IFERROR(VLOOKUP(B88,'01 Staff Master'!$A$6:$M$105,4,FALSE),"")</x:f>
      </x:c>
      <x:c r="G88" s="92"/>
      <x:c r="H88" s="94" t="str">
        <x:f>IFERROR(VLOOKUP(G88,'02 Skill Catalogue'!$A$6:$K$95,4,FALSE),"")</x:f>
      </x:c>
      <x:c r="I88" s="94" t="str">
        <x:f>IFERROR(VLOOKUP(D88&amp;"|"&amp;E88&amp;"|"&amp;G88,'03 Position Requirements'!$A$6:$R$285,8,FALSE),"")</x:f>
      </x:c>
      <x:c r="J88" s="94" t="str">
        <x:f>IFERROR(VLOOKUP(D88&amp;"|"&amp;E88&amp;"|"&amp;G88,'03 Position Requirements'!$A$6:$R$285,10,FALSE),"")</x:f>
      </x:c>
      <x:c r="K88" s="94" t="str">
        <x:f>IF(OR(B88="",G88=""),"",IF(COUNTIFS('04 Assessment Log'!$D$6:$D$155,B88,'04 Assessment Log'!$J$6:$J$155,G88,'04 Assessment Log'!$AA$6:$AA$155,"Yes")=0,"",SUMIFS('04 Assessment Log'!$O$6:$O$155,'04 Assessment Log'!$D$6:$D$155,B88,'04 Assessment Log'!$J$6:$J$155,G88,'04 Assessment Log'!$AA$6:$AA$155,"Yes")))</x:f>
      </x:c>
      <x:c r="L88" s="94" t="str">
        <x:f>IF(OR(J88="",K88=""),"",MAX(J88-K88,0))</x:f>
      </x:c>
      <x:c r="M88" s="102" t="str">
        <x:f>IF(COUNTIFS('04 Assessment Log'!$D$6:$D$155,B88,'04 Assessment Log'!$J$6:$J$155,G88,'04 Assessment Log'!$AA$6:$AA$155,"Yes")=0,"",SUMIFS('04 Assessment Log'!$B$6:$B$155,'04 Assessment Log'!$D$6:$D$155,B88,'04 Assessment Log'!$J$6:$J$155,G88,'04 Assessment Log'!$AA$6:$AA$155,"Yes"))</x:f>
      </x:c>
      <x:c r="N88" s="102" t="str">
        <x:f>IF(M88="","",SUMIFS('04 Assessment Log'!$Z$6:$Z$155,'04 Assessment Log'!$D$6:$D$155,B88,'04 Assessment Log'!$J$6:$J$155,G88,'04 Assessment Log'!$AA$6:$AA$155,"Yes"))</x:f>
      </x:c>
      <x:c r="O88" s="94" t="str">
        <x:f>IF(M88="","Not Assessed",IF(N88&lt;TODAY(),"Expired",IF(N88&lt;=TODAY()+30,"Due Soon","Current")))</x:f>
        <x:v>Not Assessed</x:v>
      </x:c>
      <x:c r="P88" s="94" t="str">
        <x:f>IF(OR(B88="",G88=""),"",COUNTIFS('05 Development Actions'!$C$6:$C$105,B88,'05 Development Actions'!$G$6:$G$105,G88,'05 Development Actions'!$A$6:$A$105,"&lt;&gt;",'05 Development Actions'!$AB$6:$AB$105,"&lt;&gt;Closed — Competent",'05 Development Actions'!$AB$6:$AB$105,"&lt;&gt;Cancelled"))</x:f>
      </x:c>
      <x:c r="Q88" s="94" t="str">
        <x:f>IF(OR(B88="",G88=""),"",COUNTIFS('11 Training Attendance'!$E$6:$E$155,B88,'11 Training Attendance'!$K$6:$K$155,"Attended",'11 Training Attendance'!$I$6:$I$155,G88))</x:f>
      </x:c>
      <x:c r="R88" s="102" t="str">
        <x:f>IF(Q88=0,"",MAXIFS('11 Training Attendance'!$D$6:$D$155,'11 Training Attendance'!$E$6:$E$155,B88,'11 Training Attendance'!$K$6:$K$155,"Attended",'11 Training Attendance'!$I$6:$I$155,G88))</x:f>
      </x:c>
      <x:c r="S88" s="94" t="str">
        <x:f>IF(OR(B88="",G88=""),"",COUNTIFS('13 Effectiveness Review'!$C$6:$C$155,B88,'13 Effectiveness Review'!$F$6:$F$155,G88,'13 Effectiveness Review'!$X$6:$X$155,"Closed — Effective"))</x:f>
      </x:c>
      <x:c r="T88" s="94" t="str">
        <x:f>IF(B88="","",IF(K88="","Not Assessed",IF(O88="Expired","Renewal Due",IF(L88=0,"Competent","Skill Gap"))))</x:f>
      </x:c>
      <x:c r="U88" s="94" t="str">
        <x:f>IFERROR(VLOOKUP(D88&amp;"|"&amp;E88&amp;"|"&amp;G88,'03 Position Requirements'!$A$6:$R$285,14,FALSE),"")</x:f>
      </x:c>
      <x:c r="V88" s="92"/>
      <x:c r="W88" s="85" t="str">
        <x:f>IF(B88="","",B88&amp;"|"&amp;COUNTIF($B$6:B88,B88))</x:f>
      </x:c>
      <x:c r="X88" s="85" t="str">
        <x:f>IF(B88="","",G88)</x:f>
      </x:c>
      <x:c r="Y88" s="85" t="str">
        <x:f>IF(B88="","",H88)</x:f>
      </x:c>
      <x:c r="Z88" s="85" t="str">
        <x:f>IF(B88="","",I88)</x:f>
      </x:c>
      <x:c r="AA88" s="85" t="str">
        <x:f>IF(B88="","",J88)</x:f>
      </x:c>
      <x:c r="AB88" s="85" t="str">
        <x:f>IF(B88="","",K88)</x:f>
      </x:c>
      <x:c r="AC88" s="85" t="str">
        <x:f>IF(B88="","",L88)</x:f>
      </x:c>
      <x:c r="AD88" s="85" t="str">
        <x:f>IF(B88="","",M88)</x:f>
      </x:c>
      <x:c r="AE88" s="85" t="str">
        <x:f>IF(B88="","",N88)</x:f>
      </x:c>
      <x:c r="AF88" s="85" t="str">
        <x:f>IF(B88="","",O88)</x:f>
      </x:c>
      <x:c r="AG88" s="85" t="str">
        <x:f>IF(B88="","",P88)</x:f>
      </x:c>
      <x:c r="AH88" s="85" t="str">
        <x:f>IF(B88="","",Q88)</x:f>
      </x:c>
      <x:c r="AI88" s="85" t="str">
        <x:f>IF(B88="","",R88)</x:f>
      </x:c>
      <x:c r="AJ88" s="85" t="str">
        <x:f>IF(B88="","",S88)</x:f>
      </x:c>
      <x:c r="AK88" s="85" t="str">
        <x:f>IF(B88="","",T88)</x:f>
      </x:c>
    </x:row>
    <x:row r="89">
      <x:c r="A89" s="94" t="str">
        <x:f>IF(OR(B89="",G89=""),"",B89&amp;"|"&amp;G89)</x:f>
      </x:c>
      <x:c r="B89" s="92"/>
      <x:c r="C89" s="94" t="str">
        <x:f>IFERROR(VLOOKUP(B89,'01 Staff Master'!$A$6:$M$105,2,FALSE),"")</x:f>
      </x:c>
      <x:c r="D89" s="94" t="str">
        <x:f>IFERROR(VLOOKUP(B89,'01 Staff Master'!$A$6:$M$105,3,FALSE),"")</x:f>
      </x:c>
      <x:c r="E89" s="94" t="str">
        <x:f>IFERROR(VLOOKUP(B89,'01 Staff Master'!$A$6:$M$105,5,FALSE),"")</x:f>
      </x:c>
      <x:c r="F89" s="94" t="str">
        <x:f>IFERROR(VLOOKUP(B89,'01 Staff Master'!$A$6:$M$105,4,FALSE),"")</x:f>
      </x:c>
      <x:c r="G89" s="92"/>
      <x:c r="H89" s="94" t="str">
        <x:f>IFERROR(VLOOKUP(G89,'02 Skill Catalogue'!$A$6:$K$95,4,FALSE),"")</x:f>
      </x:c>
      <x:c r="I89" s="94" t="str">
        <x:f>IFERROR(VLOOKUP(D89&amp;"|"&amp;E89&amp;"|"&amp;G89,'03 Position Requirements'!$A$6:$R$285,8,FALSE),"")</x:f>
      </x:c>
      <x:c r="J89" s="94" t="str">
        <x:f>IFERROR(VLOOKUP(D89&amp;"|"&amp;E89&amp;"|"&amp;G89,'03 Position Requirements'!$A$6:$R$285,10,FALSE),"")</x:f>
      </x:c>
      <x:c r="K89" s="94" t="str">
        <x:f>IF(OR(B89="",G89=""),"",IF(COUNTIFS('04 Assessment Log'!$D$6:$D$155,B89,'04 Assessment Log'!$J$6:$J$155,G89,'04 Assessment Log'!$AA$6:$AA$155,"Yes")=0,"",SUMIFS('04 Assessment Log'!$O$6:$O$155,'04 Assessment Log'!$D$6:$D$155,B89,'04 Assessment Log'!$J$6:$J$155,G89,'04 Assessment Log'!$AA$6:$AA$155,"Yes")))</x:f>
      </x:c>
      <x:c r="L89" s="94" t="str">
        <x:f>IF(OR(J89="",K89=""),"",MAX(J89-K89,0))</x:f>
      </x:c>
      <x:c r="M89" s="102" t="str">
        <x:f>IF(COUNTIFS('04 Assessment Log'!$D$6:$D$155,B89,'04 Assessment Log'!$J$6:$J$155,G89,'04 Assessment Log'!$AA$6:$AA$155,"Yes")=0,"",SUMIFS('04 Assessment Log'!$B$6:$B$155,'04 Assessment Log'!$D$6:$D$155,B89,'04 Assessment Log'!$J$6:$J$155,G89,'04 Assessment Log'!$AA$6:$AA$155,"Yes"))</x:f>
      </x:c>
      <x:c r="N89" s="102" t="str">
        <x:f>IF(M89="","",SUMIFS('04 Assessment Log'!$Z$6:$Z$155,'04 Assessment Log'!$D$6:$D$155,B89,'04 Assessment Log'!$J$6:$J$155,G89,'04 Assessment Log'!$AA$6:$AA$155,"Yes"))</x:f>
      </x:c>
      <x:c r="O89" s="94" t="str">
        <x:f>IF(M89="","Not Assessed",IF(N89&lt;TODAY(),"Expired",IF(N89&lt;=TODAY()+30,"Due Soon","Current")))</x:f>
        <x:v>Not Assessed</x:v>
      </x:c>
      <x:c r="P89" s="94" t="str">
        <x:f>IF(OR(B89="",G89=""),"",COUNTIFS('05 Development Actions'!$C$6:$C$105,B89,'05 Development Actions'!$G$6:$G$105,G89,'05 Development Actions'!$A$6:$A$105,"&lt;&gt;",'05 Development Actions'!$AB$6:$AB$105,"&lt;&gt;Closed — Competent",'05 Development Actions'!$AB$6:$AB$105,"&lt;&gt;Cancelled"))</x:f>
      </x:c>
      <x:c r="Q89" s="94" t="str">
        <x:f>IF(OR(B89="",G89=""),"",COUNTIFS('11 Training Attendance'!$E$6:$E$155,B89,'11 Training Attendance'!$K$6:$K$155,"Attended",'11 Training Attendance'!$I$6:$I$155,G89))</x:f>
      </x:c>
      <x:c r="R89" s="102" t="str">
        <x:f>IF(Q89=0,"",MAXIFS('11 Training Attendance'!$D$6:$D$155,'11 Training Attendance'!$E$6:$E$155,B89,'11 Training Attendance'!$K$6:$K$155,"Attended",'11 Training Attendance'!$I$6:$I$155,G89))</x:f>
      </x:c>
      <x:c r="S89" s="94" t="str">
        <x:f>IF(OR(B89="",G89=""),"",COUNTIFS('13 Effectiveness Review'!$C$6:$C$155,B89,'13 Effectiveness Review'!$F$6:$F$155,G89,'13 Effectiveness Review'!$X$6:$X$155,"Closed — Effective"))</x:f>
      </x:c>
      <x:c r="T89" s="94" t="str">
        <x:f>IF(B89="","",IF(K89="","Not Assessed",IF(O89="Expired","Renewal Due",IF(L89=0,"Competent","Skill Gap"))))</x:f>
      </x:c>
      <x:c r="U89" s="94" t="str">
        <x:f>IFERROR(VLOOKUP(D89&amp;"|"&amp;E89&amp;"|"&amp;G89,'03 Position Requirements'!$A$6:$R$285,14,FALSE),"")</x:f>
      </x:c>
      <x:c r="V89" s="92"/>
      <x:c r="W89" s="85" t="str">
        <x:f>IF(B89="","",B89&amp;"|"&amp;COUNTIF($B$6:B89,B89))</x:f>
      </x:c>
      <x:c r="X89" s="85" t="str">
        <x:f>IF(B89="","",G89)</x:f>
      </x:c>
      <x:c r="Y89" s="85" t="str">
        <x:f>IF(B89="","",H89)</x:f>
      </x:c>
      <x:c r="Z89" s="85" t="str">
        <x:f>IF(B89="","",I89)</x:f>
      </x:c>
      <x:c r="AA89" s="85" t="str">
        <x:f>IF(B89="","",J89)</x:f>
      </x:c>
      <x:c r="AB89" s="85" t="str">
        <x:f>IF(B89="","",K89)</x:f>
      </x:c>
      <x:c r="AC89" s="85" t="str">
        <x:f>IF(B89="","",L89)</x:f>
      </x:c>
      <x:c r="AD89" s="85" t="str">
        <x:f>IF(B89="","",M89)</x:f>
      </x:c>
      <x:c r="AE89" s="85" t="str">
        <x:f>IF(B89="","",N89)</x:f>
      </x:c>
      <x:c r="AF89" s="85" t="str">
        <x:f>IF(B89="","",O89)</x:f>
      </x:c>
      <x:c r="AG89" s="85" t="str">
        <x:f>IF(B89="","",P89)</x:f>
      </x:c>
      <x:c r="AH89" s="85" t="str">
        <x:f>IF(B89="","",Q89)</x:f>
      </x:c>
      <x:c r="AI89" s="85" t="str">
        <x:f>IF(B89="","",R89)</x:f>
      </x:c>
      <x:c r="AJ89" s="85" t="str">
        <x:f>IF(B89="","",S89)</x:f>
      </x:c>
      <x:c r="AK89" s="85" t="str">
        <x:f>IF(B89="","",T89)</x:f>
      </x:c>
    </x:row>
    <x:row r="90">
      <x:c r="A90" s="94" t="str">
        <x:f>IF(OR(B90="",G90=""),"",B90&amp;"|"&amp;G90)</x:f>
      </x:c>
      <x:c r="B90" s="92"/>
      <x:c r="C90" s="94" t="str">
        <x:f>IFERROR(VLOOKUP(B90,'01 Staff Master'!$A$6:$M$105,2,FALSE),"")</x:f>
      </x:c>
      <x:c r="D90" s="94" t="str">
        <x:f>IFERROR(VLOOKUP(B90,'01 Staff Master'!$A$6:$M$105,3,FALSE),"")</x:f>
      </x:c>
      <x:c r="E90" s="94" t="str">
        <x:f>IFERROR(VLOOKUP(B90,'01 Staff Master'!$A$6:$M$105,5,FALSE),"")</x:f>
      </x:c>
      <x:c r="F90" s="94" t="str">
        <x:f>IFERROR(VLOOKUP(B90,'01 Staff Master'!$A$6:$M$105,4,FALSE),"")</x:f>
      </x:c>
      <x:c r="G90" s="92"/>
      <x:c r="H90" s="94" t="str">
        <x:f>IFERROR(VLOOKUP(G90,'02 Skill Catalogue'!$A$6:$K$95,4,FALSE),"")</x:f>
      </x:c>
      <x:c r="I90" s="94" t="str">
        <x:f>IFERROR(VLOOKUP(D90&amp;"|"&amp;E90&amp;"|"&amp;G90,'03 Position Requirements'!$A$6:$R$285,8,FALSE),"")</x:f>
      </x:c>
      <x:c r="J90" s="94" t="str">
        <x:f>IFERROR(VLOOKUP(D90&amp;"|"&amp;E90&amp;"|"&amp;G90,'03 Position Requirements'!$A$6:$R$285,10,FALSE),"")</x:f>
      </x:c>
      <x:c r="K90" s="94" t="str">
        <x:f>IF(OR(B90="",G90=""),"",IF(COUNTIFS('04 Assessment Log'!$D$6:$D$155,B90,'04 Assessment Log'!$J$6:$J$155,G90,'04 Assessment Log'!$AA$6:$AA$155,"Yes")=0,"",SUMIFS('04 Assessment Log'!$O$6:$O$155,'04 Assessment Log'!$D$6:$D$155,B90,'04 Assessment Log'!$J$6:$J$155,G90,'04 Assessment Log'!$AA$6:$AA$155,"Yes")))</x:f>
      </x:c>
      <x:c r="L90" s="94" t="str">
        <x:f>IF(OR(J90="",K90=""),"",MAX(J90-K90,0))</x:f>
      </x:c>
      <x:c r="M90" s="102" t="str">
        <x:f>IF(COUNTIFS('04 Assessment Log'!$D$6:$D$155,B90,'04 Assessment Log'!$J$6:$J$155,G90,'04 Assessment Log'!$AA$6:$AA$155,"Yes")=0,"",SUMIFS('04 Assessment Log'!$B$6:$B$155,'04 Assessment Log'!$D$6:$D$155,B90,'04 Assessment Log'!$J$6:$J$155,G90,'04 Assessment Log'!$AA$6:$AA$155,"Yes"))</x:f>
      </x:c>
      <x:c r="N90" s="102" t="str">
        <x:f>IF(M90="","",SUMIFS('04 Assessment Log'!$Z$6:$Z$155,'04 Assessment Log'!$D$6:$D$155,B90,'04 Assessment Log'!$J$6:$J$155,G90,'04 Assessment Log'!$AA$6:$AA$155,"Yes"))</x:f>
      </x:c>
      <x:c r="O90" s="94" t="str">
        <x:f>IF(M90="","Not Assessed",IF(N90&lt;TODAY(),"Expired",IF(N90&lt;=TODAY()+30,"Due Soon","Current")))</x:f>
        <x:v>Not Assessed</x:v>
      </x:c>
      <x:c r="P90" s="94" t="str">
        <x:f>IF(OR(B90="",G90=""),"",COUNTIFS('05 Development Actions'!$C$6:$C$105,B90,'05 Development Actions'!$G$6:$G$105,G90,'05 Development Actions'!$A$6:$A$105,"&lt;&gt;",'05 Development Actions'!$AB$6:$AB$105,"&lt;&gt;Closed — Competent",'05 Development Actions'!$AB$6:$AB$105,"&lt;&gt;Cancelled"))</x:f>
      </x:c>
      <x:c r="Q90" s="94" t="str">
        <x:f>IF(OR(B90="",G90=""),"",COUNTIFS('11 Training Attendance'!$E$6:$E$155,B90,'11 Training Attendance'!$K$6:$K$155,"Attended",'11 Training Attendance'!$I$6:$I$155,G90))</x:f>
      </x:c>
      <x:c r="R90" s="102" t="str">
        <x:f>IF(Q90=0,"",MAXIFS('11 Training Attendance'!$D$6:$D$155,'11 Training Attendance'!$E$6:$E$155,B90,'11 Training Attendance'!$K$6:$K$155,"Attended",'11 Training Attendance'!$I$6:$I$155,G90))</x:f>
      </x:c>
      <x:c r="S90" s="94" t="str">
        <x:f>IF(OR(B90="",G90=""),"",COUNTIFS('13 Effectiveness Review'!$C$6:$C$155,B90,'13 Effectiveness Review'!$F$6:$F$155,G90,'13 Effectiveness Review'!$X$6:$X$155,"Closed — Effective"))</x:f>
      </x:c>
      <x:c r="T90" s="94" t="str">
        <x:f>IF(B90="","",IF(K90="","Not Assessed",IF(O90="Expired","Renewal Due",IF(L90=0,"Competent","Skill Gap"))))</x:f>
      </x:c>
      <x:c r="U90" s="94" t="str">
        <x:f>IFERROR(VLOOKUP(D90&amp;"|"&amp;E90&amp;"|"&amp;G90,'03 Position Requirements'!$A$6:$R$285,14,FALSE),"")</x:f>
      </x:c>
      <x:c r="V90" s="92"/>
      <x:c r="W90" s="85" t="str">
        <x:f>IF(B90="","",B90&amp;"|"&amp;COUNTIF($B$6:B90,B90))</x:f>
      </x:c>
      <x:c r="X90" s="85" t="str">
        <x:f>IF(B90="","",G90)</x:f>
      </x:c>
      <x:c r="Y90" s="85" t="str">
        <x:f>IF(B90="","",H90)</x:f>
      </x:c>
      <x:c r="Z90" s="85" t="str">
        <x:f>IF(B90="","",I90)</x:f>
      </x:c>
      <x:c r="AA90" s="85" t="str">
        <x:f>IF(B90="","",J90)</x:f>
      </x:c>
      <x:c r="AB90" s="85" t="str">
        <x:f>IF(B90="","",K90)</x:f>
      </x:c>
      <x:c r="AC90" s="85" t="str">
        <x:f>IF(B90="","",L90)</x:f>
      </x:c>
      <x:c r="AD90" s="85" t="str">
        <x:f>IF(B90="","",M90)</x:f>
      </x:c>
      <x:c r="AE90" s="85" t="str">
        <x:f>IF(B90="","",N90)</x:f>
      </x:c>
      <x:c r="AF90" s="85" t="str">
        <x:f>IF(B90="","",O90)</x:f>
      </x:c>
      <x:c r="AG90" s="85" t="str">
        <x:f>IF(B90="","",P90)</x:f>
      </x:c>
      <x:c r="AH90" s="85" t="str">
        <x:f>IF(B90="","",Q90)</x:f>
      </x:c>
      <x:c r="AI90" s="85" t="str">
        <x:f>IF(B90="","",R90)</x:f>
      </x:c>
      <x:c r="AJ90" s="85" t="str">
        <x:f>IF(B90="","",S90)</x:f>
      </x:c>
      <x:c r="AK90" s="85" t="str">
        <x:f>IF(B90="","",T90)</x:f>
      </x:c>
    </x:row>
    <x:row r="91">
      <x:c r="A91" s="94" t="str">
        <x:f>IF(OR(B91="",G91=""),"",B91&amp;"|"&amp;G91)</x:f>
      </x:c>
      <x:c r="B91" s="92"/>
      <x:c r="C91" s="94" t="str">
        <x:f>IFERROR(VLOOKUP(B91,'01 Staff Master'!$A$6:$M$105,2,FALSE),"")</x:f>
      </x:c>
      <x:c r="D91" s="94" t="str">
        <x:f>IFERROR(VLOOKUP(B91,'01 Staff Master'!$A$6:$M$105,3,FALSE),"")</x:f>
      </x:c>
      <x:c r="E91" s="94" t="str">
        <x:f>IFERROR(VLOOKUP(B91,'01 Staff Master'!$A$6:$M$105,5,FALSE),"")</x:f>
      </x:c>
      <x:c r="F91" s="94" t="str">
        <x:f>IFERROR(VLOOKUP(B91,'01 Staff Master'!$A$6:$M$105,4,FALSE),"")</x:f>
      </x:c>
      <x:c r="G91" s="92"/>
      <x:c r="H91" s="94" t="str">
        <x:f>IFERROR(VLOOKUP(G91,'02 Skill Catalogue'!$A$6:$K$95,4,FALSE),"")</x:f>
      </x:c>
      <x:c r="I91" s="94" t="str">
        <x:f>IFERROR(VLOOKUP(D91&amp;"|"&amp;E91&amp;"|"&amp;G91,'03 Position Requirements'!$A$6:$R$285,8,FALSE),"")</x:f>
      </x:c>
      <x:c r="J91" s="94" t="str">
        <x:f>IFERROR(VLOOKUP(D91&amp;"|"&amp;E91&amp;"|"&amp;G91,'03 Position Requirements'!$A$6:$R$285,10,FALSE),"")</x:f>
      </x:c>
      <x:c r="K91" s="94" t="str">
        <x:f>IF(OR(B91="",G91=""),"",IF(COUNTIFS('04 Assessment Log'!$D$6:$D$155,B91,'04 Assessment Log'!$J$6:$J$155,G91,'04 Assessment Log'!$AA$6:$AA$155,"Yes")=0,"",SUMIFS('04 Assessment Log'!$O$6:$O$155,'04 Assessment Log'!$D$6:$D$155,B91,'04 Assessment Log'!$J$6:$J$155,G91,'04 Assessment Log'!$AA$6:$AA$155,"Yes")))</x:f>
      </x:c>
      <x:c r="L91" s="94" t="str">
        <x:f>IF(OR(J91="",K91=""),"",MAX(J91-K91,0))</x:f>
      </x:c>
      <x:c r="M91" s="102" t="str">
        <x:f>IF(COUNTIFS('04 Assessment Log'!$D$6:$D$155,B91,'04 Assessment Log'!$J$6:$J$155,G91,'04 Assessment Log'!$AA$6:$AA$155,"Yes")=0,"",SUMIFS('04 Assessment Log'!$B$6:$B$155,'04 Assessment Log'!$D$6:$D$155,B91,'04 Assessment Log'!$J$6:$J$155,G91,'04 Assessment Log'!$AA$6:$AA$155,"Yes"))</x:f>
      </x:c>
      <x:c r="N91" s="102" t="str">
        <x:f>IF(M91="","",SUMIFS('04 Assessment Log'!$Z$6:$Z$155,'04 Assessment Log'!$D$6:$D$155,B91,'04 Assessment Log'!$J$6:$J$155,G91,'04 Assessment Log'!$AA$6:$AA$155,"Yes"))</x:f>
      </x:c>
      <x:c r="O91" s="94" t="str">
        <x:f>IF(M91="","Not Assessed",IF(N91&lt;TODAY(),"Expired",IF(N91&lt;=TODAY()+30,"Due Soon","Current")))</x:f>
        <x:v>Not Assessed</x:v>
      </x:c>
      <x:c r="P91" s="94" t="str">
        <x:f>IF(OR(B91="",G91=""),"",COUNTIFS('05 Development Actions'!$C$6:$C$105,B91,'05 Development Actions'!$G$6:$G$105,G91,'05 Development Actions'!$A$6:$A$105,"&lt;&gt;",'05 Development Actions'!$AB$6:$AB$105,"&lt;&gt;Closed — Competent",'05 Development Actions'!$AB$6:$AB$105,"&lt;&gt;Cancelled"))</x:f>
      </x:c>
      <x:c r="Q91" s="94" t="str">
        <x:f>IF(OR(B91="",G91=""),"",COUNTIFS('11 Training Attendance'!$E$6:$E$155,B91,'11 Training Attendance'!$K$6:$K$155,"Attended",'11 Training Attendance'!$I$6:$I$155,G91))</x:f>
      </x:c>
      <x:c r="R91" s="102" t="str">
        <x:f>IF(Q91=0,"",MAXIFS('11 Training Attendance'!$D$6:$D$155,'11 Training Attendance'!$E$6:$E$155,B91,'11 Training Attendance'!$K$6:$K$155,"Attended",'11 Training Attendance'!$I$6:$I$155,G91))</x:f>
      </x:c>
      <x:c r="S91" s="94" t="str">
        <x:f>IF(OR(B91="",G91=""),"",COUNTIFS('13 Effectiveness Review'!$C$6:$C$155,B91,'13 Effectiveness Review'!$F$6:$F$155,G91,'13 Effectiveness Review'!$X$6:$X$155,"Closed — Effective"))</x:f>
      </x:c>
      <x:c r="T91" s="94" t="str">
        <x:f>IF(B91="","",IF(K91="","Not Assessed",IF(O91="Expired","Renewal Due",IF(L91=0,"Competent","Skill Gap"))))</x:f>
      </x:c>
      <x:c r="U91" s="94" t="str">
        <x:f>IFERROR(VLOOKUP(D91&amp;"|"&amp;E91&amp;"|"&amp;G91,'03 Position Requirements'!$A$6:$R$285,14,FALSE),"")</x:f>
      </x:c>
      <x:c r="V91" s="92"/>
      <x:c r="W91" s="85" t="str">
        <x:f>IF(B91="","",B91&amp;"|"&amp;COUNTIF($B$6:B91,B91))</x:f>
      </x:c>
      <x:c r="X91" s="85" t="str">
        <x:f>IF(B91="","",G91)</x:f>
      </x:c>
      <x:c r="Y91" s="85" t="str">
        <x:f>IF(B91="","",H91)</x:f>
      </x:c>
      <x:c r="Z91" s="85" t="str">
        <x:f>IF(B91="","",I91)</x:f>
      </x:c>
      <x:c r="AA91" s="85" t="str">
        <x:f>IF(B91="","",J91)</x:f>
      </x:c>
      <x:c r="AB91" s="85" t="str">
        <x:f>IF(B91="","",K91)</x:f>
      </x:c>
      <x:c r="AC91" s="85" t="str">
        <x:f>IF(B91="","",L91)</x:f>
      </x:c>
      <x:c r="AD91" s="85" t="str">
        <x:f>IF(B91="","",M91)</x:f>
      </x:c>
      <x:c r="AE91" s="85" t="str">
        <x:f>IF(B91="","",N91)</x:f>
      </x:c>
      <x:c r="AF91" s="85" t="str">
        <x:f>IF(B91="","",O91)</x:f>
      </x:c>
      <x:c r="AG91" s="85" t="str">
        <x:f>IF(B91="","",P91)</x:f>
      </x:c>
      <x:c r="AH91" s="85" t="str">
        <x:f>IF(B91="","",Q91)</x:f>
      </x:c>
      <x:c r="AI91" s="85" t="str">
        <x:f>IF(B91="","",R91)</x:f>
      </x:c>
      <x:c r="AJ91" s="85" t="str">
        <x:f>IF(B91="","",S91)</x:f>
      </x:c>
      <x:c r="AK91" s="85" t="str">
        <x:f>IF(B91="","",T91)</x:f>
      </x:c>
    </x:row>
    <x:row r="92">
      <x:c r="A92" s="94" t="str">
        <x:f>IF(OR(B92="",G92=""),"",B92&amp;"|"&amp;G92)</x:f>
      </x:c>
      <x:c r="B92" s="92"/>
      <x:c r="C92" s="94" t="str">
        <x:f>IFERROR(VLOOKUP(B92,'01 Staff Master'!$A$6:$M$105,2,FALSE),"")</x:f>
      </x:c>
      <x:c r="D92" s="94" t="str">
        <x:f>IFERROR(VLOOKUP(B92,'01 Staff Master'!$A$6:$M$105,3,FALSE),"")</x:f>
      </x:c>
      <x:c r="E92" s="94" t="str">
        <x:f>IFERROR(VLOOKUP(B92,'01 Staff Master'!$A$6:$M$105,5,FALSE),"")</x:f>
      </x:c>
      <x:c r="F92" s="94" t="str">
        <x:f>IFERROR(VLOOKUP(B92,'01 Staff Master'!$A$6:$M$105,4,FALSE),"")</x:f>
      </x:c>
      <x:c r="G92" s="92"/>
      <x:c r="H92" s="94" t="str">
        <x:f>IFERROR(VLOOKUP(G92,'02 Skill Catalogue'!$A$6:$K$95,4,FALSE),"")</x:f>
      </x:c>
      <x:c r="I92" s="94" t="str">
        <x:f>IFERROR(VLOOKUP(D92&amp;"|"&amp;E92&amp;"|"&amp;G92,'03 Position Requirements'!$A$6:$R$285,8,FALSE),"")</x:f>
      </x:c>
      <x:c r="J92" s="94" t="str">
        <x:f>IFERROR(VLOOKUP(D92&amp;"|"&amp;E92&amp;"|"&amp;G92,'03 Position Requirements'!$A$6:$R$285,10,FALSE),"")</x:f>
      </x:c>
      <x:c r="K92" s="94" t="str">
        <x:f>IF(OR(B92="",G92=""),"",IF(COUNTIFS('04 Assessment Log'!$D$6:$D$155,B92,'04 Assessment Log'!$J$6:$J$155,G92,'04 Assessment Log'!$AA$6:$AA$155,"Yes")=0,"",SUMIFS('04 Assessment Log'!$O$6:$O$155,'04 Assessment Log'!$D$6:$D$155,B92,'04 Assessment Log'!$J$6:$J$155,G92,'04 Assessment Log'!$AA$6:$AA$155,"Yes")))</x:f>
      </x:c>
      <x:c r="L92" s="94" t="str">
        <x:f>IF(OR(J92="",K92=""),"",MAX(J92-K92,0))</x:f>
      </x:c>
      <x:c r="M92" s="102" t="str">
        <x:f>IF(COUNTIFS('04 Assessment Log'!$D$6:$D$155,B92,'04 Assessment Log'!$J$6:$J$155,G92,'04 Assessment Log'!$AA$6:$AA$155,"Yes")=0,"",SUMIFS('04 Assessment Log'!$B$6:$B$155,'04 Assessment Log'!$D$6:$D$155,B92,'04 Assessment Log'!$J$6:$J$155,G92,'04 Assessment Log'!$AA$6:$AA$155,"Yes"))</x:f>
      </x:c>
      <x:c r="N92" s="102" t="str">
        <x:f>IF(M92="","",SUMIFS('04 Assessment Log'!$Z$6:$Z$155,'04 Assessment Log'!$D$6:$D$155,B92,'04 Assessment Log'!$J$6:$J$155,G92,'04 Assessment Log'!$AA$6:$AA$155,"Yes"))</x:f>
      </x:c>
      <x:c r="O92" s="94" t="str">
        <x:f>IF(M92="","Not Assessed",IF(N92&lt;TODAY(),"Expired",IF(N92&lt;=TODAY()+30,"Due Soon","Current")))</x:f>
        <x:v>Not Assessed</x:v>
      </x:c>
      <x:c r="P92" s="94" t="str">
        <x:f>IF(OR(B92="",G92=""),"",COUNTIFS('05 Development Actions'!$C$6:$C$105,B92,'05 Development Actions'!$G$6:$G$105,G92,'05 Development Actions'!$A$6:$A$105,"&lt;&gt;",'05 Development Actions'!$AB$6:$AB$105,"&lt;&gt;Closed — Competent",'05 Development Actions'!$AB$6:$AB$105,"&lt;&gt;Cancelled"))</x:f>
      </x:c>
      <x:c r="Q92" s="94" t="str">
        <x:f>IF(OR(B92="",G92=""),"",COUNTIFS('11 Training Attendance'!$E$6:$E$155,B92,'11 Training Attendance'!$K$6:$K$155,"Attended",'11 Training Attendance'!$I$6:$I$155,G92))</x:f>
      </x:c>
      <x:c r="R92" s="102" t="str">
        <x:f>IF(Q92=0,"",MAXIFS('11 Training Attendance'!$D$6:$D$155,'11 Training Attendance'!$E$6:$E$155,B92,'11 Training Attendance'!$K$6:$K$155,"Attended",'11 Training Attendance'!$I$6:$I$155,G92))</x:f>
      </x:c>
      <x:c r="S92" s="94" t="str">
        <x:f>IF(OR(B92="",G92=""),"",COUNTIFS('13 Effectiveness Review'!$C$6:$C$155,B92,'13 Effectiveness Review'!$F$6:$F$155,G92,'13 Effectiveness Review'!$X$6:$X$155,"Closed — Effective"))</x:f>
      </x:c>
      <x:c r="T92" s="94" t="str">
        <x:f>IF(B92="","",IF(K92="","Not Assessed",IF(O92="Expired","Renewal Due",IF(L92=0,"Competent","Skill Gap"))))</x:f>
      </x:c>
      <x:c r="U92" s="94" t="str">
        <x:f>IFERROR(VLOOKUP(D92&amp;"|"&amp;E92&amp;"|"&amp;G92,'03 Position Requirements'!$A$6:$R$285,14,FALSE),"")</x:f>
      </x:c>
      <x:c r="V92" s="92"/>
      <x:c r="W92" s="85" t="str">
        <x:f>IF(B92="","",B92&amp;"|"&amp;COUNTIF($B$6:B92,B92))</x:f>
      </x:c>
      <x:c r="X92" s="85" t="str">
        <x:f>IF(B92="","",G92)</x:f>
      </x:c>
      <x:c r="Y92" s="85" t="str">
        <x:f>IF(B92="","",H92)</x:f>
      </x:c>
      <x:c r="Z92" s="85" t="str">
        <x:f>IF(B92="","",I92)</x:f>
      </x:c>
      <x:c r="AA92" s="85" t="str">
        <x:f>IF(B92="","",J92)</x:f>
      </x:c>
      <x:c r="AB92" s="85" t="str">
        <x:f>IF(B92="","",K92)</x:f>
      </x:c>
      <x:c r="AC92" s="85" t="str">
        <x:f>IF(B92="","",L92)</x:f>
      </x:c>
      <x:c r="AD92" s="85" t="str">
        <x:f>IF(B92="","",M92)</x:f>
      </x:c>
      <x:c r="AE92" s="85" t="str">
        <x:f>IF(B92="","",N92)</x:f>
      </x:c>
      <x:c r="AF92" s="85" t="str">
        <x:f>IF(B92="","",O92)</x:f>
      </x:c>
      <x:c r="AG92" s="85" t="str">
        <x:f>IF(B92="","",P92)</x:f>
      </x:c>
      <x:c r="AH92" s="85" t="str">
        <x:f>IF(B92="","",Q92)</x:f>
      </x:c>
      <x:c r="AI92" s="85" t="str">
        <x:f>IF(B92="","",R92)</x:f>
      </x:c>
      <x:c r="AJ92" s="85" t="str">
        <x:f>IF(B92="","",S92)</x:f>
      </x:c>
      <x:c r="AK92" s="85" t="str">
        <x:f>IF(B92="","",T92)</x:f>
      </x:c>
    </x:row>
    <x:row r="93">
      <x:c r="A93" s="94" t="str">
        <x:f>IF(OR(B93="",G93=""),"",B93&amp;"|"&amp;G93)</x:f>
      </x:c>
      <x:c r="B93" s="92"/>
      <x:c r="C93" s="94" t="str">
        <x:f>IFERROR(VLOOKUP(B93,'01 Staff Master'!$A$6:$M$105,2,FALSE),"")</x:f>
      </x:c>
      <x:c r="D93" s="94" t="str">
        <x:f>IFERROR(VLOOKUP(B93,'01 Staff Master'!$A$6:$M$105,3,FALSE),"")</x:f>
      </x:c>
      <x:c r="E93" s="94" t="str">
        <x:f>IFERROR(VLOOKUP(B93,'01 Staff Master'!$A$6:$M$105,5,FALSE),"")</x:f>
      </x:c>
      <x:c r="F93" s="94" t="str">
        <x:f>IFERROR(VLOOKUP(B93,'01 Staff Master'!$A$6:$M$105,4,FALSE),"")</x:f>
      </x:c>
      <x:c r="G93" s="92"/>
      <x:c r="H93" s="94" t="str">
        <x:f>IFERROR(VLOOKUP(G93,'02 Skill Catalogue'!$A$6:$K$95,4,FALSE),"")</x:f>
      </x:c>
      <x:c r="I93" s="94" t="str">
        <x:f>IFERROR(VLOOKUP(D93&amp;"|"&amp;E93&amp;"|"&amp;G93,'03 Position Requirements'!$A$6:$R$285,8,FALSE),"")</x:f>
      </x:c>
      <x:c r="J93" s="94" t="str">
        <x:f>IFERROR(VLOOKUP(D93&amp;"|"&amp;E93&amp;"|"&amp;G93,'03 Position Requirements'!$A$6:$R$285,10,FALSE),"")</x:f>
      </x:c>
      <x:c r="K93" s="94" t="str">
        <x:f>IF(OR(B93="",G93=""),"",IF(COUNTIFS('04 Assessment Log'!$D$6:$D$155,B93,'04 Assessment Log'!$J$6:$J$155,G93,'04 Assessment Log'!$AA$6:$AA$155,"Yes")=0,"",SUMIFS('04 Assessment Log'!$O$6:$O$155,'04 Assessment Log'!$D$6:$D$155,B93,'04 Assessment Log'!$J$6:$J$155,G93,'04 Assessment Log'!$AA$6:$AA$155,"Yes")))</x:f>
      </x:c>
      <x:c r="L93" s="94" t="str">
        <x:f>IF(OR(J93="",K93=""),"",MAX(J93-K93,0))</x:f>
      </x:c>
      <x:c r="M93" s="102" t="str">
        <x:f>IF(COUNTIFS('04 Assessment Log'!$D$6:$D$155,B93,'04 Assessment Log'!$J$6:$J$155,G93,'04 Assessment Log'!$AA$6:$AA$155,"Yes")=0,"",SUMIFS('04 Assessment Log'!$B$6:$B$155,'04 Assessment Log'!$D$6:$D$155,B93,'04 Assessment Log'!$J$6:$J$155,G93,'04 Assessment Log'!$AA$6:$AA$155,"Yes"))</x:f>
      </x:c>
      <x:c r="N93" s="102" t="str">
        <x:f>IF(M93="","",SUMIFS('04 Assessment Log'!$Z$6:$Z$155,'04 Assessment Log'!$D$6:$D$155,B93,'04 Assessment Log'!$J$6:$J$155,G93,'04 Assessment Log'!$AA$6:$AA$155,"Yes"))</x:f>
      </x:c>
      <x:c r="O93" s="94" t="str">
        <x:f>IF(M93="","Not Assessed",IF(N93&lt;TODAY(),"Expired",IF(N93&lt;=TODAY()+30,"Due Soon","Current")))</x:f>
        <x:v>Not Assessed</x:v>
      </x:c>
      <x:c r="P93" s="94" t="str">
        <x:f>IF(OR(B93="",G93=""),"",COUNTIFS('05 Development Actions'!$C$6:$C$105,B93,'05 Development Actions'!$G$6:$G$105,G93,'05 Development Actions'!$A$6:$A$105,"&lt;&gt;",'05 Development Actions'!$AB$6:$AB$105,"&lt;&gt;Closed — Competent",'05 Development Actions'!$AB$6:$AB$105,"&lt;&gt;Cancelled"))</x:f>
      </x:c>
      <x:c r="Q93" s="94" t="str">
        <x:f>IF(OR(B93="",G93=""),"",COUNTIFS('11 Training Attendance'!$E$6:$E$155,B93,'11 Training Attendance'!$K$6:$K$155,"Attended",'11 Training Attendance'!$I$6:$I$155,G93))</x:f>
      </x:c>
      <x:c r="R93" s="102" t="str">
        <x:f>IF(Q93=0,"",MAXIFS('11 Training Attendance'!$D$6:$D$155,'11 Training Attendance'!$E$6:$E$155,B93,'11 Training Attendance'!$K$6:$K$155,"Attended",'11 Training Attendance'!$I$6:$I$155,G93))</x:f>
      </x:c>
      <x:c r="S93" s="94" t="str">
        <x:f>IF(OR(B93="",G93=""),"",COUNTIFS('13 Effectiveness Review'!$C$6:$C$155,B93,'13 Effectiveness Review'!$F$6:$F$155,G93,'13 Effectiveness Review'!$X$6:$X$155,"Closed — Effective"))</x:f>
      </x:c>
      <x:c r="T93" s="94" t="str">
        <x:f>IF(B93="","",IF(K93="","Not Assessed",IF(O93="Expired","Renewal Due",IF(L93=0,"Competent","Skill Gap"))))</x:f>
      </x:c>
      <x:c r="U93" s="94" t="str">
        <x:f>IFERROR(VLOOKUP(D93&amp;"|"&amp;E93&amp;"|"&amp;G93,'03 Position Requirements'!$A$6:$R$285,14,FALSE),"")</x:f>
      </x:c>
      <x:c r="V93" s="92"/>
      <x:c r="W93" s="85" t="str">
        <x:f>IF(B93="","",B93&amp;"|"&amp;COUNTIF($B$6:B93,B93))</x:f>
      </x:c>
      <x:c r="X93" s="85" t="str">
        <x:f>IF(B93="","",G93)</x:f>
      </x:c>
      <x:c r="Y93" s="85" t="str">
        <x:f>IF(B93="","",H93)</x:f>
      </x:c>
      <x:c r="Z93" s="85" t="str">
        <x:f>IF(B93="","",I93)</x:f>
      </x:c>
      <x:c r="AA93" s="85" t="str">
        <x:f>IF(B93="","",J93)</x:f>
      </x:c>
      <x:c r="AB93" s="85" t="str">
        <x:f>IF(B93="","",K93)</x:f>
      </x:c>
      <x:c r="AC93" s="85" t="str">
        <x:f>IF(B93="","",L93)</x:f>
      </x:c>
      <x:c r="AD93" s="85" t="str">
        <x:f>IF(B93="","",M93)</x:f>
      </x:c>
      <x:c r="AE93" s="85" t="str">
        <x:f>IF(B93="","",N93)</x:f>
      </x:c>
      <x:c r="AF93" s="85" t="str">
        <x:f>IF(B93="","",O93)</x:f>
      </x:c>
      <x:c r="AG93" s="85" t="str">
        <x:f>IF(B93="","",P93)</x:f>
      </x:c>
      <x:c r="AH93" s="85" t="str">
        <x:f>IF(B93="","",Q93)</x:f>
      </x:c>
      <x:c r="AI93" s="85" t="str">
        <x:f>IF(B93="","",R93)</x:f>
      </x:c>
      <x:c r="AJ93" s="85" t="str">
        <x:f>IF(B93="","",S93)</x:f>
      </x:c>
      <x:c r="AK93" s="85" t="str">
        <x:f>IF(B93="","",T93)</x:f>
      </x:c>
    </x:row>
    <x:row r="94">
      <x:c r="A94" s="94" t="str">
        <x:f>IF(OR(B94="",G94=""),"",B94&amp;"|"&amp;G94)</x:f>
      </x:c>
      <x:c r="B94" s="92"/>
      <x:c r="C94" s="94" t="str">
        <x:f>IFERROR(VLOOKUP(B94,'01 Staff Master'!$A$6:$M$105,2,FALSE),"")</x:f>
      </x:c>
      <x:c r="D94" s="94" t="str">
        <x:f>IFERROR(VLOOKUP(B94,'01 Staff Master'!$A$6:$M$105,3,FALSE),"")</x:f>
      </x:c>
      <x:c r="E94" s="94" t="str">
        <x:f>IFERROR(VLOOKUP(B94,'01 Staff Master'!$A$6:$M$105,5,FALSE),"")</x:f>
      </x:c>
      <x:c r="F94" s="94" t="str">
        <x:f>IFERROR(VLOOKUP(B94,'01 Staff Master'!$A$6:$M$105,4,FALSE),"")</x:f>
      </x:c>
      <x:c r="G94" s="92"/>
      <x:c r="H94" s="94" t="str">
        <x:f>IFERROR(VLOOKUP(G94,'02 Skill Catalogue'!$A$6:$K$95,4,FALSE),"")</x:f>
      </x:c>
      <x:c r="I94" s="94" t="str">
        <x:f>IFERROR(VLOOKUP(D94&amp;"|"&amp;E94&amp;"|"&amp;G94,'03 Position Requirements'!$A$6:$R$285,8,FALSE),"")</x:f>
      </x:c>
      <x:c r="J94" s="94" t="str">
        <x:f>IFERROR(VLOOKUP(D94&amp;"|"&amp;E94&amp;"|"&amp;G94,'03 Position Requirements'!$A$6:$R$285,10,FALSE),"")</x:f>
      </x:c>
      <x:c r="K94" s="94" t="str">
        <x:f>IF(OR(B94="",G94=""),"",IF(COUNTIFS('04 Assessment Log'!$D$6:$D$155,B94,'04 Assessment Log'!$J$6:$J$155,G94,'04 Assessment Log'!$AA$6:$AA$155,"Yes")=0,"",SUMIFS('04 Assessment Log'!$O$6:$O$155,'04 Assessment Log'!$D$6:$D$155,B94,'04 Assessment Log'!$J$6:$J$155,G94,'04 Assessment Log'!$AA$6:$AA$155,"Yes")))</x:f>
      </x:c>
      <x:c r="L94" s="94" t="str">
        <x:f>IF(OR(J94="",K94=""),"",MAX(J94-K94,0))</x:f>
      </x:c>
      <x:c r="M94" s="102" t="str">
        <x:f>IF(COUNTIFS('04 Assessment Log'!$D$6:$D$155,B94,'04 Assessment Log'!$J$6:$J$155,G94,'04 Assessment Log'!$AA$6:$AA$155,"Yes")=0,"",SUMIFS('04 Assessment Log'!$B$6:$B$155,'04 Assessment Log'!$D$6:$D$155,B94,'04 Assessment Log'!$J$6:$J$155,G94,'04 Assessment Log'!$AA$6:$AA$155,"Yes"))</x:f>
      </x:c>
      <x:c r="N94" s="102" t="str">
        <x:f>IF(M94="","",SUMIFS('04 Assessment Log'!$Z$6:$Z$155,'04 Assessment Log'!$D$6:$D$155,B94,'04 Assessment Log'!$J$6:$J$155,G94,'04 Assessment Log'!$AA$6:$AA$155,"Yes"))</x:f>
      </x:c>
      <x:c r="O94" s="94" t="str">
        <x:f>IF(M94="","Not Assessed",IF(N94&lt;TODAY(),"Expired",IF(N94&lt;=TODAY()+30,"Due Soon","Current")))</x:f>
        <x:v>Not Assessed</x:v>
      </x:c>
      <x:c r="P94" s="94" t="str">
        <x:f>IF(OR(B94="",G94=""),"",COUNTIFS('05 Development Actions'!$C$6:$C$105,B94,'05 Development Actions'!$G$6:$G$105,G94,'05 Development Actions'!$A$6:$A$105,"&lt;&gt;",'05 Development Actions'!$AB$6:$AB$105,"&lt;&gt;Closed — Competent",'05 Development Actions'!$AB$6:$AB$105,"&lt;&gt;Cancelled"))</x:f>
      </x:c>
      <x:c r="Q94" s="94" t="str">
        <x:f>IF(OR(B94="",G94=""),"",COUNTIFS('11 Training Attendance'!$E$6:$E$155,B94,'11 Training Attendance'!$K$6:$K$155,"Attended",'11 Training Attendance'!$I$6:$I$155,G94))</x:f>
      </x:c>
      <x:c r="R94" s="102" t="str">
        <x:f>IF(Q94=0,"",MAXIFS('11 Training Attendance'!$D$6:$D$155,'11 Training Attendance'!$E$6:$E$155,B94,'11 Training Attendance'!$K$6:$K$155,"Attended",'11 Training Attendance'!$I$6:$I$155,G94))</x:f>
      </x:c>
      <x:c r="S94" s="94" t="str">
        <x:f>IF(OR(B94="",G94=""),"",COUNTIFS('13 Effectiveness Review'!$C$6:$C$155,B94,'13 Effectiveness Review'!$F$6:$F$155,G94,'13 Effectiveness Review'!$X$6:$X$155,"Closed — Effective"))</x:f>
      </x:c>
      <x:c r="T94" s="94" t="str">
        <x:f>IF(B94="","",IF(K94="","Not Assessed",IF(O94="Expired","Renewal Due",IF(L94=0,"Competent","Skill Gap"))))</x:f>
      </x:c>
      <x:c r="U94" s="94" t="str">
        <x:f>IFERROR(VLOOKUP(D94&amp;"|"&amp;E94&amp;"|"&amp;G94,'03 Position Requirements'!$A$6:$R$285,14,FALSE),"")</x:f>
      </x:c>
      <x:c r="V94" s="92"/>
      <x:c r="W94" s="85" t="str">
        <x:f>IF(B94="","",B94&amp;"|"&amp;COUNTIF($B$6:B94,B94))</x:f>
      </x:c>
      <x:c r="X94" s="85" t="str">
        <x:f>IF(B94="","",G94)</x:f>
      </x:c>
      <x:c r="Y94" s="85" t="str">
        <x:f>IF(B94="","",H94)</x:f>
      </x:c>
      <x:c r="Z94" s="85" t="str">
        <x:f>IF(B94="","",I94)</x:f>
      </x:c>
      <x:c r="AA94" s="85" t="str">
        <x:f>IF(B94="","",J94)</x:f>
      </x:c>
      <x:c r="AB94" s="85" t="str">
        <x:f>IF(B94="","",K94)</x:f>
      </x:c>
      <x:c r="AC94" s="85" t="str">
        <x:f>IF(B94="","",L94)</x:f>
      </x:c>
      <x:c r="AD94" s="85" t="str">
        <x:f>IF(B94="","",M94)</x:f>
      </x:c>
      <x:c r="AE94" s="85" t="str">
        <x:f>IF(B94="","",N94)</x:f>
      </x:c>
      <x:c r="AF94" s="85" t="str">
        <x:f>IF(B94="","",O94)</x:f>
      </x:c>
      <x:c r="AG94" s="85" t="str">
        <x:f>IF(B94="","",P94)</x:f>
      </x:c>
      <x:c r="AH94" s="85" t="str">
        <x:f>IF(B94="","",Q94)</x:f>
      </x:c>
      <x:c r="AI94" s="85" t="str">
        <x:f>IF(B94="","",R94)</x:f>
      </x:c>
      <x:c r="AJ94" s="85" t="str">
        <x:f>IF(B94="","",S94)</x:f>
      </x:c>
      <x:c r="AK94" s="85" t="str">
        <x:f>IF(B94="","",T94)</x:f>
      </x:c>
    </x:row>
    <x:row r="95">
      <x:c r="A95" s="94" t="str">
        <x:f>IF(OR(B95="",G95=""),"",B95&amp;"|"&amp;G95)</x:f>
      </x:c>
      <x:c r="B95" s="92"/>
      <x:c r="C95" s="94" t="str">
        <x:f>IFERROR(VLOOKUP(B95,'01 Staff Master'!$A$6:$M$105,2,FALSE),"")</x:f>
      </x:c>
      <x:c r="D95" s="94" t="str">
        <x:f>IFERROR(VLOOKUP(B95,'01 Staff Master'!$A$6:$M$105,3,FALSE),"")</x:f>
      </x:c>
      <x:c r="E95" s="94" t="str">
        <x:f>IFERROR(VLOOKUP(B95,'01 Staff Master'!$A$6:$M$105,5,FALSE),"")</x:f>
      </x:c>
      <x:c r="F95" s="94" t="str">
        <x:f>IFERROR(VLOOKUP(B95,'01 Staff Master'!$A$6:$M$105,4,FALSE),"")</x:f>
      </x:c>
      <x:c r="G95" s="92"/>
      <x:c r="H95" s="94" t="str">
        <x:f>IFERROR(VLOOKUP(G95,'02 Skill Catalogue'!$A$6:$K$95,4,FALSE),"")</x:f>
      </x:c>
      <x:c r="I95" s="94" t="str">
        <x:f>IFERROR(VLOOKUP(D95&amp;"|"&amp;E95&amp;"|"&amp;G95,'03 Position Requirements'!$A$6:$R$285,8,FALSE),"")</x:f>
      </x:c>
      <x:c r="J95" s="94" t="str">
        <x:f>IFERROR(VLOOKUP(D95&amp;"|"&amp;E95&amp;"|"&amp;G95,'03 Position Requirements'!$A$6:$R$285,10,FALSE),"")</x:f>
      </x:c>
      <x:c r="K95" s="94" t="str">
        <x:f>IF(OR(B95="",G95=""),"",IF(COUNTIFS('04 Assessment Log'!$D$6:$D$155,B95,'04 Assessment Log'!$J$6:$J$155,G95,'04 Assessment Log'!$AA$6:$AA$155,"Yes")=0,"",SUMIFS('04 Assessment Log'!$O$6:$O$155,'04 Assessment Log'!$D$6:$D$155,B95,'04 Assessment Log'!$J$6:$J$155,G95,'04 Assessment Log'!$AA$6:$AA$155,"Yes")))</x:f>
      </x:c>
      <x:c r="L95" s="94" t="str">
        <x:f>IF(OR(J95="",K95=""),"",MAX(J95-K95,0))</x:f>
      </x:c>
      <x:c r="M95" s="102" t="str">
        <x:f>IF(COUNTIFS('04 Assessment Log'!$D$6:$D$155,B95,'04 Assessment Log'!$J$6:$J$155,G95,'04 Assessment Log'!$AA$6:$AA$155,"Yes")=0,"",SUMIFS('04 Assessment Log'!$B$6:$B$155,'04 Assessment Log'!$D$6:$D$155,B95,'04 Assessment Log'!$J$6:$J$155,G95,'04 Assessment Log'!$AA$6:$AA$155,"Yes"))</x:f>
      </x:c>
      <x:c r="N95" s="102" t="str">
        <x:f>IF(M95="","",SUMIFS('04 Assessment Log'!$Z$6:$Z$155,'04 Assessment Log'!$D$6:$D$155,B95,'04 Assessment Log'!$J$6:$J$155,G95,'04 Assessment Log'!$AA$6:$AA$155,"Yes"))</x:f>
      </x:c>
      <x:c r="O95" s="94" t="str">
        <x:f>IF(M95="","Not Assessed",IF(N95&lt;TODAY(),"Expired",IF(N95&lt;=TODAY()+30,"Due Soon","Current")))</x:f>
        <x:v>Not Assessed</x:v>
      </x:c>
      <x:c r="P95" s="94" t="str">
        <x:f>IF(OR(B95="",G95=""),"",COUNTIFS('05 Development Actions'!$C$6:$C$105,B95,'05 Development Actions'!$G$6:$G$105,G95,'05 Development Actions'!$A$6:$A$105,"&lt;&gt;",'05 Development Actions'!$AB$6:$AB$105,"&lt;&gt;Closed — Competent",'05 Development Actions'!$AB$6:$AB$105,"&lt;&gt;Cancelled"))</x:f>
      </x:c>
      <x:c r="Q95" s="94" t="str">
        <x:f>IF(OR(B95="",G95=""),"",COUNTIFS('11 Training Attendance'!$E$6:$E$155,B95,'11 Training Attendance'!$K$6:$K$155,"Attended",'11 Training Attendance'!$I$6:$I$155,G95))</x:f>
      </x:c>
      <x:c r="R95" s="102" t="str">
        <x:f>IF(Q95=0,"",MAXIFS('11 Training Attendance'!$D$6:$D$155,'11 Training Attendance'!$E$6:$E$155,B95,'11 Training Attendance'!$K$6:$K$155,"Attended",'11 Training Attendance'!$I$6:$I$155,G95))</x:f>
      </x:c>
      <x:c r="S95" s="94" t="str">
        <x:f>IF(OR(B95="",G95=""),"",COUNTIFS('13 Effectiveness Review'!$C$6:$C$155,B95,'13 Effectiveness Review'!$F$6:$F$155,G95,'13 Effectiveness Review'!$X$6:$X$155,"Closed — Effective"))</x:f>
      </x:c>
      <x:c r="T95" s="94" t="str">
        <x:f>IF(B95="","",IF(K95="","Not Assessed",IF(O95="Expired","Renewal Due",IF(L95=0,"Competent","Skill Gap"))))</x:f>
      </x:c>
      <x:c r="U95" s="94" t="str">
        <x:f>IFERROR(VLOOKUP(D95&amp;"|"&amp;E95&amp;"|"&amp;G95,'03 Position Requirements'!$A$6:$R$285,14,FALSE),"")</x:f>
      </x:c>
      <x:c r="V95" s="92"/>
      <x:c r="W95" s="85" t="str">
        <x:f>IF(B95="","",B95&amp;"|"&amp;COUNTIF($B$6:B95,B95))</x:f>
      </x:c>
      <x:c r="X95" s="85" t="str">
        <x:f>IF(B95="","",G95)</x:f>
      </x:c>
      <x:c r="Y95" s="85" t="str">
        <x:f>IF(B95="","",H95)</x:f>
      </x:c>
      <x:c r="Z95" s="85" t="str">
        <x:f>IF(B95="","",I95)</x:f>
      </x:c>
      <x:c r="AA95" s="85" t="str">
        <x:f>IF(B95="","",J95)</x:f>
      </x:c>
      <x:c r="AB95" s="85" t="str">
        <x:f>IF(B95="","",K95)</x:f>
      </x:c>
      <x:c r="AC95" s="85" t="str">
        <x:f>IF(B95="","",L95)</x:f>
      </x:c>
      <x:c r="AD95" s="85" t="str">
        <x:f>IF(B95="","",M95)</x:f>
      </x:c>
      <x:c r="AE95" s="85" t="str">
        <x:f>IF(B95="","",N95)</x:f>
      </x:c>
      <x:c r="AF95" s="85" t="str">
        <x:f>IF(B95="","",O95)</x:f>
      </x:c>
      <x:c r="AG95" s="85" t="str">
        <x:f>IF(B95="","",P95)</x:f>
      </x:c>
      <x:c r="AH95" s="85" t="str">
        <x:f>IF(B95="","",Q95)</x:f>
      </x:c>
      <x:c r="AI95" s="85" t="str">
        <x:f>IF(B95="","",R95)</x:f>
      </x:c>
      <x:c r="AJ95" s="85" t="str">
        <x:f>IF(B95="","",S95)</x:f>
      </x:c>
      <x:c r="AK95" s="85" t="str">
        <x:f>IF(B95="","",T95)</x:f>
      </x:c>
    </x:row>
    <x:row r="96">
      <x:c r="A96" s="94" t="str">
        <x:f>IF(OR(B96="",G96=""),"",B96&amp;"|"&amp;G96)</x:f>
      </x:c>
      <x:c r="B96" s="92"/>
      <x:c r="C96" s="94" t="str">
        <x:f>IFERROR(VLOOKUP(B96,'01 Staff Master'!$A$6:$M$105,2,FALSE),"")</x:f>
      </x:c>
      <x:c r="D96" s="94" t="str">
        <x:f>IFERROR(VLOOKUP(B96,'01 Staff Master'!$A$6:$M$105,3,FALSE),"")</x:f>
      </x:c>
      <x:c r="E96" s="94" t="str">
        <x:f>IFERROR(VLOOKUP(B96,'01 Staff Master'!$A$6:$M$105,5,FALSE),"")</x:f>
      </x:c>
      <x:c r="F96" s="94" t="str">
        <x:f>IFERROR(VLOOKUP(B96,'01 Staff Master'!$A$6:$M$105,4,FALSE),"")</x:f>
      </x:c>
      <x:c r="G96" s="92"/>
      <x:c r="H96" s="94" t="str">
        <x:f>IFERROR(VLOOKUP(G96,'02 Skill Catalogue'!$A$6:$K$95,4,FALSE),"")</x:f>
      </x:c>
      <x:c r="I96" s="94" t="str">
        <x:f>IFERROR(VLOOKUP(D96&amp;"|"&amp;E96&amp;"|"&amp;G96,'03 Position Requirements'!$A$6:$R$285,8,FALSE),"")</x:f>
      </x:c>
      <x:c r="J96" s="94" t="str">
        <x:f>IFERROR(VLOOKUP(D96&amp;"|"&amp;E96&amp;"|"&amp;G96,'03 Position Requirements'!$A$6:$R$285,10,FALSE),"")</x:f>
      </x:c>
      <x:c r="K96" s="94" t="str">
        <x:f>IF(OR(B96="",G96=""),"",IF(COUNTIFS('04 Assessment Log'!$D$6:$D$155,B96,'04 Assessment Log'!$J$6:$J$155,G96,'04 Assessment Log'!$AA$6:$AA$155,"Yes")=0,"",SUMIFS('04 Assessment Log'!$O$6:$O$155,'04 Assessment Log'!$D$6:$D$155,B96,'04 Assessment Log'!$J$6:$J$155,G96,'04 Assessment Log'!$AA$6:$AA$155,"Yes")))</x:f>
      </x:c>
      <x:c r="L96" s="94" t="str">
        <x:f>IF(OR(J96="",K96=""),"",MAX(J96-K96,0))</x:f>
      </x:c>
      <x:c r="M96" s="102" t="str">
        <x:f>IF(COUNTIFS('04 Assessment Log'!$D$6:$D$155,B96,'04 Assessment Log'!$J$6:$J$155,G96,'04 Assessment Log'!$AA$6:$AA$155,"Yes")=0,"",SUMIFS('04 Assessment Log'!$B$6:$B$155,'04 Assessment Log'!$D$6:$D$155,B96,'04 Assessment Log'!$J$6:$J$155,G96,'04 Assessment Log'!$AA$6:$AA$155,"Yes"))</x:f>
      </x:c>
      <x:c r="N96" s="102" t="str">
        <x:f>IF(M96="","",SUMIFS('04 Assessment Log'!$Z$6:$Z$155,'04 Assessment Log'!$D$6:$D$155,B96,'04 Assessment Log'!$J$6:$J$155,G96,'04 Assessment Log'!$AA$6:$AA$155,"Yes"))</x:f>
      </x:c>
      <x:c r="O96" s="94" t="str">
        <x:f>IF(M96="","Not Assessed",IF(N96&lt;TODAY(),"Expired",IF(N96&lt;=TODAY()+30,"Due Soon","Current")))</x:f>
        <x:v>Not Assessed</x:v>
      </x:c>
      <x:c r="P96" s="94" t="str">
        <x:f>IF(OR(B96="",G96=""),"",COUNTIFS('05 Development Actions'!$C$6:$C$105,B96,'05 Development Actions'!$G$6:$G$105,G96,'05 Development Actions'!$A$6:$A$105,"&lt;&gt;",'05 Development Actions'!$AB$6:$AB$105,"&lt;&gt;Closed — Competent",'05 Development Actions'!$AB$6:$AB$105,"&lt;&gt;Cancelled"))</x:f>
      </x:c>
      <x:c r="Q96" s="94" t="str">
        <x:f>IF(OR(B96="",G96=""),"",COUNTIFS('11 Training Attendance'!$E$6:$E$155,B96,'11 Training Attendance'!$K$6:$K$155,"Attended",'11 Training Attendance'!$I$6:$I$155,G96))</x:f>
      </x:c>
      <x:c r="R96" s="102" t="str">
        <x:f>IF(Q96=0,"",MAXIFS('11 Training Attendance'!$D$6:$D$155,'11 Training Attendance'!$E$6:$E$155,B96,'11 Training Attendance'!$K$6:$K$155,"Attended",'11 Training Attendance'!$I$6:$I$155,G96))</x:f>
      </x:c>
      <x:c r="S96" s="94" t="str">
        <x:f>IF(OR(B96="",G96=""),"",COUNTIFS('13 Effectiveness Review'!$C$6:$C$155,B96,'13 Effectiveness Review'!$F$6:$F$155,G96,'13 Effectiveness Review'!$X$6:$X$155,"Closed — Effective"))</x:f>
      </x:c>
      <x:c r="T96" s="94" t="str">
        <x:f>IF(B96="","",IF(K96="","Not Assessed",IF(O96="Expired","Renewal Due",IF(L96=0,"Competent","Skill Gap"))))</x:f>
      </x:c>
      <x:c r="U96" s="94" t="str">
        <x:f>IFERROR(VLOOKUP(D96&amp;"|"&amp;E96&amp;"|"&amp;G96,'03 Position Requirements'!$A$6:$R$285,14,FALSE),"")</x:f>
      </x:c>
      <x:c r="V96" s="92"/>
      <x:c r="W96" s="85" t="str">
        <x:f>IF(B96="","",B96&amp;"|"&amp;COUNTIF($B$6:B96,B96))</x:f>
      </x:c>
      <x:c r="X96" s="85" t="str">
        <x:f>IF(B96="","",G96)</x:f>
      </x:c>
      <x:c r="Y96" s="85" t="str">
        <x:f>IF(B96="","",H96)</x:f>
      </x:c>
      <x:c r="Z96" s="85" t="str">
        <x:f>IF(B96="","",I96)</x:f>
      </x:c>
      <x:c r="AA96" s="85" t="str">
        <x:f>IF(B96="","",J96)</x:f>
      </x:c>
      <x:c r="AB96" s="85" t="str">
        <x:f>IF(B96="","",K96)</x:f>
      </x:c>
      <x:c r="AC96" s="85" t="str">
        <x:f>IF(B96="","",L96)</x:f>
      </x:c>
      <x:c r="AD96" s="85" t="str">
        <x:f>IF(B96="","",M96)</x:f>
      </x:c>
      <x:c r="AE96" s="85" t="str">
        <x:f>IF(B96="","",N96)</x:f>
      </x:c>
      <x:c r="AF96" s="85" t="str">
        <x:f>IF(B96="","",O96)</x:f>
      </x:c>
      <x:c r="AG96" s="85" t="str">
        <x:f>IF(B96="","",P96)</x:f>
      </x:c>
      <x:c r="AH96" s="85" t="str">
        <x:f>IF(B96="","",Q96)</x:f>
      </x:c>
      <x:c r="AI96" s="85" t="str">
        <x:f>IF(B96="","",R96)</x:f>
      </x:c>
      <x:c r="AJ96" s="85" t="str">
        <x:f>IF(B96="","",S96)</x:f>
      </x:c>
      <x:c r="AK96" s="85" t="str">
        <x:f>IF(B96="","",T96)</x:f>
      </x:c>
    </x:row>
    <x:row r="97">
      <x:c r="A97" s="94" t="str">
        <x:f>IF(OR(B97="",G97=""),"",B97&amp;"|"&amp;G97)</x:f>
      </x:c>
      <x:c r="B97" s="92"/>
      <x:c r="C97" s="94" t="str">
        <x:f>IFERROR(VLOOKUP(B97,'01 Staff Master'!$A$6:$M$105,2,FALSE),"")</x:f>
      </x:c>
      <x:c r="D97" s="94" t="str">
        <x:f>IFERROR(VLOOKUP(B97,'01 Staff Master'!$A$6:$M$105,3,FALSE),"")</x:f>
      </x:c>
      <x:c r="E97" s="94" t="str">
        <x:f>IFERROR(VLOOKUP(B97,'01 Staff Master'!$A$6:$M$105,5,FALSE),"")</x:f>
      </x:c>
      <x:c r="F97" s="94" t="str">
        <x:f>IFERROR(VLOOKUP(B97,'01 Staff Master'!$A$6:$M$105,4,FALSE),"")</x:f>
      </x:c>
      <x:c r="G97" s="92"/>
      <x:c r="H97" s="94" t="str">
        <x:f>IFERROR(VLOOKUP(G97,'02 Skill Catalogue'!$A$6:$K$95,4,FALSE),"")</x:f>
      </x:c>
      <x:c r="I97" s="94" t="str">
        <x:f>IFERROR(VLOOKUP(D97&amp;"|"&amp;E97&amp;"|"&amp;G97,'03 Position Requirements'!$A$6:$R$285,8,FALSE),"")</x:f>
      </x:c>
      <x:c r="J97" s="94" t="str">
        <x:f>IFERROR(VLOOKUP(D97&amp;"|"&amp;E97&amp;"|"&amp;G97,'03 Position Requirements'!$A$6:$R$285,10,FALSE),"")</x:f>
      </x:c>
      <x:c r="K97" s="94" t="str">
        <x:f>IF(OR(B97="",G97=""),"",IF(COUNTIFS('04 Assessment Log'!$D$6:$D$155,B97,'04 Assessment Log'!$J$6:$J$155,G97,'04 Assessment Log'!$AA$6:$AA$155,"Yes")=0,"",SUMIFS('04 Assessment Log'!$O$6:$O$155,'04 Assessment Log'!$D$6:$D$155,B97,'04 Assessment Log'!$J$6:$J$155,G97,'04 Assessment Log'!$AA$6:$AA$155,"Yes")))</x:f>
      </x:c>
      <x:c r="L97" s="94" t="str">
        <x:f>IF(OR(J97="",K97=""),"",MAX(J97-K97,0))</x:f>
      </x:c>
      <x:c r="M97" s="102" t="str">
        <x:f>IF(COUNTIFS('04 Assessment Log'!$D$6:$D$155,B97,'04 Assessment Log'!$J$6:$J$155,G97,'04 Assessment Log'!$AA$6:$AA$155,"Yes")=0,"",SUMIFS('04 Assessment Log'!$B$6:$B$155,'04 Assessment Log'!$D$6:$D$155,B97,'04 Assessment Log'!$J$6:$J$155,G97,'04 Assessment Log'!$AA$6:$AA$155,"Yes"))</x:f>
      </x:c>
      <x:c r="N97" s="102" t="str">
        <x:f>IF(M97="","",SUMIFS('04 Assessment Log'!$Z$6:$Z$155,'04 Assessment Log'!$D$6:$D$155,B97,'04 Assessment Log'!$J$6:$J$155,G97,'04 Assessment Log'!$AA$6:$AA$155,"Yes"))</x:f>
      </x:c>
      <x:c r="O97" s="94" t="str">
        <x:f>IF(M97="","Not Assessed",IF(N97&lt;TODAY(),"Expired",IF(N97&lt;=TODAY()+30,"Due Soon","Current")))</x:f>
        <x:v>Not Assessed</x:v>
      </x:c>
      <x:c r="P97" s="94" t="str">
        <x:f>IF(OR(B97="",G97=""),"",COUNTIFS('05 Development Actions'!$C$6:$C$105,B97,'05 Development Actions'!$G$6:$G$105,G97,'05 Development Actions'!$A$6:$A$105,"&lt;&gt;",'05 Development Actions'!$AB$6:$AB$105,"&lt;&gt;Closed — Competent",'05 Development Actions'!$AB$6:$AB$105,"&lt;&gt;Cancelled"))</x:f>
      </x:c>
      <x:c r="Q97" s="94" t="str">
        <x:f>IF(OR(B97="",G97=""),"",COUNTIFS('11 Training Attendance'!$E$6:$E$155,B97,'11 Training Attendance'!$K$6:$K$155,"Attended",'11 Training Attendance'!$I$6:$I$155,G97))</x:f>
      </x:c>
      <x:c r="R97" s="102" t="str">
        <x:f>IF(Q97=0,"",MAXIFS('11 Training Attendance'!$D$6:$D$155,'11 Training Attendance'!$E$6:$E$155,B97,'11 Training Attendance'!$K$6:$K$155,"Attended",'11 Training Attendance'!$I$6:$I$155,G97))</x:f>
      </x:c>
      <x:c r="S97" s="94" t="str">
        <x:f>IF(OR(B97="",G97=""),"",COUNTIFS('13 Effectiveness Review'!$C$6:$C$155,B97,'13 Effectiveness Review'!$F$6:$F$155,G97,'13 Effectiveness Review'!$X$6:$X$155,"Closed — Effective"))</x:f>
      </x:c>
      <x:c r="T97" s="94" t="str">
        <x:f>IF(B97="","",IF(K97="","Not Assessed",IF(O97="Expired","Renewal Due",IF(L97=0,"Competent","Skill Gap"))))</x:f>
      </x:c>
      <x:c r="U97" s="94" t="str">
        <x:f>IFERROR(VLOOKUP(D97&amp;"|"&amp;E97&amp;"|"&amp;G97,'03 Position Requirements'!$A$6:$R$285,14,FALSE),"")</x:f>
      </x:c>
      <x:c r="V97" s="92"/>
      <x:c r="W97" s="85" t="str">
        <x:f>IF(B97="","",B97&amp;"|"&amp;COUNTIF($B$6:B97,B97))</x:f>
      </x:c>
      <x:c r="X97" s="85" t="str">
        <x:f>IF(B97="","",G97)</x:f>
      </x:c>
      <x:c r="Y97" s="85" t="str">
        <x:f>IF(B97="","",H97)</x:f>
      </x:c>
      <x:c r="Z97" s="85" t="str">
        <x:f>IF(B97="","",I97)</x:f>
      </x:c>
      <x:c r="AA97" s="85" t="str">
        <x:f>IF(B97="","",J97)</x:f>
      </x:c>
      <x:c r="AB97" s="85" t="str">
        <x:f>IF(B97="","",K97)</x:f>
      </x:c>
      <x:c r="AC97" s="85" t="str">
        <x:f>IF(B97="","",L97)</x:f>
      </x:c>
      <x:c r="AD97" s="85" t="str">
        <x:f>IF(B97="","",M97)</x:f>
      </x:c>
      <x:c r="AE97" s="85" t="str">
        <x:f>IF(B97="","",N97)</x:f>
      </x:c>
      <x:c r="AF97" s="85" t="str">
        <x:f>IF(B97="","",O97)</x:f>
      </x:c>
      <x:c r="AG97" s="85" t="str">
        <x:f>IF(B97="","",P97)</x:f>
      </x:c>
      <x:c r="AH97" s="85" t="str">
        <x:f>IF(B97="","",Q97)</x:f>
      </x:c>
      <x:c r="AI97" s="85" t="str">
        <x:f>IF(B97="","",R97)</x:f>
      </x:c>
      <x:c r="AJ97" s="85" t="str">
        <x:f>IF(B97="","",S97)</x:f>
      </x:c>
      <x:c r="AK97" s="85" t="str">
        <x:f>IF(B97="","",T97)</x:f>
      </x:c>
    </x:row>
    <x:row r="98">
      <x:c r="A98" s="94" t="str">
        <x:f>IF(OR(B98="",G98=""),"",B98&amp;"|"&amp;G98)</x:f>
      </x:c>
      <x:c r="B98" s="92"/>
      <x:c r="C98" s="94" t="str">
        <x:f>IFERROR(VLOOKUP(B98,'01 Staff Master'!$A$6:$M$105,2,FALSE),"")</x:f>
      </x:c>
      <x:c r="D98" s="94" t="str">
        <x:f>IFERROR(VLOOKUP(B98,'01 Staff Master'!$A$6:$M$105,3,FALSE),"")</x:f>
      </x:c>
      <x:c r="E98" s="94" t="str">
        <x:f>IFERROR(VLOOKUP(B98,'01 Staff Master'!$A$6:$M$105,5,FALSE),"")</x:f>
      </x:c>
      <x:c r="F98" s="94" t="str">
        <x:f>IFERROR(VLOOKUP(B98,'01 Staff Master'!$A$6:$M$105,4,FALSE),"")</x:f>
      </x:c>
      <x:c r="G98" s="92"/>
      <x:c r="H98" s="94" t="str">
        <x:f>IFERROR(VLOOKUP(G98,'02 Skill Catalogue'!$A$6:$K$95,4,FALSE),"")</x:f>
      </x:c>
      <x:c r="I98" s="94" t="str">
        <x:f>IFERROR(VLOOKUP(D98&amp;"|"&amp;E98&amp;"|"&amp;G98,'03 Position Requirements'!$A$6:$R$285,8,FALSE),"")</x:f>
      </x:c>
      <x:c r="J98" s="94" t="str">
        <x:f>IFERROR(VLOOKUP(D98&amp;"|"&amp;E98&amp;"|"&amp;G98,'03 Position Requirements'!$A$6:$R$285,10,FALSE),"")</x:f>
      </x:c>
      <x:c r="K98" s="94" t="str">
        <x:f>IF(OR(B98="",G98=""),"",IF(COUNTIFS('04 Assessment Log'!$D$6:$D$155,B98,'04 Assessment Log'!$J$6:$J$155,G98,'04 Assessment Log'!$AA$6:$AA$155,"Yes")=0,"",SUMIFS('04 Assessment Log'!$O$6:$O$155,'04 Assessment Log'!$D$6:$D$155,B98,'04 Assessment Log'!$J$6:$J$155,G98,'04 Assessment Log'!$AA$6:$AA$155,"Yes")))</x:f>
      </x:c>
      <x:c r="L98" s="94" t="str">
        <x:f>IF(OR(J98="",K98=""),"",MAX(J98-K98,0))</x:f>
      </x:c>
      <x:c r="M98" s="102" t="str">
        <x:f>IF(COUNTIFS('04 Assessment Log'!$D$6:$D$155,B98,'04 Assessment Log'!$J$6:$J$155,G98,'04 Assessment Log'!$AA$6:$AA$155,"Yes")=0,"",SUMIFS('04 Assessment Log'!$B$6:$B$155,'04 Assessment Log'!$D$6:$D$155,B98,'04 Assessment Log'!$J$6:$J$155,G98,'04 Assessment Log'!$AA$6:$AA$155,"Yes"))</x:f>
      </x:c>
      <x:c r="N98" s="102" t="str">
        <x:f>IF(M98="","",SUMIFS('04 Assessment Log'!$Z$6:$Z$155,'04 Assessment Log'!$D$6:$D$155,B98,'04 Assessment Log'!$J$6:$J$155,G98,'04 Assessment Log'!$AA$6:$AA$155,"Yes"))</x:f>
      </x:c>
      <x:c r="O98" s="94" t="str">
        <x:f>IF(M98="","Not Assessed",IF(N98&lt;TODAY(),"Expired",IF(N98&lt;=TODAY()+30,"Due Soon","Current")))</x:f>
        <x:v>Not Assessed</x:v>
      </x:c>
      <x:c r="P98" s="94" t="str">
        <x:f>IF(OR(B98="",G98=""),"",COUNTIFS('05 Development Actions'!$C$6:$C$105,B98,'05 Development Actions'!$G$6:$G$105,G98,'05 Development Actions'!$A$6:$A$105,"&lt;&gt;",'05 Development Actions'!$AB$6:$AB$105,"&lt;&gt;Closed — Competent",'05 Development Actions'!$AB$6:$AB$105,"&lt;&gt;Cancelled"))</x:f>
      </x:c>
      <x:c r="Q98" s="94" t="str">
        <x:f>IF(OR(B98="",G98=""),"",COUNTIFS('11 Training Attendance'!$E$6:$E$155,B98,'11 Training Attendance'!$K$6:$K$155,"Attended",'11 Training Attendance'!$I$6:$I$155,G98))</x:f>
      </x:c>
      <x:c r="R98" s="102" t="str">
        <x:f>IF(Q98=0,"",MAXIFS('11 Training Attendance'!$D$6:$D$155,'11 Training Attendance'!$E$6:$E$155,B98,'11 Training Attendance'!$K$6:$K$155,"Attended",'11 Training Attendance'!$I$6:$I$155,G98))</x:f>
      </x:c>
      <x:c r="S98" s="94" t="str">
        <x:f>IF(OR(B98="",G98=""),"",COUNTIFS('13 Effectiveness Review'!$C$6:$C$155,B98,'13 Effectiveness Review'!$F$6:$F$155,G98,'13 Effectiveness Review'!$X$6:$X$155,"Closed — Effective"))</x:f>
      </x:c>
      <x:c r="T98" s="94" t="str">
        <x:f>IF(B98="","",IF(K98="","Not Assessed",IF(O98="Expired","Renewal Due",IF(L98=0,"Competent","Skill Gap"))))</x:f>
      </x:c>
      <x:c r="U98" s="94" t="str">
        <x:f>IFERROR(VLOOKUP(D98&amp;"|"&amp;E98&amp;"|"&amp;G98,'03 Position Requirements'!$A$6:$R$285,14,FALSE),"")</x:f>
      </x:c>
      <x:c r="V98" s="92"/>
      <x:c r="W98" s="85" t="str">
        <x:f>IF(B98="","",B98&amp;"|"&amp;COUNTIF($B$6:B98,B98))</x:f>
      </x:c>
      <x:c r="X98" s="85" t="str">
        <x:f>IF(B98="","",G98)</x:f>
      </x:c>
      <x:c r="Y98" s="85" t="str">
        <x:f>IF(B98="","",H98)</x:f>
      </x:c>
      <x:c r="Z98" s="85" t="str">
        <x:f>IF(B98="","",I98)</x:f>
      </x:c>
      <x:c r="AA98" s="85" t="str">
        <x:f>IF(B98="","",J98)</x:f>
      </x:c>
      <x:c r="AB98" s="85" t="str">
        <x:f>IF(B98="","",K98)</x:f>
      </x:c>
      <x:c r="AC98" s="85" t="str">
        <x:f>IF(B98="","",L98)</x:f>
      </x:c>
      <x:c r="AD98" s="85" t="str">
        <x:f>IF(B98="","",M98)</x:f>
      </x:c>
      <x:c r="AE98" s="85" t="str">
        <x:f>IF(B98="","",N98)</x:f>
      </x:c>
      <x:c r="AF98" s="85" t="str">
        <x:f>IF(B98="","",O98)</x:f>
      </x:c>
      <x:c r="AG98" s="85" t="str">
        <x:f>IF(B98="","",P98)</x:f>
      </x:c>
      <x:c r="AH98" s="85" t="str">
        <x:f>IF(B98="","",Q98)</x:f>
      </x:c>
      <x:c r="AI98" s="85" t="str">
        <x:f>IF(B98="","",R98)</x:f>
      </x:c>
      <x:c r="AJ98" s="85" t="str">
        <x:f>IF(B98="","",S98)</x:f>
      </x:c>
      <x:c r="AK98" s="85" t="str">
        <x:f>IF(B98="","",T98)</x:f>
      </x:c>
    </x:row>
    <x:row r="99">
      <x:c r="A99" s="94" t="str">
        <x:f>IF(OR(B99="",G99=""),"",B99&amp;"|"&amp;G99)</x:f>
      </x:c>
      <x:c r="B99" s="92"/>
      <x:c r="C99" s="94" t="str">
        <x:f>IFERROR(VLOOKUP(B99,'01 Staff Master'!$A$6:$M$105,2,FALSE),"")</x:f>
      </x:c>
      <x:c r="D99" s="94" t="str">
        <x:f>IFERROR(VLOOKUP(B99,'01 Staff Master'!$A$6:$M$105,3,FALSE),"")</x:f>
      </x:c>
      <x:c r="E99" s="94" t="str">
        <x:f>IFERROR(VLOOKUP(B99,'01 Staff Master'!$A$6:$M$105,5,FALSE),"")</x:f>
      </x:c>
      <x:c r="F99" s="94" t="str">
        <x:f>IFERROR(VLOOKUP(B99,'01 Staff Master'!$A$6:$M$105,4,FALSE),"")</x:f>
      </x:c>
      <x:c r="G99" s="92"/>
      <x:c r="H99" s="94" t="str">
        <x:f>IFERROR(VLOOKUP(G99,'02 Skill Catalogue'!$A$6:$K$95,4,FALSE),"")</x:f>
      </x:c>
      <x:c r="I99" s="94" t="str">
        <x:f>IFERROR(VLOOKUP(D99&amp;"|"&amp;E99&amp;"|"&amp;G99,'03 Position Requirements'!$A$6:$R$285,8,FALSE),"")</x:f>
      </x:c>
      <x:c r="J99" s="94" t="str">
        <x:f>IFERROR(VLOOKUP(D99&amp;"|"&amp;E99&amp;"|"&amp;G99,'03 Position Requirements'!$A$6:$R$285,10,FALSE),"")</x:f>
      </x:c>
      <x:c r="K99" s="94" t="str">
        <x:f>IF(OR(B99="",G99=""),"",IF(COUNTIFS('04 Assessment Log'!$D$6:$D$155,B99,'04 Assessment Log'!$J$6:$J$155,G99,'04 Assessment Log'!$AA$6:$AA$155,"Yes")=0,"",SUMIFS('04 Assessment Log'!$O$6:$O$155,'04 Assessment Log'!$D$6:$D$155,B99,'04 Assessment Log'!$J$6:$J$155,G99,'04 Assessment Log'!$AA$6:$AA$155,"Yes")))</x:f>
      </x:c>
      <x:c r="L99" s="94" t="str">
        <x:f>IF(OR(J99="",K99=""),"",MAX(J99-K99,0))</x:f>
      </x:c>
      <x:c r="M99" s="102" t="str">
        <x:f>IF(COUNTIFS('04 Assessment Log'!$D$6:$D$155,B99,'04 Assessment Log'!$J$6:$J$155,G99,'04 Assessment Log'!$AA$6:$AA$155,"Yes")=0,"",SUMIFS('04 Assessment Log'!$B$6:$B$155,'04 Assessment Log'!$D$6:$D$155,B99,'04 Assessment Log'!$J$6:$J$155,G99,'04 Assessment Log'!$AA$6:$AA$155,"Yes"))</x:f>
      </x:c>
      <x:c r="N99" s="102" t="str">
        <x:f>IF(M99="","",SUMIFS('04 Assessment Log'!$Z$6:$Z$155,'04 Assessment Log'!$D$6:$D$155,B99,'04 Assessment Log'!$J$6:$J$155,G99,'04 Assessment Log'!$AA$6:$AA$155,"Yes"))</x:f>
      </x:c>
      <x:c r="O99" s="94" t="str">
        <x:f>IF(M99="","Not Assessed",IF(N99&lt;TODAY(),"Expired",IF(N99&lt;=TODAY()+30,"Due Soon","Current")))</x:f>
        <x:v>Not Assessed</x:v>
      </x:c>
      <x:c r="P99" s="94" t="str">
        <x:f>IF(OR(B99="",G99=""),"",COUNTIFS('05 Development Actions'!$C$6:$C$105,B99,'05 Development Actions'!$G$6:$G$105,G99,'05 Development Actions'!$A$6:$A$105,"&lt;&gt;",'05 Development Actions'!$AB$6:$AB$105,"&lt;&gt;Closed — Competent",'05 Development Actions'!$AB$6:$AB$105,"&lt;&gt;Cancelled"))</x:f>
      </x:c>
      <x:c r="Q99" s="94" t="str">
        <x:f>IF(OR(B99="",G99=""),"",COUNTIFS('11 Training Attendance'!$E$6:$E$155,B99,'11 Training Attendance'!$K$6:$K$155,"Attended",'11 Training Attendance'!$I$6:$I$155,G99))</x:f>
      </x:c>
      <x:c r="R99" s="102" t="str">
        <x:f>IF(Q99=0,"",MAXIFS('11 Training Attendance'!$D$6:$D$155,'11 Training Attendance'!$E$6:$E$155,B99,'11 Training Attendance'!$K$6:$K$155,"Attended",'11 Training Attendance'!$I$6:$I$155,G99))</x:f>
      </x:c>
      <x:c r="S99" s="94" t="str">
        <x:f>IF(OR(B99="",G99=""),"",COUNTIFS('13 Effectiveness Review'!$C$6:$C$155,B99,'13 Effectiveness Review'!$F$6:$F$155,G99,'13 Effectiveness Review'!$X$6:$X$155,"Closed — Effective"))</x:f>
      </x:c>
      <x:c r="T99" s="94" t="str">
        <x:f>IF(B99="","",IF(K99="","Not Assessed",IF(O99="Expired","Renewal Due",IF(L99=0,"Competent","Skill Gap"))))</x:f>
      </x:c>
      <x:c r="U99" s="94" t="str">
        <x:f>IFERROR(VLOOKUP(D99&amp;"|"&amp;E99&amp;"|"&amp;G99,'03 Position Requirements'!$A$6:$R$285,14,FALSE),"")</x:f>
      </x:c>
      <x:c r="V99" s="92"/>
      <x:c r="W99" s="85" t="str">
        <x:f>IF(B99="","",B99&amp;"|"&amp;COUNTIF($B$6:B99,B99))</x:f>
      </x:c>
      <x:c r="X99" s="85" t="str">
        <x:f>IF(B99="","",G99)</x:f>
      </x:c>
      <x:c r="Y99" s="85" t="str">
        <x:f>IF(B99="","",H99)</x:f>
      </x:c>
      <x:c r="Z99" s="85" t="str">
        <x:f>IF(B99="","",I99)</x:f>
      </x:c>
      <x:c r="AA99" s="85" t="str">
        <x:f>IF(B99="","",J99)</x:f>
      </x:c>
      <x:c r="AB99" s="85" t="str">
        <x:f>IF(B99="","",K99)</x:f>
      </x:c>
      <x:c r="AC99" s="85" t="str">
        <x:f>IF(B99="","",L99)</x:f>
      </x:c>
      <x:c r="AD99" s="85" t="str">
        <x:f>IF(B99="","",M99)</x:f>
      </x:c>
      <x:c r="AE99" s="85" t="str">
        <x:f>IF(B99="","",N99)</x:f>
      </x:c>
      <x:c r="AF99" s="85" t="str">
        <x:f>IF(B99="","",O99)</x:f>
      </x:c>
      <x:c r="AG99" s="85" t="str">
        <x:f>IF(B99="","",P99)</x:f>
      </x:c>
      <x:c r="AH99" s="85" t="str">
        <x:f>IF(B99="","",Q99)</x:f>
      </x:c>
      <x:c r="AI99" s="85" t="str">
        <x:f>IF(B99="","",R99)</x:f>
      </x:c>
      <x:c r="AJ99" s="85" t="str">
        <x:f>IF(B99="","",S99)</x:f>
      </x:c>
      <x:c r="AK99" s="85" t="str">
        <x:f>IF(B99="","",T99)</x:f>
      </x:c>
    </x:row>
    <x:row r="100">
      <x:c r="A100" s="94" t="str">
        <x:f>IF(OR(B100="",G100=""),"",B100&amp;"|"&amp;G100)</x:f>
      </x:c>
      <x:c r="B100" s="92"/>
      <x:c r="C100" s="94" t="str">
        <x:f>IFERROR(VLOOKUP(B100,'01 Staff Master'!$A$6:$M$105,2,FALSE),"")</x:f>
      </x:c>
      <x:c r="D100" s="94" t="str">
        <x:f>IFERROR(VLOOKUP(B100,'01 Staff Master'!$A$6:$M$105,3,FALSE),"")</x:f>
      </x:c>
      <x:c r="E100" s="94" t="str">
        <x:f>IFERROR(VLOOKUP(B100,'01 Staff Master'!$A$6:$M$105,5,FALSE),"")</x:f>
      </x:c>
      <x:c r="F100" s="94" t="str">
        <x:f>IFERROR(VLOOKUP(B100,'01 Staff Master'!$A$6:$M$105,4,FALSE),"")</x:f>
      </x:c>
      <x:c r="G100" s="92"/>
      <x:c r="H100" s="94" t="str">
        <x:f>IFERROR(VLOOKUP(G100,'02 Skill Catalogue'!$A$6:$K$95,4,FALSE),"")</x:f>
      </x:c>
      <x:c r="I100" s="94" t="str">
        <x:f>IFERROR(VLOOKUP(D100&amp;"|"&amp;E100&amp;"|"&amp;G100,'03 Position Requirements'!$A$6:$R$285,8,FALSE),"")</x:f>
      </x:c>
      <x:c r="J100" s="94" t="str">
        <x:f>IFERROR(VLOOKUP(D100&amp;"|"&amp;E100&amp;"|"&amp;G100,'03 Position Requirements'!$A$6:$R$285,10,FALSE),"")</x:f>
      </x:c>
      <x:c r="K100" s="94" t="str">
        <x:f>IF(OR(B100="",G100=""),"",IF(COUNTIFS('04 Assessment Log'!$D$6:$D$155,B100,'04 Assessment Log'!$J$6:$J$155,G100,'04 Assessment Log'!$AA$6:$AA$155,"Yes")=0,"",SUMIFS('04 Assessment Log'!$O$6:$O$155,'04 Assessment Log'!$D$6:$D$155,B100,'04 Assessment Log'!$J$6:$J$155,G100,'04 Assessment Log'!$AA$6:$AA$155,"Yes")))</x:f>
      </x:c>
      <x:c r="L100" s="94" t="str">
        <x:f>IF(OR(J100="",K100=""),"",MAX(J100-K100,0))</x:f>
      </x:c>
      <x:c r="M100" s="102" t="str">
        <x:f>IF(COUNTIFS('04 Assessment Log'!$D$6:$D$155,B100,'04 Assessment Log'!$J$6:$J$155,G100,'04 Assessment Log'!$AA$6:$AA$155,"Yes")=0,"",SUMIFS('04 Assessment Log'!$B$6:$B$155,'04 Assessment Log'!$D$6:$D$155,B100,'04 Assessment Log'!$J$6:$J$155,G100,'04 Assessment Log'!$AA$6:$AA$155,"Yes"))</x:f>
      </x:c>
      <x:c r="N100" s="102" t="str">
        <x:f>IF(M100="","",SUMIFS('04 Assessment Log'!$Z$6:$Z$155,'04 Assessment Log'!$D$6:$D$155,B100,'04 Assessment Log'!$J$6:$J$155,G100,'04 Assessment Log'!$AA$6:$AA$155,"Yes"))</x:f>
      </x:c>
      <x:c r="O100" s="94" t="str">
        <x:f>IF(M100="","Not Assessed",IF(N100&lt;TODAY(),"Expired",IF(N100&lt;=TODAY()+30,"Due Soon","Current")))</x:f>
        <x:v>Not Assessed</x:v>
      </x:c>
      <x:c r="P100" s="94" t="str">
        <x:f>IF(OR(B100="",G100=""),"",COUNTIFS('05 Development Actions'!$C$6:$C$105,B100,'05 Development Actions'!$G$6:$G$105,G100,'05 Development Actions'!$A$6:$A$105,"&lt;&gt;",'05 Development Actions'!$AB$6:$AB$105,"&lt;&gt;Closed — Competent",'05 Development Actions'!$AB$6:$AB$105,"&lt;&gt;Cancelled"))</x:f>
      </x:c>
      <x:c r="Q100" s="94" t="str">
        <x:f>IF(OR(B100="",G100=""),"",COUNTIFS('11 Training Attendance'!$E$6:$E$155,B100,'11 Training Attendance'!$K$6:$K$155,"Attended",'11 Training Attendance'!$I$6:$I$155,G100))</x:f>
      </x:c>
      <x:c r="R100" s="102" t="str">
        <x:f>IF(Q100=0,"",MAXIFS('11 Training Attendance'!$D$6:$D$155,'11 Training Attendance'!$E$6:$E$155,B100,'11 Training Attendance'!$K$6:$K$155,"Attended",'11 Training Attendance'!$I$6:$I$155,G100))</x:f>
      </x:c>
      <x:c r="S100" s="94" t="str">
        <x:f>IF(OR(B100="",G100=""),"",COUNTIFS('13 Effectiveness Review'!$C$6:$C$155,B100,'13 Effectiveness Review'!$F$6:$F$155,G100,'13 Effectiveness Review'!$X$6:$X$155,"Closed — Effective"))</x:f>
      </x:c>
      <x:c r="T100" s="94" t="str">
        <x:f>IF(B100="","",IF(K100="","Not Assessed",IF(O100="Expired","Renewal Due",IF(L100=0,"Competent","Skill Gap"))))</x:f>
      </x:c>
      <x:c r="U100" s="94" t="str">
        <x:f>IFERROR(VLOOKUP(D100&amp;"|"&amp;E100&amp;"|"&amp;G100,'03 Position Requirements'!$A$6:$R$285,14,FALSE),"")</x:f>
      </x:c>
      <x:c r="V100" s="92"/>
      <x:c r="W100" s="85" t="str">
        <x:f>IF(B100="","",B100&amp;"|"&amp;COUNTIF($B$6:B100,B100))</x:f>
      </x:c>
      <x:c r="X100" s="85" t="str">
        <x:f>IF(B100="","",G100)</x:f>
      </x:c>
      <x:c r="Y100" s="85" t="str">
        <x:f>IF(B100="","",H100)</x:f>
      </x:c>
      <x:c r="Z100" s="85" t="str">
        <x:f>IF(B100="","",I100)</x:f>
      </x:c>
      <x:c r="AA100" s="85" t="str">
        <x:f>IF(B100="","",J100)</x:f>
      </x:c>
      <x:c r="AB100" s="85" t="str">
        <x:f>IF(B100="","",K100)</x:f>
      </x:c>
      <x:c r="AC100" s="85" t="str">
        <x:f>IF(B100="","",L100)</x:f>
      </x:c>
      <x:c r="AD100" s="85" t="str">
        <x:f>IF(B100="","",M100)</x:f>
      </x:c>
      <x:c r="AE100" s="85" t="str">
        <x:f>IF(B100="","",N100)</x:f>
      </x:c>
      <x:c r="AF100" s="85" t="str">
        <x:f>IF(B100="","",O100)</x:f>
      </x:c>
      <x:c r="AG100" s="85" t="str">
        <x:f>IF(B100="","",P100)</x:f>
      </x:c>
      <x:c r="AH100" s="85" t="str">
        <x:f>IF(B100="","",Q100)</x:f>
      </x:c>
      <x:c r="AI100" s="85" t="str">
        <x:f>IF(B100="","",R100)</x:f>
      </x:c>
      <x:c r="AJ100" s="85" t="str">
        <x:f>IF(B100="","",S100)</x:f>
      </x:c>
      <x:c r="AK100" s="85" t="str">
        <x:f>IF(B100="","",T100)</x:f>
      </x:c>
    </x:row>
    <x:row r="101">
      <x:c r="A101" s="94" t="str">
        <x:f>IF(OR(B101="",G101=""),"",B101&amp;"|"&amp;G101)</x:f>
      </x:c>
      <x:c r="B101" s="92"/>
      <x:c r="C101" s="94" t="str">
        <x:f>IFERROR(VLOOKUP(B101,'01 Staff Master'!$A$6:$M$105,2,FALSE),"")</x:f>
      </x:c>
      <x:c r="D101" s="94" t="str">
        <x:f>IFERROR(VLOOKUP(B101,'01 Staff Master'!$A$6:$M$105,3,FALSE),"")</x:f>
      </x:c>
      <x:c r="E101" s="94" t="str">
        <x:f>IFERROR(VLOOKUP(B101,'01 Staff Master'!$A$6:$M$105,5,FALSE),"")</x:f>
      </x:c>
      <x:c r="F101" s="94" t="str">
        <x:f>IFERROR(VLOOKUP(B101,'01 Staff Master'!$A$6:$M$105,4,FALSE),"")</x:f>
      </x:c>
      <x:c r="G101" s="92"/>
      <x:c r="H101" s="94" t="str">
        <x:f>IFERROR(VLOOKUP(G101,'02 Skill Catalogue'!$A$6:$K$95,4,FALSE),"")</x:f>
      </x:c>
      <x:c r="I101" s="94" t="str">
        <x:f>IFERROR(VLOOKUP(D101&amp;"|"&amp;E101&amp;"|"&amp;G101,'03 Position Requirements'!$A$6:$R$285,8,FALSE),"")</x:f>
      </x:c>
      <x:c r="J101" s="94" t="str">
        <x:f>IFERROR(VLOOKUP(D101&amp;"|"&amp;E101&amp;"|"&amp;G101,'03 Position Requirements'!$A$6:$R$285,10,FALSE),"")</x:f>
      </x:c>
      <x:c r="K101" s="94" t="str">
        <x:f>IF(OR(B101="",G101=""),"",IF(COUNTIFS('04 Assessment Log'!$D$6:$D$155,B101,'04 Assessment Log'!$J$6:$J$155,G101,'04 Assessment Log'!$AA$6:$AA$155,"Yes")=0,"",SUMIFS('04 Assessment Log'!$O$6:$O$155,'04 Assessment Log'!$D$6:$D$155,B101,'04 Assessment Log'!$J$6:$J$155,G101,'04 Assessment Log'!$AA$6:$AA$155,"Yes")))</x:f>
      </x:c>
      <x:c r="L101" s="94" t="str">
        <x:f>IF(OR(J101="",K101=""),"",MAX(J101-K101,0))</x:f>
      </x:c>
      <x:c r="M101" s="102" t="str">
        <x:f>IF(COUNTIFS('04 Assessment Log'!$D$6:$D$155,B101,'04 Assessment Log'!$J$6:$J$155,G101,'04 Assessment Log'!$AA$6:$AA$155,"Yes")=0,"",SUMIFS('04 Assessment Log'!$B$6:$B$155,'04 Assessment Log'!$D$6:$D$155,B101,'04 Assessment Log'!$J$6:$J$155,G101,'04 Assessment Log'!$AA$6:$AA$155,"Yes"))</x:f>
      </x:c>
      <x:c r="N101" s="102" t="str">
        <x:f>IF(M101="","",SUMIFS('04 Assessment Log'!$Z$6:$Z$155,'04 Assessment Log'!$D$6:$D$155,B101,'04 Assessment Log'!$J$6:$J$155,G101,'04 Assessment Log'!$AA$6:$AA$155,"Yes"))</x:f>
      </x:c>
      <x:c r="O101" s="94" t="str">
        <x:f>IF(M101="","Not Assessed",IF(N101&lt;TODAY(),"Expired",IF(N101&lt;=TODAY()+30,"Due Soon","Current")))</x:f>
        <x:v>Not Assessed</x:v>
      </x:c>
      <x:c r="P101" s="94" t="str">
        <x:f>IF(OR(B101="",G101=""),"",COUNTIFS('05 Development Actions'!$C$6:$C$105,B101,'05 Development Actions'!$G$6:$G$105,G101,'05 Development Actions'!$A$6:$A$105,"&lt;&gt;",'05 Development Actions'!$AB$6:$AB$105,"&lt;&gt;Closed — Competent",'05 Development Actions'!$AB$6:$AB$105,"&lt;&gt;Cancelled"))</x:f>
      </x:c>
      <x:c r="Q101" s="94" t="str">
        <x:f>IF(OR(B101="",G101=""),"",COUNTIFS('11 Training Attendance'!$E$6:$E$155,B101,'11 Training Attendance'!$K$6:$K$155,"Attended",'11 Training Attendance'!$I$6:$I$155,G101))</x:f>
      </x:c>
      <x:c r="R101" s="102" t="str">
        <x:f>IF(Q101=0,"",MAXIFS('11 Training Attendance'!$D$6:$D$155,'11 Training Attendance'!$E$6:$E$155,B101,'11 Training Attendance'!$K$6:$K$155,"Attended",'11 Training Attendance'!$I$6:$I$155,G101))</x:f>
      </x:c>
      <x:c r="S101" s="94" t="str">
        <x:f>IF(OR(B101="",G101=""),"",COUNTIFS('13 Effectiveness Review'!$C$6:$C$155,B101,'13 Effectiveness Review'!$F$6:$F$155,G101,'13 Effectiveness Review'!$X$6:$X$155,"Closed — Effective"))</x:f>
      </x:c>
      <x:c r="T101" s="94" t="str">
        <x:f>IF(B101="","",IF(K101="","Not Assessed",IF(O101="Expired","Renewal Due",IF(L101=0,"Competent","Skill Gap"))))</x:f>
      </x:c>
      <x:c r="U101" s="94" t="str">
        <x:f>IFERROR(VLOOKUP(D101&amp;"|"&amp;E101&amp;"|"&amp;G101,'03 Position Requirements'!$A$6:$R$285,14,FALSE),"")</x:f>
      </x:c>
      <x:c r="V101" s="92"/>
      <x:c r="W101" s="85" t="str">
        <x:f>IF(B101="","",B101&amp;"|"&amp;COUNTIF($B$6:B101,B101))</x:f>
      </x:c>
      <x:c r="X101" s="85" t="str">
        <x:f>IF(B101="","",G101)</x:f>
      </x:c>
      <x:c r="Y101" s="85" t="str">
        <x:f>IF(B101="","",H101)</x:f>
      </x:c>
      <x:c r="Z101" s="85" t="str">
        <x:f>IF(B101="","",I101)</x:f>
      </x:c>
      <x:c r="AA101" s="85" t="str">
        <x:f>IF(B101="","",J101)</x:f>
      </x:c>
      <x:c r="AB101" s="85" t="str">
        <x:f>IF(B101="","",K101)</x:f>
      </x:c>
      <x:c r="AC101" s="85" t="str">
        <x:f>IF(B101="","",L101)</x:f>
      </x:c>
      <x:c r="AD101" s="85" t="str">
        <x:f>IF(B101="","",M101)</x:f>
      </x:c>
      <x:c r="AE101" s="85" t="str">
        <x:f>IF(B101="","",N101)</x:f>
      </x:c>
      <x:c r="AF101" s="85" t="str">
        <x:f>IF(B101="","",O101)</x:f>
      </x:c>
      <x:c r="AG101" s="85" t="str">
        <x:f>IF(B101="","",P101)</x:f>
      </x:c>
      <x:c r="AH101" s="85" t="str">
        <x:f>IF(B101="","",Q101)</x:f>
      </x:c>
      <x:c r="AI101" s="85" t="str">
        <x:f>IF(B101="","",R101)</x:f>
      </x:c>
      <x:c r="AJ101" s="85" t="str">
        <x:f>IF(B101="","",S101)</x:f>
      </x:c>
      <x:c r="AK101" s="85" t="str">
        <x:f>IF(B101="","",T101)</x:f>
      </x:c>
    </x:row>
    <x:row r="102">
      <x:c r="A102" s="94" t="str">
        <x:f>IF(OR(B102="",G102=""),"",B102&amp;"|"&amp;G102)</x:f>
      </x:c>
      <x:c r="B102" s="92"/>
      <x:c r="C102" s="94" t="str">
        <x:f>IFERROR(VLOOKUP(B102,'01 Staff Master'!$A$6:$M$105,2,FALSE),"")</x:f>
      </x:c>
      <x:c r="D102" s="94" t="str">
        <x:f>IFERROR(VLOOKUP(B102,'01 Staff Master'!$A$6:$M$105,3,FALSE),"")</x:f>
      </x:c>
      <x:c r="E102" s="94" t="str">
        <x:f>IFERROR(VLOOKUP(B102,'01 Staff Master'!$A$6:$M$105,5,FALSE),"")</x:f>
      </x:c>
      <x:c r="F102" s="94" t="str">
        <x:f>IFERROR(VLOOKUP(B102,'01 Staff Master'!$A$6:$M$105,4,FALSE),"")</x:f>
      </x:c>
      <x:c r="G102" s="92"/>
      <x:c r="H102" s="94" t="str">
        <x:f>IFERROR(VLOOKUP(G102,'02 Skill Catalogue'!$A$6:$K$95,4,FALSE),"")</x:f>
      </x:c>
      <x:c r="I102" s="94" t="str">
        <x:f>IFERROR(VLOOKUP(D102&amp;"|"&amp;E102&amp;"|"&amp;G102,'03 Position Requirements'!$A$6:$R$285,8,FALSE),"")</x:f>
      </x:c>
      <x:c r="J102" s="94" t="str">
        <x:f>IFERROR(VLOOKUP(D102&amp;"|"&amp;E102&amp;"|"&amp;G102,'03 Position Requirements'!$A$6:$R$285,10,FALSE),"")</x:f>
      </x:c>
      <x:c r="K102" s="94" t="str">
        <x:f>IF(OR(B102="",G102=""),"",IF(COUNTIFS('04 Assessment Log'!$D$6:$D$155,B102,'04 Assessment Log'!$J$6:$J$155,G102,'04 Assessment Log'!$AA$6:$AA$155,"Yes")=0,"",SUMIFS('04 Assessment Log'!$O$6:$O$155,'04 Assessment Log'!$D$6:$D$155,B102,'04 Assessment Log'!$J$6:$J$155,G102,'04 Assessment Log'!$AA$6:$AA$155,"Yes")))</x:f>
      </x:c>
      <x:c r="L102" s="94" t="str">
        <x:f>IF(OR(J102="",K102=""),"",MAX(J102-K102,0))</x:f>
      </x:c>
      <x:c r="M102" s="102" t="str">
        <x:f>IF(COUNTIFS('04 Assessment Log'!$D$6:$D$155,B102,'04 Assessment Log'!$J$6:$J$155,G102,'04 Assessment Log'!$AA$6:$AA$155,"Yes")=0,"",SUMIFS('04 Assessment Log'!$B$6:$B$155,'04 Assessment Log'!$D$6:$D$155,B102,'04 Assessment Log'!$J$6:$J$155,G102,'04 Assessment Log'!$AA$6:$AA$155,"Yes"))</x:f>
      </x:c>
      <x:c r="N102" s="102" t="str">
        <x:f>IF(M102="","",SUMIFS('04 Assessment Log'!$Z$6:$Z$155,'04 Assessment Log'!$D$6:$D$155,B102,'04 Assessment Log'!$J$6:$J$155,G102,'04 Assessment Log'!$AA$6:$AA$155,"Yes"))</x:f>
      </x:c>
      <x:c r="O102" s="94" t="str">
        <x:f>IF(M102="","Not Assessed",IF(N102&lt;TODAY(),"Expired",IF(N102&lt;=TODAY()+30,"Due Soon","Current")))</x:f>
        <x:v>Not Assessed</x:v>
      </x:c>
      <x:c r="P102" s="94" t="str">
        <x:f>IF(OR(B102="",G102=""),"",COUNTIFS('05 Development Actions'!$C$6:$C$105,B102,'05 Development Actions'!$G$6:$G$105,G102,'05 Development Actions'!$A$6:$A$105,"&lt;&gt;",'05 Development Actions'!$AB$6:$AB$105,"&lt;&gt;Closed — Competent",'05 Development Actions'!$AB$6:$AB$105,"&lt;&gt;Cancelled"))</x:f>
      </x:c>
      <x:c r="Q102" s="94" t="str">
        <x:f>IF(OR(B102="",G102=""),"",COUNTIFS('11 Training Attendance'!$E$6:$E$155,B102,'11 Training Attendance'!$K$6:$K$155,"Attended",'11 Training Attendance'!$I$6:$I$155,G102))</x:f>
      </x:c>
      <x:c r="R102" s="102" t="str">
        <x:f>IF(Q102=0,"",MAXIFS('11 Training Attendance'!$D$6:$D$155,'11 Training Attendance'!$E$6:$E$155,B102,'11 Training Attendance'!$K$6:$K$155,"Attended",'11 Training Attendance'!$I$6:$I$155,G102))</x:f>
      </x:c>
      <x:c r="S102" s="94" t="str">
        <x:f>IF(OR(B102="",G102=""),"",COUNTIFS('13 Effectiveness Review'!$C$6:$C$155,B102,'13 Effectiveness Review'!$F$6:$F$155,G102,'13 Effectiveness Review'!$X$6:$X$155,"Closed — Effective"))</x:f>
      </x:c>
      <x:c r="T102" s="94" t="str">
        <x:f>IF(B102="","",IF(K102="","Not Assessed",IF(O102="Expired","Renewal Due",IF(L102=0,"Competent","Skill Gap"))))</x:f>
      </x:c>
      <x:c r="U102" s="94" t="str">
        <x:f>IFERROR(VLOOKUP(D102&amp;"|"&amp;E102&amp;"|"&amp;G102,'03 Position Requirements'!$A$6:$R$285,14,FALSE),"")</x:f>
      </x:c>
      <x:c r="V102" s="92"/>
      <x:c r="W102" s="85" t="str">
        <x:f>IF(B102="","",B102&amp;"|"&amp;COUNTIF($B$6:B102,B102))</x:f>
      </x:c>
      <x:c r="X102" s="85" t="str">
        <x:f>IF(B102="","",G102)</x:f>
      </x:c>
      <x:c r="Y102" s="85" t="str">
        <x:f>IF(B102="","",H102)</x:f>
      </x:c>
      <x:c r="Z102" s="85" t="str">
        <x:f>IF(B102="","",I102)</x:f>
      </x:c>
      <x:c r="AA102" s="85" t="str">
        <x:f>IF(B102="","",J102)</x:f>
      </x:c>
      <x:c r="AB102" s="85" t="str">
        <x:f>IF(B102="","",K102)</x:f>
      </x:c>
      <x:c r="AC102" s="85" t="str">
        <x:f>IF(B102="","",L102)</x:f>
      </x:c>
      <x:c r="AD102" s="85" t="str">
        <x:f>IF(B102="","",M102)</x:f>
      </x:c>
      <x:c r="AE102" s="85" t="str">
        <x:f>IF(B102="","",N102)</x:f>
      </x:c>
      <x:c r="AF102" s="85" t="str">
        <x:f>IF(B102="","",O102)</x:f>
      </x:c>
      <x:c r="AG102" s="85" t="str">
        <x:f>IF(B102="","",P102)</x:f>
      </x:c>
      <x:c r="AH102" s="85" t="str">
        <x:f>IF(B102="","",Q102)</x:f>
      </x:c>
      <x:c r="AI102" s="85" t="str">
        <x:f>IF(B102="","",R102)</x:f>
      </x:c>
      <x:c r="AJ102" s="85" t="str">
        <x:f>IF(B102="","",S102)</x:f>
      </x:c>
      <x:c r="AK102" s="85" t="str">
        <x:f>IF(B102="","",T102)</x:f>
      </x:c>
    </x:row>
    <x:row r="103">
      <x:c r="A103" s="94" t="str">
        <x:f>IF(OR(B103="",G103=""),"",B103&amp;"|"&amp;G103)</x:f>
      </x:c>
      <x:c r="B103" s="92"/>
      <x:c r="C103" s="94" t="str">
        <x:f>IFERROR(VLOOKUP(B103,'01 Staff Master'!$A$6:$M$105,2,FALSE),"")</x:f>
      </x:c>
      <x:c r="D103" s="94" t="str">
        <x:f>IFERROR(VLOOKUP(B103,'01 Staff Master'!$A$6:$M$105,3,FALSE),"")</x:f>
      </x:c>
      <x:c r="E103" s="94" t="str">
        <x:f>IFERROR(VLOOKUP(B103,'01 Staff Master'!$A$6:$M$105,5,FALSE),"")</x:f>
      </x:c>
      <x:c r="F103" s="94" t="str">
        <x:f>IFERROR(VLOOKUP(B103,'01 Staff Master'!$A$6:$M$105,4,FALSE),"")</x:f>
      </x:c>
      <x:c r="G103" s="92"/>
      <x:c r="H103" s="94" t="str">
        <x:f>IFERROR(VLOOKUP(G103,'02 Skill Catalogue'!$A$6:$K$95,4,FALSE),"")</x:f>
      </x:c>
      <x:c r="I103" s="94" t="str">
        <x:f>IFERROR(VLOOKUP(D103&amp;"|"&amp;E103&amp;"|"&amp;G103,'03 Position Requirements'!$A$6:$R$285,8,FALSE),"")</x:f>
      </x:c>
      <x:c r="J103" s="94" t="str">
        <x:f>IFERROR(VLOOKUP(D103&amp;"|"&amp;E103&amp;"|"&amp;G103,'03 Position Requirements'!$A$6:$R$285,10,FALSE),"")</x:f>
      </x:c>
      <x:c r="K103" s="94" t="str">
        <x:f>IF(OR(B103="",G103=""),"",IF(COUNTIFS('04 Assessment Log'!$D$6:$D$155,B103,'04 Assessment Log'!$J$6:$J$155,G103,'04 Assessment Log'!$AA$6:$AA$155,"Yes")=0,"",SUMIFS('04 Assessment Log'!$O$6:$O$155,'04 Assessment Log'!$D$6:$D$155,B103,'04 Assessment Log'!$J$6:$J$155,G103,'04 Assessment Log'!$AA$6:$AA$155,"Yes")))</x:f>
      </x:c>
      <x:c r="L103" s="94" t="str">
        <x:f>IF(OR(J103="",K103=""),"",MAX(J103-K103,0))</x:f>
      </x:c>
      <x:c r="M103" s="102" t="str">
        <x:f>IF(COUNTIFS('04 Assessment Log'!$D$6:$D$155,B103,'04 Assessment Log'!$J$6:$J$155,G103,'04 Assessment Log'!$AA$6:$AA$155,"Yes")=0,"",SUMIFS('04 Assessment Log'!$B$6:$B$155,'04 Assessment Log'!$D$6:$D$155,B103,'04 Assessment Log'!$J$6:$J$155,G103,'04 Assessment Log'!$AA$6:$AA$155,"Yes"))</x:f>
      </x:c>
      <x:c r="N103" s="102" t="str">
        <x:f>IF(M103="","",SUMIFS('04 Assessment Log'!$Z$6:$Z$155,'04 Assessment Log'!$D$6:$D$155,B103,'04 Assessment Log'!$J$6:$J$155,G103,'04 Assessment Log'!$AA$6:$AA$155,"Yes"))</x:f>
      </x:c>
      <x:c r="O103" s="94" t="str">
        <x:f>IF(M103="","Not Assessed",IF(N103&lt;TODAY(),"Expired",IF(N103&lt;=TODAY()+30,"Due Soon","Current")))</x:f>
        <x:v>Not Assessed</x:v>
      </x:c>
      <x:c r="P103" s="94" t="str">
        <x:f>IF(OR(B103="",G103=""),"",COUNTIFS('05 Development Actions'!$C$6:$C$105,B103,'05 Development Actions'!$G$6:$G$105,G103,'05 Development Actions'!$A$6:$A$105,"&lt;&gt;",'05 Development Actions'!$AB$6:$AB$105,"&lt;&gt;Closed — Competent",'05 Development Actions'!$AB$6:$AB$105,"&lt;&gt;Cancelled"))</x:f>
      </x:c>
      <x:c r="Q103" s="94" t="str">
        <x:f>IF(OR(B103="",G103=""),"",COUNTIFS('11 Training Attendance'!$E$6:$E$155,B103,'11 Training Attendance'!$K$6:$K$155,"Attended",'11 Training Attendance'!$I$6:$I$155,G103))</x:f>
      </x:c>
      <x:c r="R103" s="102" t="str">
        <x:f>IF(Q103=0,"",MAXIFS('11 Training Attendance'!$D$6:$D$155,'11 Training Attendance'!$E$6:$E$155,B103,'11 Training Attendance'!$K$6:$K$155,"Attended",'11 Training Attendance'!$I$6:$I$155,G103))</x:f>
      </x:c>
      <x:c r="S103" s="94" t="str">
        <x:f>IF(OR(B103="",G103=""),"",COUNTIFS('13 Effectiveness Review'!$C$6:$C$155,B103,'13 Effectiveness Review'!$F$6:$F$155,G103,'13 Effectiveness Review'!$X$6:$X$155,"Closed — Effective"))</x:f>
      </x:c>
      <x:c r="T103" s="94" t="str">
        <x:f>IF(B103="","",IF(K103="","Not Assessed",IF(O103="Expired","Renewal Due",IF(L103=0,"Competent","Skill Gap"))))</x:f>
      </x:c>
      <x:c r="U103" s="94" t="str">
        <x:f>IFERROR(VLOOKUP(D103&amp;"|"&amp;E103&amp;"|"&amp;G103,'03 Position Requirements'!$A$6:$R$285,14,FALSE),"")</x:f>
      </x:c>
      <x:c r="V103" s="92"/>
      <x:c r="W103" s="85" t="str">
        <x:f>IF(B103="","",B103&amp;"|"&amp;COUNTIF($B$6:B103,B103))</x:f>
      </x:c>
      <x:c r="X103" s="85" t="str">
        <x:f>IF(B103="","",G103)</x:f>
      </x:c>
      <x:c r="Y103" s="85" t="str">
        <x:f>IF(B103="","",H103)</x:f>
      </x:c>
      <x:c r="Z103" s="85" t="str">
        <x:f>IF(B103="","",I103)</x:f>
      </x:c>
      <x:c r="AA103" s="85" t="str">
        <x:f>IF(B103="","",J103)</x:f>
      </x:c>
      <x:c r="AB103" s="85" t="str">
        <x:f>IF(B103="","",K103)</x:f>
      </x:c>
      <x:c r="AC103" s="85" t="str">
        <x:f>IF(B103="","",L103)</x:f>
      </x:c>
      <x:c r="AD103" s="85" t="str">
        <x:f>IF(B103="","",M103)</x:f>
      </x:c>
      <x:c r="AE103" s="85" t="str">
        <x:f>IF(B103="","",N103)</x:f>
      </x:c>
      <x:c r="AF103" s="85" t="str">
        <x:f>IF(B103="","",O103)</x:f>
      </x:c>
      <x:c r="AG103" s="85" t="str">
        <x:f>IF(B103="","",P103)</x:f>
      </x:c>
      <x:c r="AH103" s="85" t="str">
        <x:f>IF(B103="","",Q103)</x:f>
      </x:c>
      <x:c r="AI103" s="85" t="str">
        <x:f>IF(B103="","",R103)</x:f>
      </x:c>
      <x:c r="AJ103" s="85" t="str">
        <x:f>IF(B103="","",S103)</x:f>
      </x:c>
      <x:c r="AK103" s="85" t="str">
        <x:f>IF(B103="","",T103)</x:f>
      </x:c>
    </x:row>
    <x:row r="104">
      <x:c r="A104" s="94" t="str">
        <x:f>IF(OR(B104="",G104=""),"",B104&amp;"|"&amp;G104)</x:f>
      </x:c>
      <x:c r="B104" s="92"/>
      <x:c r="C104" s="94" t="str">
        <x:f>IFERROR(VLOOKUP(B104,'01 Staff Master'!$A$6:$M$105,2,FALSE),"")</x:f>
      </x:c>
      <x:c r="D104" s="94" t="str">
        <x:f>IFERROR(VLOOKUP(B104,'01 Staff Master'!$A$6:$M$105,3,FALSE),"")</x:f>
      </x:c>
      <x:c r="E104" s="94" t="str">
        <x:f>IFERROR(VLOOKUP(B104,'01 Staff Master'!$A$6:$M$105,5,FALSE),"")</x:f>
      </x:c>
      <x:c r="F104" s="94" t="str">
        <x:f>IFERROR(VLOOKUP(B104,'01 Staff Master'!$A$6:$M$105,4,FALSE),"")</x:f>
      </x:c>
      <x:c r="G104" s="92"/>
      <x:c r="H104" s="94" t="str">
        <x:f>IFERROR(VLOOKUP(G104,'02 Skill Catalogue'!$A$6:$K$95,4,FALSE),"")</x:f>
      </x:c>
      <x:c r="I104" s="94" t="str">
        <x:f>IFERROR(VLOOKUP(D104&amp;"|"&amp;E104&amp;"|"&amp;G104,'03 Position Requirements'!$A$6:$R$285,8,FALSE),"")</x:f>
      </x:c>
      <x:c r="J104" s="94" t="str">
        <x:f>IFERROR(VLOOKUP(D104&amp;"|"&amp;E104&amp;"|"&amp;G104,'03 Position Requirements'!$A$6:$R$285,10,FALSE),"")</x:f>
      </x:c>
      <x:c r="K104" s="94" t="str">
        <x:f>IF(OR(B104="",G104=""),"",IF(COUNTIFS('04 Assessment Log'!$D$6:$D$155,B104,'04 Assessment Log'!$J$6:$J$155,G104,'04 Assessment Log'!$AA$6:$AA$155,"Yes")=0,"",SUMIFS('04 Assessment Log'!$O$6:$O$155,'04 Assessment Log'!$D$6:$D$155,B104,'04 Assessment Log'!$J$6:$J$155,G104,'04 Assessment Log'!$AA$6:$AA$155,"Yes")))</x:f>
      </x:c>
      <x:c r="L104" s="94" t="str">
        <x:f>IF(OR(J104="",K104=""),"",MAX(J104-K104,0))</x:f>
      </x:c>
      <x:c r="M104" s="102" t="str">
        <x:f>IF(COUNTIFS('04 Assessment Log'!$D$6:$D$155,B104,'04 Assessment Log'!$J$6:$J$155,G104,'04 Assessment Log'!$AA$6:$AA$155,"Yes")=0,"",SUMIFS('04 Assessment Log'!$B$6:$B$155,'04 Assessment Log'!$D$6:$D$155,B104,'04 Assessment Log'!$J$6:$J$155,G104,'04 Assessment Log'!$AA$6:$AA$155,"Yes"))</x:f>
      </x:c>
      <x:c r="N104" s="102" t="str">
        <x:f>IF(M104="","",SUMIFS('04 Assessment Log'!$Z$6:$Z$155,'04 Assessment Log'!$D$6:$D$155,B104,'04 Assessment Log'!$J$6:$J$155,G104,'04 Assessment Log'!$AA$6:$AA$155,"Yes"))</x:f>
      </x:c>
      <x:c r="O104" s="94" t="str">
        <x:f>IF(M104="","Not Assessed",IF(N104&lt;TODAY(),"Expired",IF(N104&lt;=TODAY()+30,"Due Soon","Current")))</x:f>
        <x:v>Not Assessed</x:v>
      </x:c>
      <x:c r="P104" s="94" t="str">
        <x:f>IF(OR(B104="",G104=""),"",COUNTIFS('05 Development Actions'!$C$6:$C$105,B104,'05 Development Actions'!$G$6:$G$105,G104,'05 Development Actions'!$A$6:$A$105,"&lt;&gt;",'05 Development Actions'!$AB$6:$AB$105,"&lt;&gt;Closed — Competent",'05 Development Actions'!$AB$6:$AB$105,"&lt;&gt;Cancelled"))</x:f>
      </x:c>
      <x:c r="Q104" s="94" t="str">
        <x:f>IF(OR(B104="",G104=""),"",COUNTIFS('11 Training Attendance'!$E$6:$E$155,B104,'11 Training Attendance'!$K$6:$K$155,"Attended",'11 Training Attendance'!$I$6:$I$155,G104))</x:f>
      </x:c>
      <x:c r="R104" s="102" t="str">
        <x:f>IF(Q104=0,"",MAXIFS('11 Training Attendance'!$D$6:$D$155,'11 Training Attendance'!$E$6:$E$155,B104,'11 Training Attendance'!$K$6:$K$155,"Attended",'11 Training Attendance'!$I$6:$I$155,G104))</x:f>
      </x:c>
      <x:c r="S104" s="94" t="str">
        <x:f>IF(OR(B104="",G104=""),"",COUNTIFS('13 Effectiveness Review'!$C$6:$C$155,B104,'13 Effectiveness Review'!$F$6:$F$155,G104,'13 Effectiveness Review'!$X$6:$X$155,"Closed — Effective"))</x:f>
      </x:c>
      <x:c r="T104" s="94" t="str">
        <x:f>IF(B104="","",IF(K104="","Not Assessed",IF(O104="Expired","Renewal Due",IF(L104=0,"Competent","Skill Gap"))))</x:f>
      </x:c>
      <x:c r="U104" s="94" t="str">
        <x:f>IFERROR(VLOOKUP(D104&amp;"|"&amp;E104&amp;"|"&amp;G104,'03 Position Requirements'!$A$6:$R$285,14,FALSE),"")</x:f>
      </x:c>
      <x:c r="V104" s="92"/>
      <x:c r="W104" s="85" t="str">
        <x:f>IF(B104="","",B104&amp;"|"&amp;COUNTIF($B$6:B104,B104))</x:f>
      </x:c>
      <x:c r="X104" s="85" t="str">
        <x:f>IF(B104="","",G104)</x:f>
      </x:c>
      <x:c r="Y104" s="85" t="str">
        <x:f>IF(B104="","",H104)</x:f>
      </x:c>
      <x:c r="Z104" s="85" t="str">
        <x:f>IF(B104="","",I104)</x:f>
      </x:c>
      <x:c r="AA104" s="85" t="str">
        <x:f>IF(B104="","",J104)</x:f>
      </x:c>
      <x:c r="AB104" s="85" t="str">
        <x:f>IF(B104="","",K104)</x:f>
      </x:c>
      <x:c r="AC104" s="85" t="str">
        <x:f>IF(B104="","",L104)</x:f>
      </x:c>
      <x:c r="AD104" s="85" t="str">
        <x:f>IF(B104="","",M104)</x:f>
      </x:c>
      <x:c r="AE104" s="85" t="str">
        <x:f>IF(B104="","",N104)</x:f>
      </x:c>
      <x:c r="AF104" s="85" t="str">
        <x:f>IF(B104="","",O104)</x:f>
      </x:c>
      <x:c r="AG104" s="85" t="str">
        <x:f>IF(B104="","",P104)</x:f>
      </x:c>
      <x:c r="AH104" s="85" t="str">
        <x:f>IF(B104="","",Q104)</x:f>
      </x:c>
      <x:c r="AI104" s="85" t="str">
        <x:f>IF(B104="","",R104)</x:f>
      </x:c>
      <x:c r="AJ104" s="85" t="str">
        <x:f>IF(B104="","",S104)</x:f>
      </x:c>
      <x:c r="AK104" s="85" t="str">
        <x:f>IF(B104="","",T104)</x:f>
      </x:c>
    </x:row>
    <x:row r="105">
      <x:c r="A105" s="94" t="str">
        <x:f>IF(OR(B105="",G105=""),"",B105&amp;"|"&amp;G105)</x:f>
      </x:c>
      <x:c r="B105" s="92"/>
      <x:c r="C105" s="94" t="str">
        <x:f>IFERROR(VLOOKUP(B105,'01 Staff Master'!$A$6:$M$105,2,FALSE),"")</x:f>
      </x:c>
      <x:c r="D105" s="94" t="str">
        <x:f>IFERROR(VLOOKUP(B105,'01 Staff Master'!$A$6:$M$105,3,FALSE),"")</x:f>
      </x:c>
      <x:c r="E105" s="94" t="str">
        <x:f>IFERROR(VLOOKUP(B105,'01 Staff Master'!$A$6:$M$105,5,FALSE),"")</x:f>
      </x:c>
      <x:c r="F105" s="94" t="str">
        <x:f>IFERROR(VLOOKUP(B105,'01 Staff Master'!$A$6:$M$105,4,FALSE),"")</x:f>
      </x:c>
      <x:c r="G105" s="92"/>
      <x:c r="H105" s="94" t="str">
        <x:f>IFERROR(VLOOKUP(G105,'02 Skill Catalogue'!$A$6:$K$95,4,FALSE),"")</x:f>
      </x:c>
      <x:c r="I105" s="94" t="str">
        <x:f>IFERROR(VLOOKUP(D105&amp;"|"&amp;E105&amp;"|"&amp;G105,'03 Position Requirements'!$A$6:$R$285,8,FALSE),"")</x:f>
      </x:c>
      <x:c r="J105" s="94" t="str">
        <x:f>IFERROR(VLOOKUP(D105&amp;"|"&amp;E105&amp;"|"&amp;G105,'03 Position Requirements'!$A$6:$R$285,10,FALSE),"")</x:f>
      </x:c>
      <x:c r="K105" s="94" t="str">
        <x:f>IF(OR(B105="",G105=""),"",IF(COUNTIFS('04 Assessment Log'!$D$6:$D$155,B105,'04 Assessment Log'!$J$6:$J$155,G105,'04 Assessment Log'!$AA$6:$AA$155,"Yes")=0,"",SUMIFS('04 Assessment Log'!$O$6:$O$155,'04 Assessment Log'!$D$6:$D$155,B105,'04 Assessment Log'!$J$6:$J$155,G105,'04 Assessment Log'!$AA$6:$AA$155,"Yes")))</x:f>
      </x:c>
      <x:c r="L105" s="94" t="str">
        <x:f>IF(OR(J105="",K105=""),"",MAX(J105-K105,0))</x:f>
      </x:c>
      <x:c r="M105" s="102" t="str">
        <x:f>IF(COUNTIFS('04 Assessment Log'!$D$6:$D$155,B105,'04 Assessment Log'!$J$6:$J$155,G105,'04 Assessment Log'!$AA$6:$AA$155,"Yes")=0,"",SUMIFS('04 Assessment Log'!$B$6:$B$155,'04 Assessment Log'!$D$6:$D$155,B105,'04 Assessment Log'!$J$6:$J$155,G105,'04 Assessment Log'!$AA$6:$AA$155,"Yes"))</x:f>
      </x:c>
      <x:c r="N105" s="102" t="str">
        <x:f>IF(M105="","",SUMIFS('04 Assessment Log'!$Z$6:$Z$155,'04 Assessment Log'!$D$6:$D$155,B105,'04 Assessment Log'!$J$6:$J$155,G105,'04 Assessment Log'!$AA$6:$AA$155,"Yes"))</x:f>
      </x:c>
      <x:c r="O105" s="94" t="str">
        <x:f>IF(M105="","Not Assessed",IF(N105&lt;TODAY(),"Expired",IF(N105&lt;=TODAY()+30,"Due Soon","Current")))</x:f>
        <x:v>Not Assessed</x:v>
      </x:c>
      <x:c r="P105" s="94" t="str">
        <x:f>IF(OR(B105="",G105=""),"",COUNTIFS('05 Development Actions'!$C$6:$C$105,B105,'05 Development Actions'!$G$6:$G$105,G105,'05 Development Actions'!$A$6:$A$105,"&lt;&gt;",'05 Development Actions'!$AB$6:$AB$105,"&lt;&gt;Closed — Competent",'05 Development Actions'!$AB$6:$AB$105,"&lt;&gt;Cancelled"))</x:f>
      </x:c>
      <x:c r="Q105" s="94" t="str">
        <x:f>IF(OR(B105="",G105=""),"",COUNTIFS('11 Training Attendance'!$E$6:$E$155,B105,'11 Training Attendance'!$K$6:$K$155,"Attended",'11 Training Attendance'!$I$6:$I$155,G105))</x:f>
      </x:c>
      <x:c r="R105" s="102" t="str">
        <x:f>IF(Q105=0,"",MAXIFS('11 Training Attendance'!$D$6:$D$155,'11 Training Attendance'!$E$6:$E$155,B105,'11 Training Attendance'!$K$6:$K$155,"Attended",'11 Training Attendance'!$I$6:$I$155,G105))</x:f>
      </x:c>
      <x:c r="S105" s="94" t="str">
        <x:f>IF(OR(B105="",G105=""),"",COUNTIFS('13 Effectiveness Review'!$C$6:$C$155,B105,'13 Effectiveness Review'!$F$6:$F$155,G105,'13 Effectiveness Review'!$X$6:$X$155,"Closed — Effective"))</x:f>
      </x:c>
      <x:c r="T105" s="94" t="str">
        <x:f>IF(B105="","",IF(K105="","Not Assessed",IF(O105="Expired","Renewal Due",IF(L105=0,"Competent","Skill Gap"))))</x:f>
      </x:c>
      <x:c r="U105" s="94" t="str">
        <x:f>IFERROR(VLOOKUP(D105&amp;"|"&amp;E105&amp;"|"&amp;G105,'03 Position Requirements'!$A$6:$R$285,14,FALSE),"")</x:f>
      </x:c>
      <x:c r="V105" s="92"/>
      <x:c r="W105" s="85" t="str">
        <x:f>IF(B105="","",B105&amp;"|"&amp;COUNTIF($B$6:B105,B105))</x:f>
      </x:c>
      <x:c r="X105" s="85" t="str">
        <x:f>IF(B105="","",G105)</x:f>
      </x:c>
      <x:c r="Y105" s="85" t="str">
        <x:f>IF(B105="","",H105)</x:f>
      </x:c>
      <x:c r="Z105" s="85" t="str">
        <x:f>IF(B105="","",I105)</x:f>
      </x:c>
      <x:c r="AA105" s="85" t="str">
        <x:f>IF(B105="","",J105)</x:f>
      </x:c>
      <x:c r="AB105" s="85" t="str">
        <x:f>IF(B105="","",K105)</x:f>
      </x:c>
      <x:c r="AC105" s="85" t="str">
        <x:f>IF(B105="","",L105)</x:f>
      </x:c>
      <x:c r="AD105" s="85" t="str">
        <x:f>IF(B105="","",M105)</x:f>
      </x:c>
      <x:c r="AE105" s="85" t="str">
        <x:f>IF(B105="","",N105)</x:f>
      </x:c>
      <x:c r="AF105" s="85" t="str">
        <x:f>IF(B105="","",O105)</x:f>
      </x:c>
      <x:c r="AG105" s="85" t="str">
        <x:f>IF(B105="","",P105)</x:f>
      </x:c>
      <x:c r="AH105" s="85" t="str">
        <x:f>IF(B105="","",Q105)</x:f>
      </x:c>
      <x:c r="AI105" s="85" t="str">
        <x:f>IF(B105="","",R105)</x:f>
      </x:c>
      <x:c r="AJ105" s="85" t="str">
        <x:f>IF(B105="","",S105)</x:f>
      </x:c>
      <x:c r="AK105" s="85" t="str">
        <x:f>IF(B105="","",T105)</x:f>
      </x:c>
    </x:row>
    <x:row r="106">
      <x:c r="A106" s="94" t="str">
        <x:f>IF(OR(B106="",G106=""),"",B106&amp;"|"&amp;G106)</x:f>
      </x:c>
      <x:c r="B106" s="92"/>
      <x:c r="C106" s="94" t="str">
        <x:f>IFERROR(VLOOKUP(B106,'01 Staff Master'!$A$6:$M$105,2,FALSE),"")</x:f>
      </x:c>
      <x:c r="D106" s="94" t="str">
        <x:f>IFERROR(VLOOKUP(B106,'01 Staff Master'!$A$6:$M$105,3,FALSE),"")</x:f>
      </x:c>
      <x:c r="E106" s="94" t="str">
        <x:f>IFERROR(VLOOKUP(B106,'01 Staff Master'!$A$6:$M$105,5,FALSE),"")</x:f>
      </x:c>
      <x:c r="F106" s="94" t="str">
        <x:f>IFERROR(VLOOKUP(B106,'01 Staff Master'!$A$6:$M$105,4,FALSE),"")</x:f>
      </x:c>
      <x:c r="G106" s="92"/>
      <x:c r="H106" s="94" t="str">
        <x:f>IFERROR(VLOOKUP(G106,'02 Skill Catalogue'!$A$6:$K$95,4,FALSE),"")</x:f>
      </x:c>
      <x:c r="I106" s="94" t="str">
        <x:f>IFERROR(VLOOKUP(D106&amp;"|"&amp;E106&amp;"|"&amp;G106,'03 Position Requirements'!$A$6:$R$285,8,FALSE),"")</x:f>
      </x:c>
      <x:c r="J106" s="94" t="str">
        <x:f>IFERROR(VLOOKUP(D106&amp;"|"&amp;E106&amp;"|"&amp;G106,'03 Position Requirements'!$A$6:$R$285,10,FALSE),"")</x:f>
      </x:c>
      <x:c r="K106" s="94" t="str">
        <x:f>IF(OR(B106="",G106=""),"",IF(COUNTIFS('04 Assessment Log'!$D$6:$D$155,B106,'04 Assessment Log'!$J$6:$J$155,G106,'04 Assessment Log'!$AA$6:$AA$155,"Yes")=0,"",SUMIFS('04 Assessment Log'!$O$6:$O$155,'04 Assessment Log'!$D$6:$D$155,B106,'04 Assessment Log'!$J$6:$J$155,G106,'04 Assessment Log'!$AA$6:$AA$155,"Yes")))</x:f>
      </x:c>
      <x:c r="L106" s="94" t="str">
        <x:f>IF(OR(J106="",K106=""),"",MAX(J106-K106,0))</x:f>
      </x:c>
      <x:c r="M106" s="102" t="str">
        <x:f>IF(COUNTIFS('04 Assessment Log'!$D$6:$D$155,B106,'04 Assessment Log'!$J$6:$J$155,G106,'04 Assessment Log'!$AA$6:$AA$155,"Yes")=0,"",SUMIFS('04 Assessment Log'!$B$6:$B$155,'04 Assessment Log'!$D$6:$D$155,B106,'04 Assessment Log'!$J$6:$J$155,G106,'04 Assessment Log'!$AA$6:$AA$155,"Yes"))</x:f>
      </x:c>
      <x:c r="N106" s="102" t="str">
        <x:f>IF(M106="","",SUMIFS('04 Assessment Log'!$Z$6:$Z$155,'04 Assessment Log'!$D$6:$D$155,B106,'04 Assessment Log'!$J$6:$J$155,G106,'04 Assessment Log'!$AA$6:$AA$155,"Yes"))</x:f>
      </x:c>
      <x:c r="O106" s="94" t="str">
        <x:f>IF(M106="","Not Assessed",IF(N106&lt;TODAY(),"Expired",IF(N106&lt;=TODAY()+30,"Due Soon","Current")))</x:f>
        <x:v>Not Assessed</x:v>
      </x:c>
      <x:c r="P106" s="94" t="str">
        <x:f>IF(OR(B106="",G106=""),"",COUNTIFS('05 Development Actions'!$C$6:$C$105,B106,'05 Development Actions'!$G$6:$G$105,G106,'05 Development Actions'!$A$6:$A$105,"&lt;&gt;",'05 Development Actions'!$AB$6:$AB$105,"&lt;&gt;Closed — Competent",'05 Development Actions'!$AB$6:$AB$105,"&lt;&gt;Cancelled"))</x:f>
      </x:c>
      <x:c r="Q106" s="94" t="str">
        <x:f>IF(OR(B106="",G106=""),"",COUNTIFS('11 Training Attendance'!$E$6:$E$155,B106,'11 Training Attendance'!$K$6:$K$155,"Attended",'11 Training Attendance'!$I$6:$I$155,G106))</x:f>
      </x:c>
      <x:c r="R106" s="102" t="str">
        <x:f>IF(Q106=0,"",MAXIFS('11 Training Attendance'!$D$6:$D$155,'11 Training Attendance'!$E$6:$E$155,B106,'11 Training Attendance'!$K$6:$K$155,"Attended",'11 Training Attendance'!$I$6:$I$155,G106))</x:f>
      </x:c>
      <x:c r="S106" s="94" t="str">
        <x:f>IF(OR(B106="",G106=""),"",COUNTIFS('13 Effectiveness Review'!$C$6:$C$155,B106,'13 Effectiveness Review'!$F$6:$F$155,G106,'13 Effectiveness Review'!$X$6:$X$155,"Closed — Effective"))</x:f>
      </x:c>
      <x:c r="T106" s="94" t="str">
        <x:f>IF(B106="","",IF(K106="","Not Assessed",IF(O106="Expired","Renewal Due",IF(L106=0,"Competent","Skill Gap"))))</x:f>
      </x:c>
      <x:c r="U106" s="94" t="str">
        <x:f>IFERROR(VLOOKUP(D106&amp;"|"&amp;E106&amp;"|"&amp;G106,'03 Position Requirements'!$A$6:$R$285,14,FALSE),"")</x:f>
      </x:c>
      <x:c r="V106" s="92"/>
      <x:c r="W106" s="85" t="str">
        <x:f>IF(B106="","",B106&amp;"|"&amp;COUNTIF($B$6:B106,B106))</x:f>
      </x:c>
      <x:c r="X106" s="85" t="str">
        <x:f>IF(B106="","",G106)</x:f>
      </x:c>
      <x:c r="Y106" s="85" t="str">
        <x:f>IF(B106="","",H106)</x:f>
      </x:c>
      <x:c r="Z106" s="85" t="str">
        <x:f>IF(B106="","",I106)</x:f>
      </x:c>
      <x:c r="AA106" s="85" t="str">
        <x:f>IF(B106="","",J106)</x:f>
      </x:c>
      <x:c r="AB106" s="85" t="str">
        <x:f>IF(B106="","",K106)</x:f>
      </x:c>
      <x:c r="AC106" s="85" t="str">
        <x:f>IF(B106="","",L106)</x:f>
      </x:c>
      <x:c r="AD106" s="85" t="str">
        <x:f>IF(B106="","",M106)</x:f>
      </x:c>
      <x:c r="AE106" s="85" t="str">
        <x:f>IF(B106="","",N106)</x:f>
      </x:c>
      <x:c r="AF106" s="85" t="str">
        <x:f>IF(B106="","",O106)</x:f>
      </x:c>
      <x:c r="AG106" s="85" t="str">
        <x:f>IF(B106="","",P106)</x:f>
      </x:c>
      <x:c r="AH106" s="85" t="str">
        <x:f>IF(B106="","",Q106)</x:f>
      </x:c>
      <x:c r="AI106" s="85" t="str">
        <x:f>IF(B106="","",R106)</x:f>
      </x:c>
      <x:c r="AJ106" s="85" t="str">
        <x:f>IF(B106="","",S106)</x:f>
      </x:c>
      <x:c r="AK106" s="85" t="str">
        <x:f>IF(B106="","",T106)</x:f>
      </x:c>
    </x:row>
    <x:row r="107">
      <x:c r="A107" s="94" t="str">
        <x:f>IF(OR(B107="",G107=""),"",B107&amp;"|"&amp;G107)</x:f>
      </x:c>
      <x:c r="B107" s="92"/>
      <x:c r="C107" s="94" t="str">
        <x:f>IFERROR(VLOOKUP(B107,'01 Staff Master'!$A$6:$M$105,2,FALSE),"")</x:f>
      </x:c>
      <x:c r="D107" s="94" t="str">
        <x:f>IFERROR(VLOOKUP(B107,'01 Staff Master'!$A$6:$M$105,3,FALSE),"")</x:f>
      </x:c>
      <x:c r="E107" s="94" t="str">
        <x:f>IFERROR(VLOOKUP(B107,'01 Staff Master'!$A$6:$M$105,5,FALSE),"")</x:f>
      </x:c>
      <x:c r="F107" s="94" t="str">
        <x:f>IFERROR(VLOOKUP(B107,'01 Staff Master'!$A$6:$M$105,4,FALSE),"")</x:f>
      </x:c>
      <x:c r="G107" s="92"/>
      <x:c r="H107" s="94" t="str">
        <x:f>IFERROR(VLOOKUP(G107,'02 Skill Catalogue'!$A$6:$K$95,4,FALSE),"")</x:f>
      </x:c>
      <x:c r="I107" s="94" t="str">
        <x:f>IFERROR(VLOOKUP(D107&amp;"|"&amp;E107&amp;"|"&amp;G107,'03 Position Requirements'!$A$6:$R$285,8,FALSE),"")</x:f>
      </x:c>
      <x:c r="J107" s="94" t="str">
        <x:f>IFERROR(VLOOKUP(D107&amp;"|"&amp;E107&amp;"|"&amp;G107,'03 Position Requirements'!$A$6:$R$285,10,FALSE),"")</x:f>
      </x:c>
      <x:c r="K107" s="94" t="str">
        <x:f>IF(OR(B107="",G107=""),"",IF(COUNTIFS('04 Assessment Log'!$D$6:$D$155,B107,'04 Assessment Log'!$J$6:$J$155,G107,'04 Assessment Log'!$AA$6:$AA$155,"Yes")=0,"",SUMIFS('04 Assessment Log'!$O$6:$O$155,'04 Assessment Log'!$D$6:$D$155,B107,'04 Assessment Log'!$J$6:$J$155,G107,'04 Assessment Log'!$AA$6:$AA$155,"Yes")))</x:f>
      </x:c>
      <x:c r="L107" s="94" t="str">
        <x:f>IF(OR(J107="",K107=""),"",MAX(J107-K107,0))</x:f>
      </x:c>
      <x:c r="M107" s="102" t="str">
        <x:f>IF(COUNTIFS('04 Assessment Log'!$D$6:$D$155,B107,'04 Assessment Log'!$J$6:$J$155,G107,'04 Assessment Log'!$AA$6:$AA$155,"Yes")=0,"",SUMIFS('04 Assessment Log'!$B$6:$B$155,'04 Assessment Log'!$D$6:$D$155,B107,'04 Assessment Log'!$J$6:$J$155,G107,'04 Assessment Log'!$AA$6:$AA$155,"Yes"))</x:f>
      </x:c>
      <x:c r="N107" s="102" t="str">
        <x:f>IF(M107="","",SUMIFS('04 Assessment Log'!$Z$6:$Z$155,'04 Assessment Log'!$D$6:$D$155,B107,'04 Assessment Log'!$J$6:$J$155,G107,'04 Assessment Log'!$AA$6:$AA$155,"Yes"))</x:f>
      </x:c>
      <x:c r="O107" s="94" t="str">
        <x:f>IF(M107="","Not Assessed",IF(N107&lt;TODAY(),"Expired",IF(N107&lt;=TODAY()+30,"Due Soon","Current")))</x:f>
        <x:v>Not Assessed</x:v>
      </x:c>
      <x:c r="P107" s="94" t="str">
        <x:f>IF(OR(B107="",G107=""),"",COUNTIFS('05 Development Actions'!$C$6:$C$105,B107,'05 Development Actions'!$G$6:$G$105,G107,'05 Development Actions'!$A$6:$A$105,"&lt;&gt;",'05 Development Actions'!$AB$6:$AB$105,"&lt;&gt;Closed — Competent",'05 Development Actions'!$AB$6:$AB$105,"&lt;&gt;Cancelled"))</x:f>
      </x:c>
      <x:c r="Q107" s="94" t="str">
        <x:f>IF(OR(B107="",G107=""),"",COUNTIFS('11 Training Attendance'!$E$6:$E$155,B107,'11 Training Attendance'!$K$6:$K$155,"Attended",'11 Training Attendance'!$I$6:$I$155,G107))</x:f>
      </x:c>
      <x:c r="R107" s="102" t="str">
        <x:f>IF(Q107=0,"",MAXIFS('11 Training Attendance'!$D$6:$D$155,'11 Training Attendance'!$E$6:$E$155,B107,'11 Training Attendance'!$K$6:$K$155,"Attended",'11 Training Attendance'!$I$6:$I$155,G107))</x:f>
      </x:c>
      <x:c r="S107" s="94" t="str">
        <x:f>IF(OR(B107="",G107=""),"",COUNTIFS('13 Effectiveness Review'!$C$6:$C$155,B107,'13 Effectiveness Review'!$F$6:$F$155,G107,'13 Effectiveness Review'!$X$6:$X$155,"Closed — Effective"))</x:f>
      </x:c>
      <x:c r="T107" s="94" t="str">
        <x:f>IF(B107="","",IF(K107="","Not Assessed",IF(O107="Expired","Renewal Due",IF(L107=0,"Competent","Skill Gap"))))</x:f>
      </x:c>
      <x:c r="U107" s="94" t="str">
        <x:f>IFERROR(VLOOKUP(D107&amp;"|"&amp;E107&amp;"|"&amp;G107,'03 Position Requirements'!$A$6:$R$285,14,FALSE),"")</x:f>
      </x:c>
      <x:c r="V107" s="92"/>
      <x:c r="W107" s="85" t="str">
        <x:f>IF(B107="","",B107&amp;"|"&amp;COUNTIF($B$6:B107,B107))</x:f>
      </x:c>
      <x:c r="X107" s="85" t="str">
        <x:f>IF(B107="","",G107)</x:f>
      </x:c>
      <x:c r="Y107" s="85" t="str">
        <x:f>IF(B107="","",H107)</x:f>
      </x:c>
      <x:c r="Z107" s="85" t="str">
        <x:f>IF(B107="","",I107)</x:f>
      </x:c>
      <x:c r="AA107" s="85" t="str">
        <x:f>IF(B107="","",J107)</x:f>
      </x:c>
      <x:c r="AB107" s="85" t="str">
        <x:f>IF(B107="","",K107)</x:f>
      </x:c>
      <x:c r="AC107" s="85" t="str">
        <x:f>IF(B107="","",L107)</x:f>
      </x:c>
      <x:c r="AD107" s="85" t="str">
        <x:f>IF(B107="","",M107)</x:f>
      </x:c>
      <x:c r="AE107" s="85" t="str">
        <x:f>IF(B107="","",N107)</x:f>
      </x:c>
      <x:c r="AF107" s="85" t="str">
        <x:f>IF(B107="","",O107)</x:f>
      </x:c>
      <x:c r="AG107" s="85" t="str">
        <x:f>IF(B107="","",P107)</x:f>
      </x:c>
      <x:c r="AH107" s="85" t="str">
        <x:f>IF(B107="","",Q107)</x:f>
      </x:c>
      <x:c r="AI107" s="85" t="str">
        <x:f>IF(B107="","",R107)</x:f>
      </x:c>
      <x:c r="AJ107" s="85" t="str">
        <x:f>IF(B107="","",S107)</x:f>
      </x:c>
      <x:c r="AK107" s="85" t="str">
        <x:f>IF(B107="","",T107)</x:f>
      </x:c>
    </x:row>
    <x:row r="108">
      <x:c r="A108" s="94" t="str">
        <x:f>IF(OR(B108="",G108=""),"",B108&amp;"|"&amp;G108)</x:f>
      </x:c>
      <x:c r="B108" s="92"/>
      <x:c r="C108" s="94" t="str">
        <x:f>IFERROR(VLOOKUP(B108,'01 Staff Master'!$A$6:$M$105,2,FALSE),"")</x:f>
      </x:c>
      <x:c r="D108" s="94" t="str">
        <x:f>IFERROR(VLOOKUP(B108,'01 Staff Master'!$A$6:$M$105,3,FALSE),"")</x:f>
      </x:c>
      <x:c r="E108" s="94" t="str">
        <x:f>IFERROR(VLOOKUP(B108,'01 Staff Master'!$A$6:$M$105,5,FALSE),"")</x:f>
      </x:c>
      <x:c r="F108" s="94" t="str">
        <x:f>IFERROR(VLOOKUP(B108,'01 Staff Master'!$A$6:$M$105,4,FALSE),"")</x:f>
      </x:c>
      <x:c r="G108" s="92"/>
      <x:c r="H108" s="94" t="str">
        <x:f>IFERROR(VLOOKUP(G108,'02 Skill Catalogue'!$A$6:$K$95,4,FALSE),"")</x:f>
      </x:c>
      <x:c r="I108" s="94" t="str">
        <x:f>IFERROR(VLOOKUP(D108&amp;"|"&amp;E108&amp;"|"&amp;G108,'03 Position Requirements'!$A$6:$R$285,8,FALSE),"")</x:f>
      </x:c>
      <x:c r="J108" s="94" t="str">
        <x:f>IFERROR(VLOOKUP(D108&amp;"|"&amp;E108&amp;"|"&amp;G108,'03 Position Requirements'!$A$6:$R$285,10,FALSE),"")</x:f>
      </x:c>
      <x:c r="K108" s="94" t="str">
        <x:f>IF(OR(B108="",G108=""),"",IF(COUNTIFS('04 Assessment Log'!$D$6:$D$155,B108,'04 Assessment Log'!$J$6:$J$155,G108,'04 Assessment Log'!$AA$6:$AA$155,"Yes")=0,"",SUMIFS('04 Assessment Log'!$O$6:$O$155,'04 Assessment Log'!$D$6:$D$155,B108,'04 Assessment Log'!$J$6:$J$155,G108,'04 Assessment Log'!$AA$6:$AA$155,"Yes")))</x:f>
      </x:c>
      <x:c r="L108" s="94" t="str">
        <x:f>IF(OR(J108="",K108=""),"",MAX(J108-K108,0))</x:f>
      </x:c>
      <x:c r="M108" s="102" t="str">
        <x:f>IF(COUNTIFS('04 Assessment Log'!$D$6:$D$155,B108,'04 Assessment Log'!$J$6:$J$155,G108,'04 Assessment Log'!$AA$6:$AA$155,"Yes")=0,"",SUMIFS('04 Assessment Log'!$B$6:$B$155,'04 Assessment Log'!$D$6:$D$155,B108,'04 Assessment Log'!$J$6:$J$155,G108,'04 Assessment Log'!$AA$6:$AA$155,"Yes"))</x:f>
      </x:c>
      <x:c r="N108" s="102" t="str">
        <x:f>IF(M108="","",SUMIFS('04 Assessment Log'!$Z$6:$Z$155,'04 Assessment Log'!$D$6:$D$155,B108,'04 Assessment Log'!$J$6:$J$155,G108,'04 Assessment Log'!$AA$6:$AA$155,"Yes"))</x:f>
      </x:c>
      <x:c r="O108" s="94" t="str">
        <x:f>IF(M108="","Not Assessed",IF(N108&lt;TODAY(),"Expired",IF(N108&lt;=TODAY()+30,"Due Soon","Current")))</x:f>
        <x:v>Not Assessed</x:v>
      </x:c>
      <x:c r="P108" s="94" t="str">
        <x:f>IF(OR(B108="",G108=""),"",COUNTIFS('05 Development Actions'!$C$6:$C$105,B108,'05 Development Actions'!$G$6:$G$105,G108,'05 Development Actions'!$A$6:$A$105,"&lt;&gt;",'05 Development Actions'!$AB$6:$AB$105,"&lt;&gt;Closed — Competent",'05 Development Actions'!$AB$6:$AB$105,"&lt;&gt;Cancelled"))</x:f>
      </x:c>
      <x:c r="Q108" s="94" t="str">
        <x:f>IF(OR(B108="",G108=""),"",COUNTIFS('11 Training Attendance'!$E$6:$E$155,B108,'11 Training Attendance'!$K$6:$K$155,"Attended",'11 Training Attendance'!$I$6:$I$155,G108))</x:f>
      </x:c>
      <x:c r="R108" s="102" t="str">
        <x:f>IF(Q108=0,"",MAXIFS('11 Training Attendance'!$D$6:$D$155,'11 Training Attendance'!$E$6:$E$155,B108,'11 Training Attendance'!$K$6:$K$155,"Attended",'11 Training Attendance'!$I$6:$I$155,G108))</x:f>
      </x:c>
      <x:c r="S108" s="94" t="str">
        <x:f>IF(OR(B108="",G108=""),"",COUNTIFS('13 Effectiveness Review'!$C$6:$C$155,B108,'13 Effectiveness Review'!$F$6:$F$155,G108,'13 Effectiveness Review'!$X$6:$X$155,"Closed — Effective"))</x:f>
      </x:c>
      <x:c r="T108" s="94" t="str">
        <x:f>IF(B108="","",IF(K108="","Not Assessed",IF(O108="Expired","Renewal Due",IF(L108=0,"Competent","Skill Gap"))))</x:f>
      </x:c>
      <x:c r="U108" s="94" t="str">
        <x:f>IFERROR(VLOOKUP(D108&amp;"|"&amp;E108&amp;"|"&amp;G108,'03 Position Requirements'!$A$6:$R$285,14,FALSE),"")</x:f>
      </x:c>
      <x:c r="V108" s="92"/>
      <x:c r="W108" s="85" t="str">
        <x:f>IF(B108="","",B108&amp;"|"&amp;COUNTIF($B$6:B108,B108))</x:f>
      </x:c>
      <x:c r="X108" s="85" t="str">
        <x:f>IF(B108="","",G108)</x:f>
      </x:c>
      <x:c r="Y108" s="85" t="str">
        <x:f>IF(B108="","",H108)</x:f>
      </x:c>
      <x:c r="Z108" s="85" t="str">
        <x:f>IF(B108="","",I108)</x:f>
      </x:c>
      <x:c r="AA108" s="85" t="str">
        <x:f>IF(B108="","",J108)</x:f>
      </x:c>
      <x:c r="AB108" s="85" t="str">
        <x:f>IF(B108="","",K108)</x:f>
      </x:c>
      <x:c r="AC108" s="85" t="str">
        <x:f>IF(B108="","",L108)</x:f>
      </x:c>
      <x:c r="AD108" s="85" t="str">
        <x:f>IF(B108="","",M108)</x:f>
      </x:c>
      <x:c r="AE108" s="85" t="str">
        <x:f>IF(B108="","",N108)</x:f>
      </x:c>
      <x:c r="AF108" s="85" t="str">
        <x:f>IF(B108="","",O108)</x:f>
      </x:c>
      <x:c r="AG108" s="85" t="str">
        <x:f>IF(B108="","",P108)</x:f>
      </x:c>
      <x:c r="AH108" s="85" t="str">
        <x:f>IF(B108="","",Q108)</x:f>
      </x:c>
      <x:c r="AI108" s="85" t="str">
        <x:f>IF(B108="","",R108)</x:f>
      </x:c>
      <x:c r="AJ108" s="85" t="str">
        <x:f>IF(B108="","",S108)</x:f>
      </x:c>
      <x:c r="AK108" s="85" t="str">
        <x:f>IF(B108="","",T108)</x:f>
      </x:c>
    </x:row>
    <x:row r="109">
      <x:c r="A109" s="94" t="str">
        <x:f>IF(OR(B109="",G109=""),"",B109&amp;"|"&amp;G109)</x:f>
      </x:c>
      <x:c r="B109" s="92"/>
      <x:c r="C109" s="94" t="str">
        <x:f>IFERROR(VLOOKUP(B109,'01 Staff Master'!$A$6:$M$105,2,FALSE),"")</x:f>
      </x:c>
      <x:c r="D109" s="94" t="str">
        <x:f>IFERROR(VLOOKUP(B109,'01 Staff Master'!$A$6:$M$105,3,FALSE),"")</x:f>
      </x:c>
      <x:c r="E109" s="94" t="str">
        <x:f>IFERROR(VLOOKUP(B109,'01 Staff Master'!$A$6:$M$105,5,FALSE),"")</x:f>
      </x:c>
      <x:c r="F109" s="94" t="str">
        <x:f>IFERROR(VLOOKUP(B109,'01 Staff Master'!$A$6:$M$105,4,FALSE),"")</x:f>
      </x:c>
      <x:c r="G109" s="92"/>
      <x:c r="H109" s="94" t="str">
        <x:f>IFERROR(VLOOKUP(G109,'02 Skill Catalogue'!$A$6:$K$95,4,FALSE),"")</x:f>
      </x:c>
      <x:c r="I109" s="94" t="str">
        <x:f>IFERROR(VLOOKUP(D109&amp;"|"&amp;E109&amp;"|"&amp;G109,'03 Position Requirements'!$A$6:$R$285,8,FALSE),"")</x:f>
      </x:c>
      <x:c r="J109" s="94" t="str">
        <x:f>IFERROR(VLOOKUP(D109&amp;"|"&amp;E109&amp;"|"&amp;G109,'03 Position Requirements'!$A$6:$R$285,10,FALSE),"")</x:f>
      </x:c>
      <x:c r="K109" s="94" t="str">
        <x:f>IF(OR(B109="",G109=""),"",IF(COUNTIFS('04 Assessment Log'!$D$6:$D$155,B109,'04 Assessment Log'!$J$6:$J$155,G109,'04 Assessment Log'!$AA$6:$AA$155,"Yes")=0,"",SUMIFS('04 Assessment Log'!$O$6:$O$155,'04 Assessment Log'!$D$6:$D$155,B109,'04 Assessment Log'!$J$6:$J$155,G109,'04 Assessment Log'!$AA$6:$AA$155,"Yes")))</x:f>
      </x:c>
      <x:c r="L109" s="94" t="str">
        <x:f>IF(OR(J109="",K109=""),"",MAX(J109-K109,0))</x:f>
      </x:c>
      <x:c r="M109" s="102" t="str">
        <x:f>IF(COUNTIFS('04 Assessment Log'!$D$6:$D$155,B109,'04 Assessment Log'!$J$6:$J$155,G109,'04 Assessment Log'!$AA$6:$AA$155,"Yes")=0,"",SUMIFS('04 Assessment Log'!$B$6:$B$155,'04 Assessment Log'!$D$6:$D$155,B109,'04 Assessment Log'!$J$6:$J$155,G109,'04 Assessment Log'!$AA$6:$AA$155,"Yes"))</x:f>
      </x:c>
      <x:c r="N109" s="102" t="str">
        <x:f>IF(M109="","",SUMIFS('04 Assessment Log'!$Z$6:$Z$155,'04 Assessment Log'!$D$6:$D$155,B109,'04 Assessment Log'!$J$6:$J$155,G109,'04 Assessment Log'!$AA$6:$AA$155,"Yes"))</x:f>
      </x:c>
      <x:c r="O109" s="94" t="str">
        <x:f>IF(M109="","Not Assessed",IF(N109&lt;TODAY(),"Expired",IF(N109&lt;=TODAY()+30,"Due Soon","Current")))</x:f>
        <x:v>Not Assessed</x:v>
      </x:c>
      <x:c r="P109" s="94" t="str">
        <x:f>IF(OR(B109="",G109=""),"",COUNTIFS('05 Development Actions'!$C$6:$C$105,B109,'05 Development Actions'!$G$6:$G$105,G109,'05 Development Actions'!$A$6:$A$105,"&lt;&gt;",'05 Development Actions'!$AB$6:$AB$105,"&lt;&gt;Closed — Competent",'05 Development Actions'!$AB$6:$AB$105,"&lt;&gt;Cancelled"))</x:f>
      </x:c>
      <x:c r="Q109" s="94" t="str">
        <x:f>IF(OR(B109="",G109=""),"",COUNTIFS('11 Training Attendance'!$E$6:$E$155,B109,'11 Training Attendance'!$K$6:$K$155,"Attended",'11 Training Attendance'!$I$6:$I$155,G109))</x:f>
      </x:c>
      <x:c r="R109" s="102" t="str">
        <x:f>IF(Q109=0,"",MAXIFS('11 Training Attendance'!$D$6:$D$155,'11 Training Attendance'!$E$6:$E$155,B109,'11 Training Attendance'!$K$6:$K$155,"Attended",'11 Training Attendance'!$I$6:$I$155,G109))</x:f>
      </x:c>
      <x:c r="S109" s="94" t="str">
        <x:f>IF(OR(B109="",G109=""),"",COUNTIFS('13 Effectiveness Review'!$C$6:$C$155,B109,'13 Effectiveness Review'!$F$6:$F$155,G109,'13 Effectiveness Review'!$X$6:$X$155,"Closed — Effective"))</x:f>
      </x:c>
      <x:c r="T109" s="94" t="str">
        <x:f>IF(B109="","",IF(K109="","Not Assessed",IF(O109="Expired","Renewal Due",IF(L109=0,"Competent","Skill Gap"))))</x:f>
      </x:c>
      <x:c r="U109" s="94" t="str">
        <x:f>IFERROR(VLOOKUP(D109&amp;"|"&amp;E109&amp;"|"&amp;G109,'03 Position Requirements'!$A$6:$R$285,14,FALSE),"")</x:f>
      </x:c>
      <x:c r="V109" s="92"/>
      <x:c r="W109" s="85" t="str">
        <x:f>IF(B109="","",B109&amp;"|"&amp;COUNTIF($B$6:B109,B109))</x:f>
      </x:c>
      <x:c r="X109" s="85" t="str">
        <x:f>IF(B109="","",G109)</x:f>
      </x:c>
      <x:c r="Y109" s="85" t="str">
        <x:f>IF(B109="","",H109)</x:f>
      </x:c>
      <x:c r="Z109" s="85" t="str">
        <x:f>IF(B109="","",I109)</x:f>
      </x:c>
      <x:c r="AA109" s="85" t="str">
        <x:f>IF(B109="","",J109)</x:f>
      </x:c>
      <x:c r="AB109" s="85" t="str">
        <x:f>IF(B109="","",K109)</x:f>
      </x:c>
      <x:c r="AC109" s="85" t="str">
        <x:f>IF(B109="","",L109)</x:f>
      </x:c>
      <x:c r="AD109" s="85" t="str">
        <x:f>IF(B109="","",M109)</x:f>
      </x:c>
      <x:c r="AE109" s="85" t="str">
        <x:f>IF(B109="","",N109)</x:f>
      </x:c>
      <x:c r="AF109" s="85" t="str">
        <x:f>IF(B109="","",O109)</x:f>
      </x:c>
      <x:c r="AG109" s="85" t="str">
        <x:f>IF(B109="","",P109)</x:f>
      </x:c>
      <x:c r="AH109" s="85" t="str">
        <x:f>IF(B109="","",Q109)</x:f>
      </x:c>
      <x:c r="AI109" s="85" t="str">
        <x:f>IF(B109="","",R109)</x:f>
      </x:c>
      <x:c r="AJ109" s="85" t="str">
        <x:f>IF(B109="","",S109)</x:f>
      </x:c>
      <x:c r="AK109" s="85" t="str">
        <x:f>IF(B109="","",T109)</x:f>
      </x:c>
    </x:row>
    <x:row r="110">
      <x:c r="A110" s="94" t="str">
        <x:f>IF(OR(B110="",G110=""),"",B110&amp;"|"&amp;G110)</x:f>
      </x:c>
      <x:c r="B110" s="92"/>
      <x:c r="C110" s="94" t="str">
        <x:f>IFERROR(VLOOKUP(B110,'01 Staff Master'!$A$6:$M$105,2,FALSE),"")</x:f>
      </x:c>
      <x:c r="D110" s="94" t="str">
        <x:f>IFERROR(VLOOKUP(B110,'01 Staff Master'!$A$6:$M$105,3,FALSE),"")</x:f>
      </x:c>
      <x:c r="E110" s="94" t="str">
        <x:f>IFERROR(VLOOKUP(B110,'01 Staff Master'!$A$6:$M$105,5,FALSE),"")</x:f>
      </x:c>
      <x:c r="F110" s="94" t="str">
        <x:f>IFERROR(VLOOKUP(B110,'01 Staff Master'!$A$6:$M$105,4,FALSE),"")</x:f>
      </x:c>
      <x:c r="G110" s="92"/>
      <x:c r="H110" s="94" t="str">
        <x:f>IFERROR(VLOOKUP(G110,'02 Skill Catalogue'!$A$6:$K$95,4,FALSE),"")</x:f>
      </x:c>
      <x:c r="I110" s="94" t="str">
        <x:f>IFERROR(VLOOKUP(D110&amp;"|"&amp;E110&amp;"|"&amp;G110,'03 Position Requirements'!$A$6:$R$285,8,FALSE),"")</x:f>
      </x:c>
      <x:c r="J110" s="94" t="str">
        <x:f>IFERROR(VLOOKUP(D110&amp;"|"&amp;E110&amp;"|"&amp;G110,'03 Position Requirements'!$A$6:$R$285,10,FALSE),"")</x:f>
      </x:c>
      <x:c r="K110" s="94" t="str">
        <x:f>IF(OR(B110="",G110=""),"",IF(COUNTIFS('04 Assessment Log'!$D$6:$D$155,B110,'04 Assessment Log'!$J$6:$J$155,G110,'04 Assessment Log'!$AA$6:$AA$155,"Yes")=0,"",SUMIFS('04 Assessment Log'!$O$6:$O$155,'04 Assessment Log'!$D$6:$D$155,B110,'04 Assessment Log'!$J$6:$J$155,G110,'04 Assessment Log'!$AA$6:$AA$155,"Yes")))</x:f>
      </x:c>
      <x:c r="L110" s="94" t="str">
        <x:f>IF(OR(J110="",K110=""),"",MAX(J110-K110,0))</x:f>
      </x:c>
      <x:c r="M110" s="102" t="str">
        <x:f>IF(COUNTIFS('04 Assessment Log'!$D$6:$D$155,B110,'04 Assessment Log'!$J$6:$J$155,G110,'04 Assessment Log'!$AA$6:$AA$155,"Yes")=0,"",SUMIFS('04 Assessment Log'!$B$6:$B$155,'04 Assessment Log'!$D$6:$D$155,B110,'04 Assessment Log'!$J$6:$J$155,G110,'04 Assessment Log'!$AA$6:$AA$155,"Yes"))</x:f>
      </x:c>
      <x:c r="N110" s="102" t="str">
        <x:f>IF(M110="","",SUMIFS('04 Assessment Log'!$Z$6:$Z$155,'04 Assessment Log'!$D$6:$D$155,B110,'04 Assessment Log'!$J$6:$J$155,G110,'04 Assessment Log'!$AA$6:$AA$155,"Yes"))</x:f>
      </x:c>
      <x:c r="O110" s="94" t="str">
        <x:f>IF(M110="","Not Assessed",IF(N110&lt;TODAY(),"Expired",IF(N110&lt;=TODAY()+30,"Due Soon","Current")))</x:f>
        <x:v>Not Assessed</x:v>
      </x:c>
      <x:c r="P110" s="94" t="str">
        <x:f>IF(OR(B110="",G110=""),"",COUNTIFS('05 Development Actions'!$C$6:$C$105,B110,'05 Development Actions'!$G$6:$G$105,G110,'05 Development Actions'!$A$6:$A$105,"&lt;&gt;",'05 Development Actions'!$AB$6:$AB$105,"&lt;&gt;Closed — Competent",'05 Development Actions'!$AB$6:$AB$105,"&lt;&gt;Cancelled"))</x:f>
      </x:c>
      <x:c r="Q110" s="94" t="str">
        <x:f>IF(OR(B110="",G110=""),"",COUNTIFS('11 Training Attendance'!$E$6:$E$155,B110,'11 Training Attendance'!$K$6:$K$155,"Attended",'11 Training Attendance'!$I$6:$I$155,G110))</x:f>
      </x:c>
      <x:c r="R110" s="102" t="str">
        <x:f>IF(Q110=0,"",MAXIFS('11 Training Attendance'!$D$6:$D$155,'11 Training Attendance'!$E$6:$E$155,B110,'11 Training Attendance'!$K$6:$K$155,"Attended",'11 Training Attendance'!$I$6:$I$155,G110))</x:f>
      </x:c>
      <x:c r="S110" s="94" t="str">
        <x:f>IF(OR(B110="",G110=""),"",COUNTIFS('13 Effectiveness Review'!$C$6:$C$155,B110,'13 Effectiveness Review'!$F$6:$F$155,G110,'13 Effectiveness Review'!$X$6:$X$155,"Closed — Effective"))</x:f>
      </x:c>
      <x:c r="T110" s="94" t="str">
        <x:f>IF(B110="","",IF(K110="","Not Assessed",IF(O110="Expired","Renewal Due",IF(L110=0,"Competent","Skill Gap"))))</x:f>
      </x:c>
      <x:c r="U110" s="94" t="str">
        <x:f>IFERROR(VLOOKUP(D110&amp;"|"&amp;E110&amp;"|"&amp;G110,'03 Position Requirements'!$A$6:$R$285,14,FALSE),"")</x:f>
      </x:c>
      <x:c r="V110" s="92"/>
      <x:c r="W110" s="85" t="str">
        <x:f>IF(B110="","",B110&amp;"|"&amp;COUNTIF($B$6:B110,B110))</x:f>
      </x:c>
      <x:c r="X110" s="85" t="str">
        <x:f>IF(B110="","",G110)</x:f>
      </x:c>
      <x:c r="Y110" s="85" t="str">
        <x:f>IF(B110="","",H110)</x:f>
      </x:c>
      <x:c r="Z110" s="85" t="str">
        <x:f>IF(B110="","",I110)</x:f>
      </x:c>
      <x:c r="AA110" s="85" t="str">
        <x:f>IF(B110="","",J110)</x:f>
      </x:c>
      <x:c r="AB110" s="85" t="str">
        <x:f>IF(B110="","",K110)</x:f>
      </x:c>
      <x:c r="AC110" s="85" t="str">
        <x:f>IF(B110="","",L110)</x:f>
      </x:c>
      <x:c r="AD110" s="85" t="str">
        <x:f>IF(B110="","",M110)</x:f>
      </x:c>
      <x:c r="AE110" s="85" t="str">
        <x:f>IF(B110="","",N110)</x:f>
      </x:c>
      <x:c r="AF110" s="85" t="str">
        <x:f>IF(B110="","",O110)</x:f>
      </x:c>
      <x:c r="AG110" s="85" t="str">
        <x:f>IF(B110="","",P110)</x:f>
      </x:c>
      <x:c r="AH110" s="85" t="str">
        <x:f>IF(B110="","",Q110)</x:f>
      </x:c>
      <x:c r="AI110" s="85" t="str">
        <x:f>IF(B110="","",R110)</x:f>
      </x:c>
      <x:c r="AJ110" s="85" t="str">
        <x:f>IF(B110="","",S110)</x:f>
      </x:c>
      <x:c r="AK110" s="85" t="str">
        <x:f>IF(B110="","",T110)</x:f>
      </x:c>
    </x:row>
    <x:row r="111">
      <x:c r="A111" s="94" t="str">
        <x:f>IF(OR(B111="",G111=""),"",B111&amp;"|"&amp;G111)</x:f>
      </x:c>
      <x:c r="B111" s="92"/>
      <x:c r="C111" s="94" t="str">
        <x:f>IFERROR(VLOOKUP(B111,'01 Staff Master'!$A$6:$M$105,2,FALSE),"")</x:f>
      </x:c>
      <x:c r="D111" s="94" t="str">
        <x:f>IFERROR(VLOOKUP(B111,'01 Staff Master'!$A$6:$M$105,3,FALSE),"")</x:f>
      </x:c>
      <x:c r="E111" s="94" t="str">
        <x:f>IFERROR(VLOOKUP(B111,'01 Staff Master'!$A$6:$M$105,5,FALSE),"")</x:f>
      </x:c>
      <x:c r="F111" s="94" t="str">
        <x:f>IFERROR(VLOOKUP(B111,'01 Staff Master'!$A$6:$M$105,4,FALSE),"")</x:f>
      </x:c>
      <x:c r="G111" s="92"/>
      <x:c r="H111" s="94" t="str">
        <x:f>IFERROR(VLOOKUP(G111,'02 Skill Catalogue'!$A$6:$K$95,4,FALSE),"")</x:f>
      </x:c>
      <x:c r="I111" s="94" t="str">
        <x:f>IFERROR(VLOOKUP(D111&amp;"|"&amp;E111&amp;"|"&amp;G111,'03 Position Requirements'!$A$6:$R$285,8,FALSE),"")</x:f>
      </x:c>
      <x:c r="J111" s="94" t="str">
        <x:f>IFERROR(VLOOKUP(D111&amp;"|"&amp;E111&amp;"|"&amp;G111,'03 Position Requirements'!$A$6:$R$285,10,FALSE),"")</x:f>
      </x:c>
      <x:c r="K111" s="94" t="str">
        <x:f>IF(OR(B111="",G111=""),"",IF(COUNTIFS('04 Assessment Log'!$D$6:$D$155,B111,'04 Assessment Log'!$J$6:$J$155,G111,'04 Assessment Log'!$AA$6:$AA$155,"Yes")=0,"",SUMIFS('04 Assessment Log'!$O$6:$O$155,'04 Assessment Log'!$D$6:$D$155,B111,'04 Assessment Log'!$J$6:$J$155,G111,'04 Assessment Log'!$AA$6:$AA$155,"Yes")))</x:f>
      </x:c>
      <x:c r="L111" s="94" t="str">
        <x:f>IF(OR(J111="",K111=""),"",MAX(J111-K111,0))</x:f>
      </x:c>
      <x:c r="M111" s="102" t="str">
        <x:f>IF(COUNTIFS('04 Assessment Log'!$D$6:$D$155,B111,'04 Assessment Log'!$J$6:$J$155,G111,'04 Assessment Log'!$AA$6:$AA$155,"Yes")=0,"",SUMIFS('04 Assessment Log'!$B$6:$B$155,'04 Assessment Log'!$D$6:$D$155,B111,'04 Assessment Log'!$J$6:$J$155,G111,'04 Assessment Log'!$AA$6:$AA$155,"Yes"))</x:f>
      </x:c>
      <x:c r="N111" s="102" t="str">
        <x:f>IF(M111="","",SUMIFS('04 Assessment Log'!$Z$6:$Z$155,'04 Assessment Log'!$D$6:$D$155,B111,'04 Assessment Log'!$J$6:$J$155,G111,'04 Assessment Log'!$AA$6:$AA$155,"Yes"))</x:f>
      </x:c>
      <x:c r="O111" s="94" t="str">
        <x:f>IF(M111="","Not Assessed",IF(N111&lt;TODAY(),"Expired",IF(N111&lt;=TODAY()+30,"Due Soon","Current")))</x:f>
        <x:v>Not Assessed</x:v>
      </x:c>
      <x:c r="P111" s="94" t="str">
        <x:f>IF(OR(B111="",G111=""),"",COUNTIFS('05 Development Actions'!$C$6:$C$105,B111,'05 Development Actions'!$G$6:$G$105,G111,'05 Development Actions'!$A$6:$A$105,"&lt;&gt;",'05 Development Actions'!$AB$6:$AB$105,"&lt;&gt;Closed — Competent",'05 Development Actions'!$AB$6:$AB$105,"&lt;&gt;Cancelled"))</x:f>
      </x:c>
      <x:c r="Q111" s="94" t="str">
        <x:f>IF(OR(B111="",G111=""),"",COUNTIFS('11 Training Attendance'!$E$6:$E$155,B111,'11 Training Attendance'!$K$6:$K$155,"Attended",'11 Training Attendance'!$I$6:$I$155,G111))</x:f>
      </x:c>
      <x:c r="R111" s="102" t="str">
        <x:f>IF(Q111=0,"",MAXIFS('11 Training Attendance'!$D$6:$D$155,'11 Training Attendance'!$E$6:$E$155,B111,'11 Training Attendance'!$K$6:$K$155,"Attended",'11 Training Attendance'!$I$6:$I$155,G111))</x:f>
      </x:c>
      <x:c r="S111" s="94" t="str">
        <x:f>IF(OR(B111="",G111=""),"",COUNTIFS('13 Effectiveness Review'!$C$6:$C$155,B111,'13 Effectiveness Review'!$F$6:$F$155,G111,'13 Effectiveness Review'!$X$6:$X$155,"Closed — Effective"))</x:f>
      </x:c>
      <x:c r="T111" s="94" t="str">
        <x:f>IF(B111="","",IF(K111="","Not Assessed",IF(O111="Expired","Renewal Due",IF(L111=0,"Competent","Skill Gap"))))</x:f>
      </x:c>
      <x:c r="U111" s="94" t="str">
        <x:f>IFERROR(VLOOKUP(D111&amp;"|"&amp;E111&amp;"|"&amp;G111,'03 Position Requirements'!$A$6:$R$285,14,FALSE),"")</x:f>
      </x:c>
      <x:c r="V111" s="92"/>
      <x:c r="W111" s="85" t="str">
        <x:f>IF(B111="","",B111&amp;"|"&amp;COUNTIF($B$6:B111,B111))</x:f>
      </x:c>
      <x:c r="X111" s="85" t="str">
        <x:f>IF(B111="","",G111)</x:f>
      </x:c>
      <x:c r="Y111" s="85" t="str">
        <x:f>IF(B111="","",H111)</x:f>
      </x:c>
      <x:c r="Z111" s="85" t="str">
        <x:f>IF(B111="","",I111)</x:f>
      </x:c>
      <x:c r="AA111" s="85" t="str">
        <x:f>IF(B111="","",J111)</x:f>
      </x:c>
      <x:c r="AB111" s="85" t="str">
        <x:f>IF(B111="","",K111)</x:f>
      </x:c>
      <x:c r="AC111" s="85" t="str">
        <x:f>IF(B111="","",L111)</x:f>
      </x:c>
      <x:c r="AD111" s="85" t="str">
        <x:f>IF(B111="","",M111)</x:f>
      </x:c>
      <x:c r="AE111" s="85" t="str">
        <x:f>IF(B111="","",N111)</x:f>
      </x:c>
      <x:c r="AF111" s="85" t="str">
        <x:f>IF(B111="","",O111)</x:f>
      </x:c>
      <x:c r="AG111" s="85" t="str">
        <x:f>IF(B111="","",P111)</x:f>
      </x:c>
      <x:c r="AH111" s="85" t="str">
        <x:f>IF(B111="","",Q111)</x:f>
      </x:c>
      <x:c r="AI111" s="85" t="str">
        <x:f>IF(B111="","",R111)</x:f>
      </x:c>
      <x:c r="AJ111" s="85" t="str">
        <x:f>IF(B111="","",S111)</x:f>
      </x:c>
      <x:c r="AK111" s="85" t="str">
        <x:f>IF(B111="","",T111)</x:f>
      </x:c>
    </x:row>
    <x:row r="112">
      <x:c r="A112" s="94" t="str">
        <x:f>IF(OR(B112="",G112=""),"",B112&amp;"|"&amp;G112)</x:f>
      </x:c>
      <x:c r="B112" s="92"/>
      <x:c r="C112" s="94" t="str">
        <x:f>IFERROR(VLOOKUP(B112,'01 Staff Master'!$A$6:$M$105,2,FALSE),"")</x:f>
      </x:c>
      <x:c r="D112" s="94" t="str">
        <x:f>IFERROR(VLOOKUP(B112,'01 Staff Master'!$A$6:$M$105,3,FALSE),"")</x:f>
      </x:c>
      <x:c r="E112" s="94" t="str">
        <x:f>IFERROR(VLOOKUP(B112,'01 Staff Master'!$A$6:$M$105,5,FALSE),"")</x:f>
      </x:c>
      <x:c r="F112" s="94" t="str">
        <x:f>IFERROR(VLOOKUP(B112,'01 Staff Master'!$A$6:$M$105,4,FALSE),"")</x:f>
      </x:c>
      <x:c r="G112" s="92"/>
      <x:c r="H112" s="94" t="str">
        <x:f>IFERROR(VLOOKUP(G112,'02 Skill Catalogue'!$A$6:$K$95,4,FALSE),"")</x:f>
      </x:c>
      <x:c r="I112" s="94" t="str">
        <x:f>IFERROR(VLOOKUP(D112&amp;"|"&amp;E112&amp;"|"&amp;G112,'03 Position Requirements'!$A$6:$R$285,8,FALSE),"")</x:f>
      </x:c>
      <x:c r="J112" s="94" t="str">
        <x:f>IFERROR(VLOOKUP(D112&amp;"|"&amp;E112&amp;"|"&amp;G112,'03 Position Requirements'!$A$6:$R$285,10,FALSE),"")</x:f>
      </x:c>
      <x:c r="K112" s="94" t="str">
        <x:f>IF(OR(B112="",G112=""),"",IF(COUNTIFS('04 Assessment Log'!$D$6:$D$155,B112,'04 Assessment Log'!$J$6:$J$155,G112,'04 Assessment Log'!$AA$6:$AA$155,"Yes")=0,"",SUMIFS('04 Assessment Log'!$O$6:$O$155,'04 Assessment Log'!$D$6:$D$155,B112,'04 Assessment Log'!$J$6:$J$155,G112,'04 Assessment Log'!$AA$6:$AA$155,"Yes")))</x:f>
      </x:c>
      <x:c r="L112" s="94" t="str">
        <x:f>IF(OR(J112="",K112=""),"",MAX(J112-K112,0))</x:f>
      </x:c>
      <x:c r="M112" s="102" t="str">
        <x:f>IF(COUNTIFS('04 Assessment Log'!$D$6:$D$155,B112,'04 Assessment Log'!$J$6:$J$155,G112,'04 Assessment Log'!$AA$6:$AA$155,"Yes")=0,"",SUMIFS('04 Assessment Log'!$B$6:$B$155,'04 Assessment Log'!$D$6:$D$155,B112,'04 Assessment Log'!$J$6:$J$155,G112,'04 Assessment Log'!$AA$6:$AA$155,"Yes"))</x:f>
      </x:c>
      <x:c r="N112" s="102" t="str">
        <x:f>IF(M112="","",SUMIFS('04 Assessment Log'!$Z$6:$Z$155,'04 Assessment Log'!$D$6:$D$155,B112,'04 Assessment Log'!$J$6:$J$155,G112,'04 Assessment Log'!$AA$6:$AA$155,"Yes"))</x:f>
      </x:c>
      <x:c r="O112" s="94" t="str">
        <x:f>IF(M112="","Not Assessed",IF(N112&lt;TODAY(),"Expired",IF(N112&lt;=TODAY()+30,"Due Soon","Current")))</x:f>
        <x:v>Not Assessed</x:v>
      </x:c>
      <x:c r="P112" s="94" t="str">
        <x:f>IF(OR(B112="",G112=""),"",COUNTIFS('05 Development Actions'!$C$6:$C$105,B112,'05 Development Actions'!$G$6:$G$105,G112,'05 Development Actions'!$A$6:$A$105,"&lt;&gt;",'05 Development Actions'!$AB$6:$AB$105,"&lt;&gt;Closed — Competent",'05 Development Actions'!$AB$6:$AB$105,"&lt;&gt;Cancelled"))</x:f>
      </x:c>
      <x:c r="Q112" s="94" t="str">
        <x:f>IF(OR(B112="",G112=""),"",COUNTIFS('11 Training Attendance'!$E$6:$E$155,B112,'11 Training Attendance'!$K$6:$K$155,"Attended",'11 Training Attendance'!$I$6:$I$155,G112))</x:f>
      </x:c>
      <x:c r="R112" s="102" t="str">
        <x:f>IF(Q112=0,"",MAXIFS('11 Training Attendance'!$D$6:$D$155,'11 Training Attendance'!$E$6:$E$155,B112,'11 Training Attendance'!$K$6:$K$155,"Attended",'11 Training Attendance'!$I$6:$I$155,G112))</x:f>
      </x:c>
      <x:c r="S112" s="94" t="str">
        <x:f>IF(OR(B112="",G112=""),"",COUNTIFS('13 Effectiveness Review'!$C$6:$C$155,B112,'13 Effectiveness Review'!$F$6:$F$155,G112,'13 Effectiveness Review'!$X$6:$X$155,"Closed — Effective"))</x:f>
      </x:c>
      <x:c r="T112" s="94" t="str">
        <x:f>IF(B112="","",IF(K112="","Not Assessed",IF(O112="Expired","Renewal Due",IF(L112=0,"Competent","Skill Gap"))))</x:f>
      </x:c>
      <x:c r="U112" s="94" t="str">
        <x:f>IFERROR(VLOOKUP(D112&amp;"|"&amp;E112&amp;"|"&amp;G112,'03 Position Requirements'!$A$6:$R$285,14,FALSE),"")</x:f>
      </x:c>
      <x:c r="V112" s="92"/>
      <x:c r="W112" s="85" t="str">
        <x:f>IF(B112="","",B112&amp;"|"&amp;COUNTIF($B$6:B112,B112))</x:f>
      </x:c>
      <x:c r="X112" s="85" t="str">
        <x:f>IF(B112="","",G112)</x:f>
      </x:c>
      <x:c r="Y112" s="85" t="str">
        <x:f>IF(B112="","",H112)</x:f>
      </x:c>
      <x:c r="Z112" s="85" t="str">
        <x:f>IF(B112="","",I112)</x:f>
      </x:c>
      <x:c r="AA112" s="85" t="str">
        <x:f>IF(B112="","",J112)</x:f>
      </x:c>
      <x:c r="AB112" s="85" t="str">
        <x:f>IF(B112="","",K112)</x:f>
      </x:c>
      <x:c r="AC112" s="85" t="str">
        <x:f>IF(B112="","",L112)</x:f>
      </x:c>
      <x:c r="AD112" s="85" t="str">
        <x:f>IF(B112="","",M112)</x:f>
      </x:c>
      <x:c r="AE112" s="85" t="str">
        <x:f>IF(B112="","",N112)</x:f>
      </x:c>
      <x:c r="AF112" s="85" t="str">
        <x:f>IF(B112="","",O112)</x:f>
      </x:c>
      <x:c r="AG112" s="85" t="str">
        <x:f>IF(B112="","",P112)</x:f>
      </x:c>
      <x:c r="AH112" s="85" t="str">
        <x:f>IF(B112="","",Q112)</x:f>
      </x:c>
      <x:c r="AI112" s="85" t="str">
        <x:f>IF(B112="","",R112)</x:f>
      </x:c>
      <x:c r="AJ112" s="85" t="str">
        <x:f>IF(B112="","",S112)</x:f>
      </x:c>
      <x:c r="AK112" s="85" t="str">
        <x:f>IF(B112="","",T112)</x:f>
      </x:c>
    </x:row>
    <x:row r="113">
      <x:c r="A113" s="94" t="str">
        <x:f>IF(OR(B113="",G113=""),"",B113&amp;"|"&amp;G113)</x:f>
      </x:c>
      <x:c r="B113" s="92"/>
      <x:c r="C113" s="94" t="str">
        <x:f>IFERROR(VLOOKUP(B113,'01 Staff Master'!$A$6:$M$105,2,FALSE),"")</x:f>
      </x:c>
      <x:c r="D113" s="94" t="str">
        <x:f>IFERROR(VLOOKUP(B113,'01 Staff Master'!$A$6:$M$105,3,FALSE),"")</x:f>
      </x:c>
      <x:c r="E113" s="94" t="str">
        <x:f>IFERROR(VLOOKUP(B113,'01 Staff Master'!$A$6:$M$105,5,FALSE),"")</x:f>
      </x:c>
      <x:c r="F113" s="94" t="str">
        <x:f>IFERROR(VLOOKUP(B113,'01 Staff Master'!$A$6:$M$105,4,FALSE),"")</x:f>
      </x:c>
      <x:c r="G113" s="92"/>
      <x:c r="H113" s="94" t="str">
        <x:f>IFERROR(VLOOKUP(G113,'02 Skill Catalogue'!$A$6:$K$95,4,FALSE),"")</x:f>
      </x:c>
      <x:c r="I113" s="94" t="str">
        <x:f>IFERROR(VLOOKUP(D113&amp;"|"&amp;E113&amp;"|"&amp;G113,'03 Position Requirements'!$A$6:$R$285,8,FALSE),"")</x:f>
      </x:c>
      <x:c r="J113" s="94" t="str">
        <x:f>IFERROR(VLOOKUP(D113&amp;"|"&amp;E113&amp;"|"&amp;G113,'03 Position Requirements'!$A$6:$R$285,10,FALSE),"")</x:f>
      </x:c>
      <x:c r="K113" s="94" t="str">
        <x:f>IF(OR(B113="",G113=""),"",IF(COUNTIFS('04 Assessment Log'!$D$6:$D$155,B113,'04 Assessment Log'!$J$6:$J$155,G113,'04 Assessment Log'!$AA$6:$AA$155,"Yes")=0,"",SUMIFS('04 Assessment Log'!$O$6:$O$155,'04 Assessment Log'!$D$6:$D$155,B113,'04 Assessment Log'!$J$6:$J$155,G113,'04 Assessment Log'!$AA$6:$AA$155,"Yes")))</x:f>
      </x:c>
      <x:c r="L113" s="94" t="str">
        <x:f>IF(OR(J113="",K113=""),"",MAX(J113-K113,0))</x:f>
      </x:c>
      <x:c r="M113" s="102" t="str">
        <x:f>IF(COUNTIFS('04 Assessment Log'!$D$6:$D$155,B113,'04 Assessment Log'!$J$6:$J$155,G113,'04 Assessment Log'!$AA$6:$AA$155,"Yes")=0,"",SUMIFS('04 Assessment Log'!$B$6:$B$155,'04 Assessment Log'!$D$6:$D$155,B113,'04 Assessment Log'!$J$6:$J$155,G113,'04 Assessment Log'!$AA$6:$AA$155,"Yes"))</x:f>
      </x:c>
      <x:c r="N113" s="102" t="str">
        <x:f>IF(M113="","",SUMIFS('04 Assessment Log'!$Z$6:$Z$155,'04 Assessment Log'!$D$6:$D$155,B113,'04 Assessment Log'!$J$6:$J$155,G113,'04 Assessment Log'!$AA$6:$AA$155,"Yes"))</x:f>
      </x:c>
      <x:c r="O113" s="94" t="str">
        <x:f>IF(M113="","Not Assessed",IF(N113&lt;TODAY(),"Expired",IF(N113&lt;=TODAY()+30,"Due Soon","Current")))</x:f>
        <x:v>Not Assessed</x:v>
      </x:c>
      <x:c r="P113" s="94" t="str">
        <x:f>IF(OR(B113="",G113=""),"",COUNTIFS('05 Development Actions'!$C$6:$C$105,B113,'05 Development Actions'!$G$6:$G$105,G113,'05 Development Actions'!$A$6:$A$105,"&lt;&gt;",'05 Development Actions'!$AB$6:$AB$105,"&lt;&gt;Closed — Competent",'05 Development Actions'!$AB$6:$AB$105,"&lt;&gt;Cancelled"))</x:f>
      </x:c>
      <x:c r="Q113" s="94" t="str">
        <x:f>IF(OR(B113="",G113=""),"",COUNTIFS('11 Training Attendance'!$E$6:$E$155,B113,'11 Training Attendance'!$K$6:$K$155,"Attended",'11 Training Attendance'!$I$6:$I$155,G113))</x:f>
      </x:c>
      <x:c r="R113" s="102" t="str">
        <x:f>IF(Q113=0,"",MAXIFS('11 Training Attendance'!$D$6:$D$155,'11 Training Attendance'!$E$6:$E$155,B113,'11 Training Attendance'!$K$6:$K$155,"Attended",'11 Training Attendance'!$I$6:$I$155,G113))</x:f>
      </x:c>
      <x:c r="S113" s="94" t="str">
        <x:f>IF(OR(B113="",G113=""),"",COUNTIFS('13 Effectiveness Review'!$C$6:$C$155,B113,'13 Effectiveness Review'!$F$6:$F$155,G113,'13 Effectiveness Review'!$X$6:$X$155,"Closed — Effective"))</x:f>
      </x:c>
      <x:c r="T113" s="94" t="str">
        <x:f>IF(B113="","",IF(K113="","Not Assessed",IF(O113="Expired","Renewal Due",IF(L113=0,"Competent","Skill Gap"))))</x:f>
      </x:c>
      <x:c r="U113" s="94" t="str">
        <x:f>IFERROR(VLOOKUP(D113&amp;"|"&amp;E113&amp;"|"&amp;G113,'03 Position Requirements'!$A$6:$R$285,14,FALSE),"")</x:f>
      </x:c>
      <x:c r="V113" s="92"/>
      <x:c r="W113" s="85" t="str">
        <x:f>IF(B113="","",B113&amp;"|"&amp;COUNTIF($B$6:B113,B113))</x:f>
      </x:c>
      <x:c r="X113" s="85" t="str">
        <x:f>IF(B113="","",G113)</x:f>
      </x:c>
      <x:c r="Y113" s="85" t="str">
        <x:f>IF(B113="","",H113)</x:f>
      </x:c>
      <x:c r="Z113" s="85" t="str">
        <x:f>IF(B113="","",I113)</x:f>
      </x:c>
      <x:c r="AA113" s="85" t="str">
        <x:f>IF(B113="","",J113)</x:f>
      </x:c>
      <x:c r="AB113" s="85" t="str">
        <x:f>IF(B113="","",K113)</x:f>
      </x:c>
      <x:c r="AC113" s="85" t="str">
        <x:f>IF(B113="","",L113)</x:f>
      </x:c>
      <x:c r="AD113" s="85" t="str">
        <x:f>IF(B113="","",M113)</x:f>
      </x:c>
      <x:c r="AE113" s="85" t="str">
        <x:f>IF(B113="","",N113)</x:f>
      </x:c>
      <x:c r="AF113" s="85" t="str">
        <x:f>IF(B113="","",O113)</x:f>
      </x:c>
      <x:c r="AG113" s="85" t="str">
        <x:f>IF(B113="","",P113)</x:f>
      </x:c>
      <x:c r="AH113" s="85" t="str">
        <x:f>IF(B113="","",Q113)</x:f>
      </x:c>
      <x:c r="AI113" s="85" t="str">
        <x:f>IF(B113="","",R113)</x:f>
      </x:c>
      <x:c r="AJ113" s="85" t="str">
        <x:f>IF(B113="","",S113)</x:f>
      </x:c>
      <x:c r="AK113" s="85" t="str">
        <x:f>IF(B113="","",T113)</x:f>
      </x:c>
    </x:row>
    <x:row r="114">
      <x:c r="A114" s="94" t="str">
        <x:f>IF(OR(B114="",G114=""),"",B114&amp;"|"&amp;G114)</x:f>
      </x:c>
      <x:c r="B114" s="92"/>
      <x:c r="C114" s="94" t="str">
        <x:f>IFERROR(VLOOKUP(B114,'01 Staff Master'!$A$6:$M$105,2,FALSE),"")</x:f>
      </x:c>
      <x:c r="D114" s="94" t="str">
        <x:f>IFERROR(VLOOKUP(B114,'01 Staff Master'!$A$6:$M$105,3,FALSE),"")</x:f>
      </x:c>
      <x:c r="E114" s="94" t="str">
        <x:f>IFERROR(VLOOKUP(B114,'01 Staff Master'!$A$6:$M$105,5,FALSE),"")</x:f>
      </x:c>
      <x:c r="F114" s="94" t="str">
        <x:f>IFERROR(VLOOKUP(B114,'01 Staff Master'!$A$6:$M$105,4,FALSE),"")</x:f>
      </x:c>
      <x:c r="G114" s="92"/>
      <x:c r="H114" s="94" t="str">
        <x:f>IFERROR(VLOOKUP(G114,'02 Skill Catalogue'!$A$6:$K$95,4,FALSE),"")</x:f>
      </x:c>
      <x:c r="I114" s="94" t="str">
        <x:f>IFERROR(VLOOKUP(D114&amp;"|"&amp;E114&amp;"|"&amp;G114,'03 Position Requirements'!$A$6:$R$285,8,FALSE),"")</x:f>
      </x:c>
      <x:c r="J114" s="94" t="str">
        <x:f>IFERROR(VLOOKUP(D114&amp;"|"&amp;E114&amp;"|"&amp;G114,'03 Position Requirements'!$A$6:$R$285,10,FALSE),"")</x:f>
      </x:c>
      <x:c r="K114" s="94" t="str">
        <x:f>IF(OR(B114="",G114=""),"",IF(COUNTIFS('04 Assessment Log'!$D$6:$D$155,B114,'04 Assessment Log'!$J$6:$J$155,G114,'04 Assessment Log'!$AA$6:$AA$155,"Yes")=0,"",SUMIFS('04 Assessment Log'!$O$6:$O$155,'04 Assessment Log'!$D$6:$D$155,B114,'04 Assessment Log'!$J$6:$J$155,G114,'04 Assessment Log'!$AA$6:$AA$155,"Yes")))</x:f>
      </x:c>
      <x:c r="L114" s="94" t="str">
        <x:f>IF(OR(J114="",K114=""),"",MAX(J114-K114,0))</x:f>
      </x:c>
      <x:c r="M114" s="102" t="str">
        <x:f>IF(COUNTIFS('04 Assessment Log'!$D$6:$D$155,B114,'04 Assessment Log'!$J$6:$J$155,G114,'04 Assessment Log'!$AA$6:$AA$155,"Yes")=0,"",SUMIFS('04 Assessment Log'!$B$6:$B$155,'04 Assessment Log'!$D$6:$D$155,B114,'04 Assessment Log'!$J$6:$J$155,G114,'04 Assessment Log'!$AA$6:$AA$155,"Yes"))</x:f>
      </x:c>
      <x:c r="N114" s="102" t="str">
        <x:f>IF(M114="","",SUMIFS('04 Assessment Log'!$Z$6:$Z$155,'04 Assessment Log'!$D$6:$D$155,B114,'04 Assessment Log'!$J$6:$J$155,G114,'04 Assessment Log'!$AA$6:$AA$155,"Yes"))</x:f>
      </x:c>
      <x:c r="O114" s="94" t="str">
        <x:f>IF(M114="","Not Assessed",IF(N114&lt;TODAY(),"Expired",IF(N114&lt;=TODAY()+30,"Due Soon","Current")))</x:f>
        <x:v>Not Assessed</x:v>
      </x:c>
      <x:c r="P114" s="94" t="str">
        <x:f>IF(OR(B114="",G114=""),"",COUNTIFS('05 Development Actions'!$C$6:$C$105,B114,'05 Development Actions'!$G$6:$G$105,G114,'05 Development Actions'!$A$6:$A$105,"&lt;&gt;",'05 Development Actions'!$AB$6:$AB$105,"&lt;&gt;Closed — Competent",'05 Development Actions'!$AB$6:$AB$105,"&lt;&gt;Cancelled"))</x:f>
      </x:c>
      <x:c r="Q114" s="94" t="str">
        <x:f>IF(OR(B114="",G114=""),"",COUNTIFS('11 Training Attendance'!$E$6:$E$155,B114,'11 Training Attendance'!$K$6:$K$155,"Attended",'11 Training Attendance'!$I$6:$I$155,G114))</x:f>
      </x:c>
      <x:c r="R114" s="102" t="str">
        <x:f>IF(Q114=0,"",MAXIFS('11 Training Attendance'!$D$6:$D$155,'11 Training Attendance'!$E$6:$E$155,B114,'11 Training Attendance'!$K$6:$K$155,"Attended",'11 Training Attendance'!$I$6:$I$155,G114))</x:f>
      </x:c>
      <x:c r="S114" s="94" t="str">
        <x:f>IF(OR(B114="",G114=""),"",COUNTIFS('13 Effectiveness Review'!$C$6:$C$155,B114,'13 Effectiveness Review'!$F$6:$F$155,G114,'13 Effectiveness Review'!$X$6:$X$155,"Closed — Effective"))</x:f>
      </x:c>
      <x:c r="T114" s="94" t="str">
        <x:f>IF(B114="","",IF(K114="","Not Assessed",IF(O114="Expired","Renewal Due",IF(L114=0,"Competent","Skill Gap"))))</x:f>
      </x:c>
      <x:c r="U114" s="94" t="str">
        <x:f>IFERROR(VLOOKUP(D114&amp;"|"&amp;E114&amp;"|"&amp;G114,'03 Position Requirements'!$A$6:$R$285,14,FALSE),"")</x:f>
      </x:c>
      <x:c r="V114" s="92"/>
      <x:c r="W114" s="85" t="str">
        <x:f>IF(B114="","",B114&amp;"|"&amp;COUNTIF($B$6:B114,B114))</x:f>
      </x:c>
      <x:c r="X114" s="85" t="str">
        <x:f>IF(B114="","",G114)</x:f>
      </x:c>
      <x:c r="Y114" s="85" t="str">
        <x:f>IF(B114="","",H114)</x:f>
      </x:c>
      <x:c r="Z114" s="85" t="str">
        <x:f>IF(B114="","",I114)</x:f>
      </x:c>
      <x:c r="AA114" s="85" t="str">
        <x:f>IF(B114="","",J114)</x:f>
      </x:c>
      <x:c r="AB114" s="85" t="str">
        <x:f>IF(B114="","",K114)</x:f>
      </x:c>
      <x:c r="AC114" s="85" t="str">
        <x:f>IF(B114="","",L114)</x:f>
      </x:c>
      <x:c r="AD114" s="85" t="str">
        <x:f>IF(B114="","",M114)</x:f>
      </x:c>
      <x:c r="AE114" s="85" t="str">
        <x:f>IF(B114="","",N114)</x:f>
      </x:c>
      <x:c r="AF114" s="85" t="str">
        <x:f>IF(B114="","",O114)</x:f>
      </x:c>
      <x:c r="AG114" s="85" t="str">
        <x:f>IF(B114="","",P114)</x:f>
      </x:c>
      <x:c r="AH114" s="85" t="str">
        <x:f>IF(B114="","",Q114)</x:f>
      </x:c>
      <x:c r="AI114" s="85" t="str">
        <x:f>IF(B114="","",R114)</x:f>
      </x:c>
      <x:c r="AJ114" s="85" t="str">
        <x:f>IF(B114="","",S114)</x:f>
      </x:c>
      <x:c r="AK114" s="85" t="str">
        <x:f>IF(B114="","",T114)</x:f>
      </x:c>
    </x:row>
    <x:row r="115">
      <x:c r="A115" s="94" t="str">
        <x:f>IF(OR(B115="",G115=""),"",B115&amp;"|"&amp;G115)</x:f>
      </x:c>
      <x:c r="B115" s="92"/>
      <x:c r="C115" s="94" t="str">
        <x:f>IFERROR(VLOOKUP(B115,'01 Staff Master'!$A$6:$M$105,2,FALSE),"")</x:f>
      </x:c>
      <x:c r="D115" s="94" t="str">
        <x:f>IFERROR(VLOOKUP(B115,'01 Staff Master'!$A$6:$M$105,3,FALSE),"")</x:f>
      </x:c>
      <x:c r="E115" s="94" t="str">
        <x:f>IFERROR(VLOOKUP(B115,'01 Staff Master'!$A$6:$M$105,5,FALSE),"")</x:f>
      </x:c>
      <x:c r="F115" s="94" t="str">
        <x:f>IFERROR(VLOOKUP(B115,'01 Staff Master'!$A$6:$M$105,4,FALSE),"")</x:f>
      </x:c>
      <x:c r="G115" s="92"/>
      <x:c r="H115" s="94" t="str">
        <x:f>IFERROR(VLOOKUP(G115,'02 Skill Catalogue'!$A$6:$K$95,4,FALSE),"")</x:f>
      </x:c>
      <x:c r="I115" s="94" t="str">
        <x:f>IFERROR(VLOOKUP(D115&amp;"|"&amp;E115&amp;"|"&amp;G115,'03 Position Requirements'!$A$6:$R$285,8,FALSE),"")</x:f>
      </x:c>
      <x:c r="J115" s="94" t="str">
        <x:f>IFERROR(VLOOKUP(D115&amp;"|"&amp;E115&amp;"|"&amp;G115,'03 Position Requirements'!$A$6:$R$285,10,FALSE),"")</x:f>
      </x:c>
      <x:c r="K115" s="94" t="str">
        <x:f>IF(OR(B115="",G115=""),"",IF(COUNTIFS('04 Assessment Log'!$D$6:$D$155,B115,'04 Assessment Log'!$J$6:$J$155,G115,'04 Assessment Log'!$AA$6:$AA$155,"Yes")=0,"",SUMIFS('04 Assessment Log'!$O$6:$O$155,'04 Assessment Log'!$D$6:$D$155,B115,'04 Assessment Log'!$J$6:$J$155,G115,'04 Assessment Log'!$AA$6:$AA$155,"Yes")))</x:f>
      </x:c>
      <x:c r="L115" s="94" t="str">
        <x:f>IF(OR(J115="",K115=""),"",MAX(J115-K115,0))</x:f>
      </x:c>
      <x:c r="M115" s="102" t="str">
        <x:f>IF(COUNTIFS('04 Assessment Log'!$D$6:$D$155,B115,'04 Assessment Log'!$J$6:$J$155,G115,'04 Assessment Log'!$AA$6:$AA$155,"Yes")=0,"",SUMIFS('04 Assessment Log'!$B$6:$B$155,'04 Assessment Log'!$D$6:$D$155,B115,'04 Assessment Log'!$J$6:$J$155,G115,'04 Assessment Log'!$AA$6:$AA$155,"Yes"))</x:f>
      </x:c>
      <x:c r="N115" s="102" t="str">
        <x:f>IF(M115="","",SUMIFS('04 Assessment Log'!$Z$6:$Z$155,'04 Assessment Log'!$D$6:$D$155,B115,'04 Assessment Log'!$J$6:$J$155,G115,'04 Assessment Log'!$AA$6:$AA$155,"Yes"))</x:f>
      </x:c>
      <x:c r="O115" s="94" t="str">
        <x:f>IF(M115="","Not Assessed",IF(N115&lt;TODAY(),"Expired",IF(N115&lt;=TODAY()+30,"Due Soon","Current")))</x:f>
        <x:v>Not Assessed</x:v>
      </x:c>
      <x:c r="P115" s="94" t="str">
        <x:f>IF(OR(B115="",G115=""),"",COUNTIFS('05 Development Actions'!$C$6:$C$105,B115,'05 Development Actions'!$G$6:$G$105,G115,'05 Development Actions'!$A$6:$A$105,"&lt;&gt;",'05 Development Actions'!$AB$6:$AB$105,"&lt;&gt;Closed — Competent",'05 Development Actions'!$AB$6:$AB$105,"&lt;&gt;Cancelled"))</x:f>
      </x:c>
      <x:c r="Q115" s="94" t="str">
        <x:f>IF(OR(B115="",G115=""),"",COUNTIFS('11 Training Attendance'!$E$6:$E$155,B115,'11 Training Attendance'!$K$6:$K$155,"Attended",'11 Training Attendance'!$I$6:$I$155,G115))</x:f>
      </x:c>
      <x:c r="R115" s="102" t="str">
        <x:f>IF(Q115=0,"",MAXIFS('11 Training Attendance'!$D$6:$D$155,'11 Training Attendance'!$E$6:$E$155,B115,'11 Training Attendance'!$K$6:$K$155,"Attended",'11 Training Attendance'!$I$6:$I$155,G115))</x:f>
      </x:c>
      <x:c r="S115" s="94" t="str">
        <x:f>IF(OR(B115="",G115=""),"",COUNTIFS('13 Effectiveness Review'!$C$6:$C$155,B115,'13 Effectiveness Review'!$F$6:$F$155,G115,'13 Effectiveness Review'!$X$6:$X$155,"Closed — Effective"))</x:f>
      </x:c>
      <x:c r="T115" s="94" t="str">
        <x:f>IF(B115="","",IF(K115="","Not Assessed",IF(O115="Expired","Renewal Due",IF(L115=0,"Competent","Skill Gap"))))</x:f>
      </x:c>
      <x:c r="U115" s="94" t="str">
        <x:f>IFERROR(VLOOKUP(D115&amp;"|"&amp;E115&amp;"|"&amp;G115,'03 Position Requirements'!$A$6:$R$285,14,FALSE),"")</x:f>
      </x:c>
      <x:c r="V115" s="92"/>
      <x:c r="W115" s="85" t="str">
        <x:f>IF(B115="","",B115&amp;"|"&amp;COUNTIF($B$6:B115,B115))</x:f>
      </x:c>
      <x:c r="X115" s="85" t="str">
        <x:f>IF(B115="","",G115)</x:f>
      </x:c>
      <x:c r="Y115" s="85" t="str">
        <x:f>IF(B115="","",H115)</x:f>
      </x:c>
      <x:c r="Z115" s="85" t="str">
        <x:f>IF(B115="","",I115)</x:f>
      </x:c>
      <x:c r="AA115" s="85" t="str">
        <x:f>IF(B115="","",J115)</x:f>
      </x:c>
      <x:c r="AB115" s="85" t="str">
        <x:f>IF(B115="","",K115)</x:f>
      </x:c>
      <x:c r="AC115" s="85" t="str">
        <x:f>IF(B115="","",L115)</x:f>
      </x:c>
      <x:c r="AD115" s="85" t="str">
        <x:f>IF(B115="","",M115)</x:f>
      </x:c>
      <x:c r="AE115" s="85" t="str">
        <x:f>IF(B115="","",N115)</x:f>
      </x:c>
      <x:c r="AF115" s="85" t="str">
        <x:f>IF(B115="","",O115)</x:f>
      </x:c>
      <x:c r="AG115" s="85" t="str">
        <x:f>IF(B115="","",P115)</x:f>
      </x:c>
      <x:c r="AH115" s="85" t="str">
        <x:f>IF(B115="","",Q115)</x:f>
      </x:c>
      <x:c r="AI115" s="85" t="str">
        <x:f>IF(B115="","",R115)</x:f>
      </x:c>
      <x:c r="AJ115" s="85" t="str">
        <x:f>IF(B115="","",S115)</x:f>
      </x:c>
      <x:c r="AK115" s="85" t="str">
        <x:f>IF(B115="","",T115)</x:f>
      </x:c>
    </x:row>
    <x:row r="116">
      <x:c r="A116" s="94" t="str">
        <x:f>IF(OR(B116="",G116=""),"",B116&amp;"|"&amp;G116)</x:f>
      </x:c>
      <x:c r="B116" s="92"/>
      <x:c r="C116" s="94" t="str">
        <x:f>IFERROR(VLOOKUP(B116,'01 Staff Master'!$A$6:$M$105,2,FALSE),"")</x:f>
      </x:c>
      <x:c r="D116" s="94" t="str">
        <x:f>IFERROR(VLOOKUP(B116,'01 Staff Master'!$A$6:$M$105,3,FALSE),"")</x:f>
      </x:c>
      <x:c r="E116" s="94" t="str">
        <x:f>IFERROR(VLOOKUP(B116,'01 Staff Master'!$A$6:$M$105,5,FALSE),"")</x:f>
      </x:c>
      <x:c r="F116" s="94" t="str">
        <x:f>IFERROR(VLOOKUP(B116,'01 Staff Master'!$A$6:$M$105,4,FALSE),"")</x:f>
      </x:c>
      <x:c r="G116" s="92"/>
      <x:c r="H116" s="94" t="str">
        <x:f>IFERROR(VLOOKUP(G116,'02 Skill Catalogue'!$A$6:$K$95,4,FALSE),"")</x:f>
      </x:c>
      <x:c r="I116" s="94" t="str">
        <x:f>IFERROR(VLOOKUP(D116&amp;"|"&amp;E116&amp;"|"&amp;G116,'03 Position Requirements'!$A$6:$R$285,8,FALSE),"")</x:f>
      </x:c>
      <x:c r="J116" s="94" t="str">
        <x:f>IFERROR(VLOOKUP(D116&amp;"|"&amp;E116&amp;"|"&amp;G116,'03 Position Requirements'!$A$6:$R$285,10,FALSE),"")</x:f>
      </x:c>
      <x:c r="K116" s="94" t="str">
        <x:f>IF(OR(B116="",G116=""),"",IF(COUNTIFS('04 Assessment Log'!$D$6:$D$155,B116,'04 Assessment Log'!$J$6:$J$155,G116,'04 Assessment Log'!$AA$6:$AA$155,"Yes")=0,"",SUMIFS('04 Assessment Log'!$O$6:$O$155,'04 Assessment Log'!$D$6:$D$155,B116,'04 Assessment Log'!$J$6:$J$155,G116,'04 Assessment Log'!$AA$6:$AA$155,"Yes")))</x:f>
      </x:c>
      <x:c r="L116" s="94" t="str">
        <x:f>IF(OR(J116="",K116=""),"",MAX(J116-K116,0))</x:f>
      </x:c>
      <x:c r="M116" s="102" t="str">
        <x:f>IF(COUNTIFS('04 Assessment Log'!$D$6:$D$155,B116,'04 Assessment Log'!$J$6:$J$155,G116,'04 Assessment Log'!$AA$6:$AA$155,"Yes")=0,"",SUMIFS('04 Assessment Log'!$B$6:$B$155,'04 Assessment Log'!$D$6:$D$155,B116,'04 Assessment Log'!$J$6:$J$155,G116,'04 Assessment Log'!$AA$6:$AA$155,"Yes"))</x:f>
      </x:c>
      <x:c r="N116" s="102" t="str">
        <x:f>IF(M116="","",SUMIFS('04 Assessment Log'!$Z$6:$Z$155,'04 Assessment Log'!$D$6:$D$155,B116,'04 Assessment Log'!$J$6:$J$155,G116,'04 Assessment Log'!$AA$6:$AA$155,"Yes"))</x:f>
      </x:c>
      <x:c r="O116" s="94" t="str">
        <x:f>IF(M116="","Not Assessed",IF(N116&lt;TODAY(),"Expired",IF(N116&lt;=TODAY()+30,"Due Soon","Current")))</x:f>
        <x:v>Not Assessed</x:v>
      </x:c>
      <x:c r="P116" s="94" t="str">
        <x:f>IF(OR(B116="",G116=""),"",COUNTIFS('05 Development Actions'!$C$6:$C$105,B116,'05 Development Actions'!$G$6:$G$105,G116,'05 Development Actions'!$A$6:$A$105,"&lt;&gt;",'05 Development Actions'!$AB$6:$AB$105,"&lt;&gt;Closed — Competent",'05 Development Actions'!$AB$6:$AB$105,"&lt;&gt;Cancelled"))</x:f>
      </x:c>
      <x:c r="Q116" s="94" t="str">
        <x:f>IF(OR(B116="",G116=""),"",COUNTIFS('11 Training Attendance'!$E$6:$E$155,B116,'11 Training Attendance'!$K$6:$K$155,"Attended",'11 Training Attendance'!$I$6:$I$155,G116))</x:f>
      </x:c>
      <x:c r="R116" s="102" t="str">
        <x:f>IF(Q116=0,"",MAXIFS('11 Training Attendance'!$D$6:$D$155,'11 Training Attendance'!$E$6:$E$155,B116,'11 Training Attendance'!$K$6:$K$155,"Attended",'11 Training Attendance'!$I$6:$I$155,G116))</x:f>
      </x:c>
      <x:c r="S116" s="94" t="str">
        <x:f>IF(OR(B116="",G116=""),"",COUNTIFS('13 Effectiveness Review'!$C$6:$C$155,B116,'13 Effectiveness Review'!$F$6:$F$155,G116,'13 Effectiveness Review'!$X$6:$X$155,"Closed — Effective"))</x:f>
      </x:c>
      <x:c r="T116" s="94" t="str">
        <x:f>IF(B116="","",IF(K116="","Not Assessed",IF(O116="Expired","Renewal Due",IF(L116=0,"Competent","Skill Gap"))))</x:f>
      </x:c>
      <x:c r="U116" s="94" t="str">
        <x:f>IFERROR(VLOOKUP(D116&amp;"|"&amp;E116&amp;"|"&amp;G116,'03 Position Requirements'!$A$6:$R$285,14,FALSE),"")</x:f>
      </x:c>
      <x:c r="V116" s="92"/>
      <x:c r="W116" s="85" t="str">
        <x:f>IF(B116="","",B116&amp;"|"&amp;COUNTIF($B$6:B116,B116))</x:f>
      </x:c>
      <x:c r="X116" s="85" t="str">
        <x:f>IF(B116="","",G116)</x:f>
      </x:c>
      <x:c r="Y116" s="85" t="str">
        <x:f>IF(B116="","",H116)</x:f>
      </x:c>
      <x:c r="Z116" s="85" t="str">
        <x:f>IF(B116="","",I116)</x:f>
      </x:c>
      <x:c r="AA116" s="85" t="str">
        <x:f>IF(B116="","",J116)</x:f>
      </x:c>
      <x:c r="AB116" s="85" t="str">
        <x:f>IF(B116="","",K116)</x:f>
      </x:c>
      <x:c r="AC116" s="85" t="str">
        <x:f>IF(B116="","",L116)</x:f>
      </x:c>
      <x:c r="AD116" s="85" t="str">
        <x:f>IF(B116="","",M116)</x:f>
      </x:c>
      <x:c r="AE116" s="85" t="str">
        <x:f>IF(B116="","",N116)</x:f>
      </x:c>
      <x:c r="AF116" s="85" t="str">
        <x:f>IF(B116="","",O116)</x:f>
      </x:c>
      <x:c r="AG116" s="85" t="str">
        <x:f>IF(B116="","",P116)</x:f>
      </x:c>
      <x:c r="AH116" s="85" t="str">
        <x:f>IF(B116="","",Q116)</x:f>
      </x:c>
      <x:c r="AI116" s="85" t="str">
        <x:f>IF(B116="","",R116)</x:f>
      </x:c>
      <x:c r="AJ116" s="85" t="str">
        <x:f>IF(B116="","",S116)</x:f>
      </x:c>
      <x:c r="AK116" s="85" t="str">
        <x:f>IF(B116="","",T116)</x:f>
      </x:c>
    </x:row>
    <x:row r="117">
      <x:c r="A117" s="94" t="str">
        <x:f>IF(OR(B117="",G117=""),"",B117&amp;"|"&amp;G117)</x:f>
      </x:c>
      <x:c r="B117" s="92"/>
      <x:c r="C117" s="94" t="str">
        <x:f>IFERROR(VLOOKUP(B117,'01 Staff Master'!$A$6:$M$105,2,FALSE),"")</x:f>
      </x:c>
      <x:c r="D117" s="94" t="str">
        <x:f>IFERROR(VLOOKUP(B117,'01 Staff Master'!$A$6:$M$105,3,FALSE),"")</x:f>
      </x:c>
      <x:c r="E117" s="94" t="str">
        <x:f>IFERROR(VLOOKUP(B117,'01 Staff Master'!$A$6:$M$105,5,FALSE),"")</x:f>
      </x:c>
      <x:c r="F117" s="94" t="str">
        <x:f>IFERROR(VLOOKUP(B117,'01 Staff Master'!$A$6:$M$105,4,FALSE),"")</x:f>
      </x:c>
      <x:c r="G117" s="92"/>
      <x:c r="H117" s="94" t="str">
        <x:f>IFERROR(VLOOKUP(G117,'02 Skill Catalogue'!$A$6:$K$95,4,FALSE),"")</x:f>
      </x:c>
      <x:c r="I117" s="94" t="str">
        <x:f>IFERROR(VLOOKUP(D117&amp;"|"&amp;E117&amp;"|"&amp;G117,'03 Position Requirements'!$A$6:$R$285,8,FALSE),"")</x:f>
      </x:c>
      <x:c r="J117" s="94" t="str">
        <x:f>IFERROR(VLOOKUP(D117&amp;"|"&amp;E117&amp;"|"&amp;G117,'03 Position Requirements'!$A$6:$R$285,10,FALSE),"")</x:f>
      </x:c>
      <x:c r="K117" s="94" t="str">
        <x:f>IF(OR(B117="",G117=""),"",IF(COUNTIFS('04 Assessment Log'!$D$6:$D$155,B117,'04 Assessment Log'!$J$6:$J$155,G117,'04 Assessment Log'!$AA$6:$AA$155,"Yes")=0,"",SUMIFS('04 Assessment Log'!$O$6:$O$155,'04 Assessment Log'!$D$6:$D$155,B117,'04 Assessment Log'!$J$6:$J$155,G117,'04 Assessment Log'!$AA$6:$AA$155,"Yes")))</x:f>
      </x:c>
      <x:c r="L117" s="94" t="str">
        <x:f>IF(OR(J117="",K117=""),"",MAX(J117-K117,0))</x:f>
      </x:c>
      <x:c r="M117" s="102" t="str">
        <x:f>IF(COUNTIFS('04 Assessment Log'!$D$6:$D$155,B117,'04 Assessment Log'!$J$6:$J$155,G117,'04 Assessment Log'!$AA$6:$AA$155,"Yes")=0,"",SUMIFS('04 Assessment Log'!$B$6:$B$155,'04 Assessment Log'!$D$6:$D$155,B117,'04 Assessment Log'!$J$6:$J$155,G117,'04 Assessment Log'!$AA$6:$AA$155,"Yes"))</x:f>
      </x:c>
      <x:c r="N117" s="102" t="str">
        <x:f>IF(M117="","",SUMIFS('04 Assessment Log'!$Z$6:$Z$155,'04 Assessment Log'!$D$6:$D$155,B117,'04 Assessment Log'!$J$6:$J$155,G117,'04 Assessment Log'!$AA$6:$AA$155,"Yes"))</x:f>
      </x:c>
      <x:c r="O117" s="94" t="str">
        <x:f>IF(M117="","Not Assessed",IF(N117&lt;TODAY(),"Expired",IF(N117&lt;=TODAY()+30,"Due Soon","Current")))</x:f>
        <x:v>Not Assessed</x:v>
      </x:c>
      <x:c r="P117" s="94" t="str">
        <x:f>IF(OR(B117="",G117=""),"",COUNTIFS('05 Development Actions'!$C$6:$C$105,B117,'05 Development Actions'!$G$6:$G$105,G117,'05 Development Actions'!$A$6:$A$105,"&lt;&gt;",'05 Development Actions'!$AB$6:$AB$105,"&lt;&gt;Closed — Competent",'05 Development Actions'!$AB$6:$AB$105,"&lt;&gt;Cancelled"))</x:f>
      </x:c>
      <x:c r="Q117" s="94" t="str">
        <x:f>IF(OR(B117="",G117=""),"",COUNTIFS('11 Training Attendance'!$E$6:$E$155,B117,'11 Training Attendance'!$K$6:$K$155,"Attended",'11 Training Attendance'!$I$6:$I$155,G117))</x:f>
      </x:c>
      <x:c r="R117" s="102" t="str">
        <x:f>IF(Q117=0,"",MAXIFS('11 Training Attendance'!$D$6:$D$155,'11 Training Attendance'!$E$6:$E$155,B117,'11 Training Attendance'!$K$6:$K$155,"Attended",'11 Training Attendance'!$I$6:$I$155,G117))</x:f>
      </x:c>
      <x:c r="S117" s="94" t="str">
        <x:f>IF(OR(B117="",G117=""),"",COUNTIFS('13 Effectiveness Review'!$C$6:$C$155,B117,'13 Effectiveness Review'!$F$6:$F$155,G117,'13 Effectiveness Review'!$X$6:$X$155,"Closed — Effective"))</x:f>
      </x:c>
      <x:c r="T117" s="94" t="str">
        <x:f>IF(B117="","",IF(K117="","Not Assessed",IF(O117="Expired","Renewal Due",IF(L117=0,"Competent","Skill Gap"))))</x:f>
      </x:c>
      <x:c r="U117" s="94" t="str">
        <x:f>IFERROR(VLOOKUP(D117&amp;"|"&amp;E117&amp;"|"&amp;G117,'03 Position Requirements'!$A$6:$R$285,14,FALSE),"")</x:f>
      </x:c>
      <x:c r="V117" s="92"/>
      <x:c r="W117" s="85" t="str">
        <x:f>IF(B117="","",B117&amp;"|"&amp;COUNTIF($B$6:B117,B117))</x:f>
      </x:c>
      <x:c r="X117" s="85" t="str">
        <x:f>IF(B117="","",G117)</x:f>
      </x:c>
      <x:c r="Y117" s="85" t="str">
        <x:f>IF(B117="","",H117)</x:f>
      </x:c>
      <x:c r="Z117" s="85" t="str">
        <x:f>IF(B117="","",I117)</x:f>
      </x:c>
      <x:c r="AA117" s="85" t="str">
        <x:f>IF(B117="","",J117)</x:f>
      </x:c>
      <x:c r="AB117" s="85" t="str">
        <x:f>IF(B117="","",K117)</x:f>
      </x:c>
      <x:c r="AC117" s="85" t="str">
        <x:f>IF(B117="","",L117)</x:f>
      </x:c>
      <x:c r="AD117" s="85" t="str">
        <x:f>IF(B117="","",M117)</x:f>
      </x:c>
      <x:c r="AE117" s="85" t="str">
        <x:f>IF(B117="","",N117)</x:f>
      </x:c>
      <x:c r="AF117" s="85" t="str">
        <x:f>IF(B117="","",O117)</x:f>
      </x:c>
      <x:c r="AG117" s="85" t="str">
        <x:f>IF(B117="","",P117)</x:f>
      </x:c>
      <x:c r="AH117" s="85" t="str">
        <x:f>IF(B117="","",Q117)</x:f>
      </x:c>
      <x:c r="AI117" s="85" t="str">
        <x:f>IF(B117="","",R117)</x:f>
      </x:c>
      <x:c r="AJ117" s="85" t="str">
        <x:f>IF(B117="","",S117)</x:f>
      </x:c>
      <x:c r="AK117" s="85" t="str">
        <x:f>IF(B117="","",T117)</x:f>
      </x:c>
    </x:row>
    <x:row r="118">
      <x:c r="A118" s="94" t="str">
        <x:f>IF(OR(B118="",G118=""),"",B118&amp;"|"&amp;G118)</x:f>
      </x:c>
      <x:c r="B118" s="92"/>
      <x:c r="C118" s="94" t="str">
        <x:f>IFERROR(VLOOKUP(B118,'01 Staff Master'!$A$6:$M$105,2,FALSE),"")</x:f>
      </x:c>
      <x:c r="D118" s="94" t="str">
        <x:f>IFERROR(VLOOKUP(B118,'01 Staff Master'!$A$6:$M$105,3,FALSE),"")</x:f>
      </x:c>
      <x:c r="E118" s="94" t="str">
        <x:f>IFERROR(VLOOKUP(B118,'01 Staff Master'!$A$6:$M$105,5,FALSE),"")</x:f>
      </x:c>
      <x:c r="F118" s="94" t="str">
        <x:f>IFERROR(VLOOKUP(B118,'01 Staff Master'!$A$6:$M$105,4,FALSE),"")</x:f>
      </x:c>
      <x:c r="G118" s="92"/>
      <x:c r="H118" s="94" t="str">
        <x:f>IFERROR(VLOOKUP(G118,'02 Skill Catalogue'!$A$6:$K$95,4,FALSE),"")</x:f>
      </x:c>
      <x:c r="I118" s="94" t="str">
        <x:f>IFERROR(VLOOKUP(D118&amp;"|"&amp;E118&amp;"|"&amp;G118,'03 Position Requirements'!$A$6:$R$285,8,FALSE),"")</x:f>
      </x:c>
      <x:c r="J118" s="94" t="str">
        <x:f>IFERROR(VLOOKUP(D118&amp;"|"&amp;E118&amp;"|"&amp;G118,'03 Position Requirements'!$A$6:$R$285,10,FALSE),"")</x:f>
      </x:c>
      <x:c r="K118" s="94" t="str">
        <x:f>IF(OR(B118="",G118=""),"",IF(COUNTIFS('04 Assessment Log'!$D$6:$D$155,B118,'04 Assessment Log'!$J$6:$J$155,G118,'04 Assessment Log'!$AA$6:$AA$155,"Yes")=0,"",SUMIFS('04 Assessment Log'!$O$6:$O$155,'04 Assessment Log'!$D$6:$D$155,B118,'04 Assessment Log'!$J$6:$J$155,G118,'04 Assessment Log'!$AA$6:$AA$155,"Yes")))</x:f>
      </x:c>
      <x:c r="L118" s="94" t="str">
        <x:f>IF(OR(J118="",K118=""),"",MAX(J118-K118,0))</x:f>
      </x:c>
      <x:c r="M118" s="102" t="str">
        <x:f>IF(COUNTIFS('04 Assessment Log'!$D$6:$D$155,B118,'04 Assessment Log'!$J$6:$J$155,G118,'04 Assessment Log'!$AA$6:$AA$155,"Yes")=0,"",SUMIFS('04 Assessment Log'!$B$6:$B$155,'04 Assessment Log'!$D$6:$D$155,B118,'04 Assessment Log'!$J$6:$J$155,G118,'04 Assessment Log'!$AA$6:$AA$155,"Yes"))</x:f>
      </x:c>
      <x:c r="N118" s="102" t="str">
        <x:f>IF(M118="","",SUMIFS('04 Assessment Log'!$Z$6:$Z$155,'04 Assessment Log'!$D$6:$D$155,B118,'04 Assessment Log'!$J$6:$J$155,G118,'04 Assessment Log'!$AA$6:$AA$155,"Yes"))</x:f>
      </x:c>
      <x:c r="O118" s="94" t="str">
        <x:f>IF(M118="","Not Assessed",IF(N118&lt;TODAY(),"Expired",IF(N118&lt;=TODAY()+30,"Due Soon","Current")))</x:f>
        <x:v>Not Assessed</x:v>
      </x:c>
      <x:c r="P118" s="94" t="str">
        <x:f>IF(OR(B118="",G118=""),"",COUNTIFS('05 Development Actions'!$C$6:$C$105,B118,'05 Development Actions'!$G$6:$G$105,G118,'05 Development Actions'!$A$6:$A$105,"&lt;&gt;",'05 Development Actions'!$AB$6:$AB$105,"&lt;&gt;Closed — Competent",'05 Development Actions'!$AB$6:$AB$105,"&lt;&gt;Cancelled"))</x:f>
      </x:c>
      <x:c r="Q118" s="94" t="str">
        <x:f>IF(OR(B118="",G118=""),"",COUNTIFS('11 Training Attendance'!$E$6:$E$155,B118,'11 Training Attendance'!$K$6:$K$155,"Attended",'11 Training Attendance'!$I$6:$I$155,G118))</x:f>
      </x:c>
      <x:c r="R118" s="102" t="str">
        <x:f>IF(Q118=0,"",MAXIFS('11 Training Attendance'!$D$6:$D$155,'11 Training Attendance'!$E$6:$E$155,B118,'11 Training Attendance'!$K$6:$K$155,"Attended",'11 Training Attendance'!$I$6:$I$155,G118))</x:f>
      </x:c>
      <x:c r="S118" s="94" t="str">
        <x:f>IF(OR(B118="",G118=""),"",COUNTIFS('13 Effectiveness Review'!$C$6:$C$155,B118,'13 Effectiveness Review'!$F$6:$F$155,G118,'13 Effectiveness Review'!$X$6:$X$155,"Closed — Effective"))</x:f>
      </x:c>
      <x:c r="T118" s="94" t="str">
        <x:f>IF(B118="","",IF(K118="","Not Assessed",IF(O118="Expired","Renewal Due",IF(L118=0,"Competent","Skill Gap"))))</x:f>
      </x:c>
      <x:c r="U118" s="94" t="str">
        <x:f>IFERROR(VLOOKUP(D118&amp;"|"&amp;E118&amp;"|"&amp;G118,'03 Position Requirements'!$A$6:$R$285,14,FALSE),"")</x:f>
      </x:c>
      <x:c r="V118" s="92"/>
      <x:c r="W118" s="85" t="str">
        <x:f>IF(B118="","",B118&amp;"|"&amp;COUNTIF($B$6:B118,B118))</x:f>
      </x:c>
      <x:c r="X118" s="85" t="str">
        <x:f>IF(B118="","",G118)</x:f>
      </x:c>
      <x:c r="Y118" s="85" t="str">
        <x:f>IF(B118="","",H118)</x:f>
      </x:c>
      <x:c r="Z118" s="85" t="str">
        <x:f>IF(B118="","",I118)</x:f>
      </x:c>
      <x:c r="AA118" s="85" t="str">
        <x:f>IF(B118="","",J118)</x:f>
      </x:c>
      <x:c r="AB118" s="85" t="str">
        <x:f>IF(B118="","",K118)</x:f>
      </x:c>
      <x:c r="AC118" s="85" t="str">
        <x:f>IF(B118="","",L118)</x:f>
      </x:c>
      <x:c r="AD118" s="85" t="str">
        <x:f>IF(B118="","",M118)</x:f>
      </x:c>
      <x:c r="AE118" s="85" t="str">
        <x:f>IF(B118="","",N118)</x:f>
      </x:c>
      <x:c r="AF118" s="85" t="str">
        <x:f>IF(B118="","",O118)</x:f>
      </x:c>
      <x:c r="AG118" s="85" t="str">
        <x:f>IF(B118="","",P118)</x:f>
      </x:c>
      <x:c r="AH118" s="85" t="str">
        <x:f>IF(B118="","",Q118)</x:f>
      </x:c>
      <x:c r="AI118" s="85" t="str">
        <x:f>IF(B118="","",R118)</x:f>
      </x:c>
      <x:c r="AJ118" s="85" t="str">
        <x:f>IF(B118="","",S118)</x:f>
      </x:c>
      <x:c r="AK118" s="85" t="str">
        <x:f>IF(B118="","",T118)</x:f>
      </x:c>
    </x:row>
    <x:row r="119">
      <x:c r="A119" s="94" t="str">
        <x:f>IF(OR(B119="",G119=""),"",B119&amp;"|"&amp;G119)</x:f>
      </x:c>
      <x:c r="B119" s="92"/>
      <x:c r="C119" s="94" t="str">
        <x:f>IFERROR(VLOOKUP(B119,'01 Staff Master'!$A$6:$M$105,2,FALSE),"")</x:f>
      </x:c>
      <x:c r="D119" s="94" t="str">
        <x:f>IFERROR(VLOOKUP(B119,'01 Staff Master'!$A$6:$M$105,3,FALSE),"")</x:f>
      </x:c>
      <x:c r="E119" s="94" t="str">
        <x:f>IFERROR(VLOOKUP(B119,'01 Staff Master'!$A$6:$M$105,5,FALSE),"")</x:f>
      </x:c>
      <x:c r="F119" s="94" t="str">
        <x:f>IFERROR(VLOOKUP(B119,'01 Staff Master'!$A$6:$M$105,4,FALSE),"")</x:f>
      </x:c>
      <x:c r="G119" s="92"/>
      <x:c r="H119" s="94" t="str">
        <x:f>IFERROR(VLOOKUP(G119,'02 Skill Catalogue'!$A$6:$K$95,4,FALSE),"")</x:f>
      </x:c>
      <x:c r="I119" s="94" t="str">
        <x:f>IFERROR(VLOOKUP(D119&amp;"|"&amp;E119&amp;"|"&amp;G119,'03 Position Requirements'!$A$6:$R$285,8,FALSE),"")</x:f>
      </x:c>
      <x:c r="J119" s="94" t="str">
        <x:f>IFERROR(VLOOKUP(D119&amp;"|"&amp;E119&amp;"|"&amp;G119,'03 Position Requirements'!$A$6:$R$285,10,FALSE),"")</x:f>
      </x:c>
      <x:c r="K119" s="94" t="str">
        <x:f>IF(OR(B119="",G119=""),"",IF(COUNTIFS('04 Assessment Log'!$D$6:$D$155,B119,'04 Assessment Log'!$J$6:$J$155,G119,'04 Assessment Log'!$AA$6:$AA$155,"Yes")=0,"",SUMIFS('04 Assessment Log'!$O$6:$O$155,'04 Assessment Log'!$D$6:$D$155,B119,'04 Assessment Log'!$J$6:$J$155,G119,'04 Assessment Log'!$AA$6:$AA$155,"Yes")))</x:f>
      </x:c>
      <x:c r="L119" s="94" t="str">
        <x:f>IF(OR(J119="",K119=""),"",MAX(J119-K119,0))</x:f>
      </x:c>
      <x:c r="M119" s="102" t="str">
        <x:f>IF(COUNTIFS('04 Assessment Log'!$D$6:$D$155,B119,'04 Assessment Log'!$J$6:$J$155,G119,'04 Assessment Log'!$AA$6:$AA$155,"Yes")=0,"",SUMIFS('04 Assessment Log'!$B$6:$B$155,'04 Assessment Log'!$D$6:$D$155,B119,'04 Assessment Log'!$J$6:$J$155,G119,'04 Assessment Log'!$AA$6:$AA$155,"Yes"))</x:f>
      </x:c>
      <x:c r="N119" s="102" t="str">
        <x:f>IF(M119="","",SUMIFS('04 Assessment Log'!$Z$6:$Z$155,'04 Assessment Log'!$D$6:$D$155,B119,'04 Assessment Log'!$J$6:$J$155,G119,'04 Assessment Log'!$AA$6:$AA$155,"Yes"))</x:f>
      </x:c>
      <x:c r="O119" s="94" t="str">
        <x:f>IF(M119="","Not Assessed",IF(N119&lt;TODAY(),"Expired",IF(N119&lt;=TODAY()+30,"Due Soon","Current")))</x:f>
        <x:v>Not Assessed</x:v>
      </x:c>
      <x:c r="P119" s="94" t="str">
        <x:f>IF(OR(B119="",G119=""),"",COUNTIFS('05 Development Actions'!$C$6:$C$105,B119,'05 Development Actions'!$G$6:$G$105,G119,'05 Development Actions'!$A$6:$A$105,"&lt;&gt;",'05 Development Actions'!$AB$6:$AB$105,"&lt;&gt;Closed — Competent",'05 Development Actions'!$AB$6:$AB$105,"&lt;&gt;Cancelled"))</x:f>
      </x:c>
      <x:c r="Q119" s="94" t="str">
        <x:f>IF(OR(B119="",G119=""),"",COUNTIFS('11 Training Attendance'!$E$6:$E$155,B119,'11 Training Attendance'!$K$6:$K$155,"Attended",'11 Training Attendance'!$I$6:$I$155,G119))</x:f>
      </x:c>
      <x:c r="R119" s="102" t="str">
        <x:f>IF(Q119=0,"",MAXIFS('11 Training Attendance'!$D$6:$D$155,'11 Training Attendance'!$E$6:$E$155,B119,'11 Training Attendance'!$K$6:$K$155,"Attended",'11 Training Attendance'!$I$6:$I$155,G119))</x:f>
      </x:c>
      <x:c r="S119" s="94" t="str">
        <x:f>IF(OR(B119="",G119=""),"",COUNTIFS('13 Effectiveness Review'!$C$6:$C$155,B119,'13 Effectiveness Review'!$F$6:$F$155,G119,'13 Effectiveness Review'!$X$6:$X$155,"Closed — Effective"))</x:f>
      </x:c>
      <x:c r="T119" s="94" t="str">
        <x:f>IF(B119="","",IF(K119="","Not Assessed",IF(O119="Expired","Renewal Due",IF(L119=0,"Competent","Skill Gap"))))</x:f>
      </x:c>
      <x:c r="U119" s="94" t="str">
        <x:f>IFERROR(VLOOKUP(D119&amp;"|"&amp;E119&amp;"|"&amp;G119,'03 Position Requirements'!$A$6:$R$285,14,FALSE),"")</x:f>
      </x:c>
      <x:c r="V119" s="92"/>
      <x:c r="W119" s="85" t="str">
        <x:f>IF(B119="","",B119&amp;"|"&amp;COUNTIF($B$6:B119,B119))</x:f>
      </x:c>
      <x:c r="X119" s="85" t="str">
        <x:f>IF(B119="","",G119)</x:f>
      </x:c>
      <x:c r="Y119" s="85" t="str">
        <x:f>IF(B119="","",H119)</x:f>
      </x:c>
      <x:c r="Z119" s="85" t="str">
        <x:f>IF(B119="","",I119)</x:f>
      </x:c>
      <x:c r="AA119" s="85" t="str">
        <x:f>IF(B119="","",J119)</x:f>
      </x:c>
      <x:c r="AB119" s="85" t="str">
        <x:f>IF(B119="","",K119)</x:f>
      </x:c>
      <x:c r="AC119" s="85" t="str">
        <x:f>IF(B119="","",L119)</x:f>
      </x:c>
      <x:c r="AD119" s="85" t="str">
        <x:f>IF(B119="","",M119)</x:f>
      </x:c>
      <x:c r="AE119" s="85" t="str">
        <x:f>IF(B119="","",N119)</x:f>
      </x:c>
      <x:c r="AF119" s="85" t="str">
        <x:f>IF(B119="","",O119)</x:f>
      </x:c>
      <x:c r="AG119" s="85" t="str">
        <x:f>IF(B119="","",P119)</x:f>
      </x:c>
      <x:c r="AH119" s="85" t="str">
        <x:f>IF(B119="","",Q119)</x:f>
      </x:c>
      <x:c r="AI119" s="85" t="str">
        <x:f>IF(B119="","",R119)</x:f>
      </x:c>
      <x:c r="AJ119" s="85" t="str">
        <x:f>IF(B119="","",S119)</x:f>
      </x:c>
      <x:c r="AK119" s="85" t="str">
        <x:f>IF(B119="","",T119)</x:f>
      </x:c>
    </x:row>
    <x:row r="120">
      <x:c r="A120" s="94" t="str">
        <x:f>IF(OR(B120="",G120=""),"",B120&amp;"|"&amp;G120)</x:f>
      </x:c>
      <x:c r="B120" s="92"/>
      <x:c r="C120" s="94" t="str">
        <x:f>IFERROR(VLOOKUP(B120,'01 Staff Master'!$A$6:$M$105,2,FALSE),"")</x:f>
      </x:c>
      <x:c r="D120" s="94" t="str">
        <x:f>IFERROR(VLOOKUP(B120,'01 Staff Master'!$A$6:$M$105,3,FALSE),"")</x:f>
      </x:c>
      <x:c r="E120" s="94" t="str">
        <x:f>IFERROR(VLOOKUP(B120,'01 Staff Master'!$A$6:$M$105,5,FALSE),"")</x:f>
      </x:c>
      <x:c r="F120" s="94" t="str">
        <x:f>IFERROR(VLOOKUP(B120,'01 Staff Master'!$A$6:$M$105,4,FALSE),"")</x:f>
      </x:c>
      <x:c r="G120" s="92"/>
      <x:c r="H120" s="94" t="str">
        <x:f>IFERROR(VLOOKUP(G120,'02 Skill Catalogue'!$A$6:$K$95,4,FALSE),"")</x:f>
      </x:c>
      <x:c r="I120" s="94" t="str">
        <x:f>IFERROR(VLOOKUP(D120&amp;"|"&amp;E120&amp;"|"&amp;G120,'03 Position Requirements'!$A$6:$R$285,8,FALSE),"")</x:f>
      </x:c>
      <x:c r="J120" s="94" t="str">
        <x:f>IFERROR(VLOOKUP(D120&amp;"|"&amp;E120&amp;"|"&amp;G120,'03 Position Requirements'!$A$6:$R$285,10,FALSE),"")</x:f>
      </x:c>
      <x:c r="K120" s="94" t="str">
        <x:f>IF(OR(B120="",G120=""),"",IF(COUNTIFS('04 Assessment Log'!$D$6:$D$155,B120,'04 Assessment Log'!$J$6:$J$155,G120,'04 Assessment Log'!$AA$6:$AA$155,"Yes")=0,"",SUMIFS('04 Assessment Log'!$O$6:$O$155,'04 Assessment Log'!$D$6:$D$155,B120,'04 Assessment Log'!$J$6:$J$155,G120,'04 Assessment Log'!$AA$6:$AA$155,"Yes")))</x:f>
      </x:c>
      <x:c r="L120" s="94" t="str">
        <x:f>IF(OR(J120="",K120=""),"",MAX(J120-K120,0))</x:f>
      </x:c>
      <x:c r="M120" s="102" t="str">
        <x:f>IF(COUNTIFS('04 Assessment Log'!$D$6:$D$155,B120,'04 Assessment Log'!$J$6:$J$155,G120,'04 Assessment Log'!$AA$6:$AA$155,"Yes")=0,"",SUMIFS('04 Assessment Log'!$B$6:$B$155,'04 Assessment Log'!$D$6:$D$155,B120,'04 Assessment Log'!$J$6:$J$155,G120,'04 Assessment Log'!$AA$6:$AA$155,"Yes"))</x:f>
      </x:c>
      <x:c r="N120" s="102" t="str">
        <x:f>IF(M120="","",SUMIFS('04 Assessment Log'!$Z$6:$Z$155,'04 Assessment Log'!$D$6:$D$155,B120,'04 Assessment Log'!$J$6:$J$155,G120,'04 Assessment Log'!$AA$6:$AA$155,"Yes"))</x:f>
      </x:c>
      <x:c r="O120" s="94" t="str">
        <x:f>IF(M120="","Not Assessed",IF(N120&lt;TODAY(),"Expired",IF(N120&lt;=TODAY()+30,"Due Soon","Current")))</x:f>
        <x:v>Not Assessed</x:v>
      </x:c>
      <x:c r="P120" s="94" t="str">
        <x:f>IF(OR(B120="",G120=""),"",COUNTIFS('05 Development Actions'!$C$6:$C$105,B120,'05 Development Actions'!$G$6:$G$105,G120,'05 Development Actions'!$A$6:$A$105,"&lt;&gt;",'05 Development Actions'!$AB$6:$AB$105,"&lt;&gt;Closed — Competent",'05 Development Actions'!$AB$6:$AB$105,"&lt;&gt;Cancelled"))</x:f>
      </x:c>
      <x:c r="Q120" s="94" t="str">
        <x:f>IF(OR(B120="",G120=""),"",COUNTIFS('11 Training Attendance'!$E$6:$E$155,B120,'11 Training Attendance'!$K$6:$K$155,"Attended",'11 Training Attendance'!$I$6:$I$155,G120))</x:f>
      </x:c>
      <x:c r="R120" s="102" t="str">
        <x:f>IF(Q120=0,"",MAXIFS('11 Training Attendance'!$D$6:$D$155,'11 Training Attendance'!$E$6:$E$155,B120,'11 Training Attendance'!$K$6:$K$155,"Attended",'11 Training Attendance'!$I$6:$I$155,G120))</x:f>
      </x:c>
      <x:c r="S120" s="94" t="str">
        <x:f>IF(OR(B120="",G120=""),"",COUNTIFS('13 Effectiveness Review'!$C$6:$C$155,B120,'13 Effectiveness Review'!$F$6:$F$155,G120,'13 Effectiveness Review'!$X$6:$X$155,"Closed — Effective"))</x:f>
      </x:c>
      <x:c r="T120" s="94" t="str">
        <x:f>IF(B120="","",IF(K120="","Not Assessed",IF(O120="Expired","Renewal Due",IF(L120=0,"Competent","Skill Gap"))))</x:f>
      </x:c>
      <x:c r="U120" s="94" t="str">
        <x:f>IFERROR(VLOOKUP(D120&amp;"|"&amp;E120&amp;"|"&amp;G120,'03 Position Requirements'!$A$6:$R$285,14,FALSE),"")</x:f>
      </x:c>
      <x:c r="V120" s="92"/>
      <x:c r="W120" s="85" t="str">
        <x:f>IF(B120="","",B120&amp;"|"&amp;COUNTIF($B$6:B120,B120))</x:f>
      </x:c>
      <x:c r="X120" s="85" t="str">
        <x:f>IF(B120="","",G120)</x:f>
      </x:c>
      <x:c r="Y120" s="85" t="str">
        <x:f>IF(B120="","",H120)</x:f>
      </x:c>
      <x:c r="Z120" s="85" t="str">
        <x:f>IF(B120="","",I120)</x:f>
      </x:c>
      <x:c r="AA120" s="85" t="str">
        <x:f>IF(B120="","",J120)</x:f>
      </x:c>
      <x:c r="AB120" s="85" t="str">
        <x:f>IF(B120="","",K120)</x:f>
      </x:c>
      <x:c r="AC120" s="85" t="str">
        <x:f>IF(B120="","",L120)</x:f>
      </x:c>
      <x:c r="AD120" s="85" t="str">
        <x:f>IF(B120="","",M120)</x:f>
      </x:c>
      <x:c r="AE120" s="85" t="str">
        <x:f>IF(B120="","",N120)</x:f>
      </x:c>
      <x:c r="AF120" s="85" t="str">
        <x:f>IF(B120="","",O120)</x:f>
      </x:c>
      <x:c r="AG120" s="85" t="str">
        <x:f>IF(B120="","",P120)</x:f>
      </x:c>
      <x:c r="AH120" s="85" t="str">
        <x:f>IF(B120="","",Q120)</x:f>
      </x:c>
      <x:c r="AI120" s="85" t="str">
        <x:f>IF(B120="","",R120)</x:f>
      </x:c>
      <x:c r="AJ120" s="85" t="str">
        <x:f>IF(B120="","",S120)</x:f>
      </x:c>
      <x:c r="AK120" s="85" t="str">
        <x:f>IF(B120="","",T120)</x:f>
      </x:c>
    </x:row>
    <x:row r="121">
      <x:c r="A121" s="94" t="str">
        <x:f>IF(OR(B121="",G121=""),"",B121&amp;"|"&amp;G121)</x:f>
      </x:c>
      <x:c r="B121" s="92"/>
      <x:c r="C121" s="94" t="str">
        <x:f>IFERROR(VLOOKUP(B121,'01 Staff Master'!$A$6:$M$105,2,FALSE),"")</x:f>
      </x:c>
      <x:c r="D121" s="94" t="str">
        <x:f>IFERROR(VLOOKUP(B121,'01 Staff Master'!$A$6:$M$105,3,FALSE),"")</x:f>
      </x:c>
      <x:c r="E121" s="94" t="str">
        <x:f>IFERROR(VLOOKUP(B121,'01 Staff Master'!$A$6:$M$105,5,FALSE),"")</x:f>
      </x:c>
      <x:c r="F121" s="94" t="str">
        <x:f>IFERROR(VLOOKUP(B121,'01 Staff Master'!$A$6:$M$105,4,FALSE),"")</x:f>
      </x:c>
      <x:c r="G121" s="92"/>
      <x:c r="H121" s="94" t="str">
        <x:f>IFERROR(VLOOKUP(G121,'02 Skill Catalogue'!$A$6:$K$95,4,FALSE),"")</x:f>
      </x:c>
      <x:c r="I121" s="94" t="str">
        <x:f>IFERROR(VLOOKUP(D121&amp;"|"&amp;E121&amp;"|"&amp;G121,'03 Position Requirements'!$A$6:$R$285,8,FALSE),"")</x:f>
      </x:c>
      <x:c r="J121" s="94" t="str">
        <x:f>IFERROR(VLOOKUP(D121&amp;"|"&amp;E121&amp;"|"&amp;G121,'03 Position Requirements'!$A$6:$R$285,10,FALSE),"")</x:f>
      </x:c>
      <x:c r="K121" s="94" t="str">
        <x:f>IF(OR(B121="",G121=""),"",IF(COUNTIFS('04 Assessment Log'!$D$6:$D$155,B121,'04 Assessment Log'!$J$6:$J$155,G121,'04 Assessment Log'!$AA$6:$AA$155,"Yes")=0,"",SUMIFS('04 Assessment Log'!$O$6:$O$155,'04 Assessment Log'!$D$6:$D$155,B121,'04 Assessment Log'!$J$6:$J$155,G121,'04 Assessment Log'!$AA$6:$AA$155,"Yes")))</x:f>
      </x:c>
      <x:c r="L121" s="94" t="str">
        <x:f>IF(OR(J121="",K121=""),"",MAX(J121-K121,0))</x:f>
      </x:c>
      <x:c r="M121" s="102" t="str">
        <x:f>IF(COUNTIFS('04 Assessment Log'!$D$6:$D$155,B121,'04 Assessment Log'!$J$6:$J$155,G121,'04 Assessment Log'!$AA$6:$AA$155,"Yes")=0,"",SUMIFS('04 Assessment Log'!$B$6:$B$155,'04 Assessment Log'!$D$6:$D$155,B121,'04 Assessment Log'!$J$6:$J$155,G121,'04 Assessment Log'!$AA$6:$AA$155,"Yes"))</x:f>
      </x:c>
      <x:c r="N121" s="102" t="str">
        <x:f>IF(M121="","",SUMIFS('04 Assessment Log'!$Z$6:$Z$155,'04 Assessment Log'!$D$6:$D$155,B121,'04 Assessment Log'!$J$6:$J$155,G121,'04 Assessment Log'!$AA$6:$AA$155,"Yes"))</x:f>
      </x:c>
      <x:c r="O121" s="94" t="str">
        <x:f>IF(M121="","Not Assessed",IF(N121&lt;TODAY(),"Expired",IF(N121&lt;=TODAY()+30,"Due Soon","Current")))</x:f>
        <x:v>Not Assessed</x:v>
      </x:c>
      <x:c r="P121" s="94" t="str">
        <x:f>IF(OR(B121="",G121=""),"",COUNTIFS('05 Development Actions'!$C$6:$C$105,B121,'05 Development Actions'!$G$6:$G$105,G121,'05 Development Actions'!$A$6:$A$105,"&lt;&gt;",'05 Development Actions'!$AB$6:$AB$105,"&lt;&gt;Closed — Competent",'05 Development Actions'!$AB$6:$AB$105,"&lt;&gt;Cancelled"))</x:f>
      </x:c>
      <x:c r="Q121" s="94" t="str">
        <x:f>IF(OR(B121="",G121=""),"",COUNTIFS('11 Training Attendance'!$E$6:$E$155,B121,'11 Training Attendance'!$K$6:$K$155,"Attended",'11 Training Attendance'!$I$6:$I$155,G121))</x:f>
      </x:c>
      <x:c r="R121" s="102" t="str">
        <x:f>IF(Q121=0,"",MAXIFS('11 Training Attendance'!$D$6:$D$155,'11 Training Attendance'!$E$6:$E$155,B121,'11 Training Attendance'!$K$6:$K$155,"Attended",'11 Training Attendance'!$I$6:$I$155,G121))</x:f>
      </x:c>
      <x:c r="S121" s="94" t="str">
        <x:f>IF(OR(B121="",G121=""),"",COUNTIFS('13 Effectiveness Review'!$C$6:$C$155,B121,'13 Effectiveness Review'!$F$6:$F$155,G121,'13 Effectiveness Review'!$X$6:$X$155,"Closed — Effective"))</x:f>
      </x:c>
      <x:c r="T121" s="94" t="str">
        <x:f>IF(B121="","",IF(K121="","Not Assessed",IF(O121="Expired","Renewal Due",IF(L121=0,"Competent","Skill Gap"))))</x:f>
      </x:c>
      <x:c r="U121" s="94" t="str">
        <x:f>IFERROR(VLOOKUP(D121&amp;"|"&amp;E121&amp;"|"&amp;G121,'03 Position Requirements'!$A$6:$R$285,14,FALSE),"")</x:f>
      </x:c>
      <x:c r="V121" s="92"/>
      <x:c r="W121" s="85" t="str">
        <x:f>IF(B121="","",B121&amp;"|"&amp;COUNTIF($B$6:B121,B121))</x:f>
      </x:c>
      <x:c r="X121" s="85" t="str">
        <x:f>IF(B121="","",G121)</x:f>
      </x:c>
      <x:c r="Y121" s="85" t="str">
        <x:f>IF(B121="","",H121)</x:f>
      </x:c>
      <x:c r="Z121" s="85" t="str">
        <x:f>IF(B121="","",I121)</x:f>
      </x:c>
      <x:c r="AA121" s="85" t="str">
        <x:f>IF(B121="","",J121)</x:f>
      </x:c>
      <x:c r="AB121" s="85" t="str">
        <x:f>IF(B121="","",K121)</x:f>
      </x:c>
      <x:c r="AC121" s="85" t="str">
        <x:f>IF(B121="","",L121)</x:f>
      </x:c>
      <x:c r="AD121" s="85" t="str">
        <x:f>IF(B121="","",M121)</x:f>
      </x:c>
      <x:c r="AE121" s="85" t="str">
        <x:f>IF(B121="","",N121)</x:f>
      </x:c>
      <x:c r="AF121" s="85" t="str">
        <x:f>IF(B121="","",O121)</x:f>
      </x:c>
      <x:c r="AG121" s="85" t="str">
        <x:f>IF(B121="","",P121)</x:f>
      </x:c>
      <x:c r="AH121" s="85" t="str">
        <x:f>IF(B121="","",Q121)</x:f>
      </x:c>
      <x:c r="AI121" s="85" t="str">
        <x:f>IF(B121="","",R121)</x:f>
      </x:c>
      <x:c r="AJ121" s="85" t="str">
        <x:f>IF(B121="","",S121)</x:f>
      </x:c>
      <x:c r="AK121" s="85" t="str">
        <x:f>IF(B121="","",T121)</x:f>
      </x:c>
    </x:row>
    <x:row r="122">
      <x:c r="A122" s="94" t="str">
        <x:f>IF(OR(B122="",G122=""),"",B122&amp;"|"&amp;G122)</x:f>
      </x:c>
      <x:c r="B122" s="92"/>
      <x:c r="C122" s="94" t="str">
        <x:f>IFERROR(VLOOKUP(B122,'01 Staff Master'!$A$6:$M$105,2,FALSE),"")</x:f>
      </x:c>
      <x:c r="D122" s="94" t="str">
        <x:f>IFERROR(VLOOKUP(B122,'01 Staff Master'!$A$6:$M$105,3,FALSE),"")</x:f>
      </x:c>
      <x:c r="E122" s="94" t="str">
        <x:f>IFERROR(VLOOKUP(B122,'01 Staff Master'!$A$6:$M$105,5,FALSE),"")</x:f>
      </x:c>
      <x:c r="F122" s="94" t="str">
        <x:f>IFERROR(VLOOKUP(B122,'01 Staff Master'!$A$6:$M$105,4,FALSE),"")</x:f>
      </x:c>
      <x:c r="G122" s="92"/>
      <x:c r="H122" s="94" t="str">
        <x:f>IFERROR(VLOOKUP(G122,'02 Skill Catalogue'!$A$6:$K$95,4,FALSE),"")</x:f>
      </x:c>
      <x:c r="I122" s="94" t="str">
        <x:f>IFERROR(VLOOKUP(D122&amp;"|"&amp;E122&amp;"|"&amp;G122,'03 Position Requirements'!$A$6:$R$285,8,FALSE),"")</x:f>
      </x:c>
      <x:c r="J122" s="94" t="str">
        <x:f>IFERROR(VLOOKUP(D122&amp;"|"&amp;E122&amp;"|"&amp;G122,'03 Position Requirements'!$A$6:$R$285,10,FALSE),"")</x:f>
      </x:c>
      <x:c r="K122" s="94" t="str">
        <x:f>IF(OR(B122="",G122=""),"",IF(COUNTIFS('04 Assessment Log'!$D$6:$D$155,B122,'04 Assessment Log'!$J$6:$J$155,G122,'04 Assessment Log'!$AA$6:$AA$155,"Yes")=0,"",SUMIFS('04 Assessment Log'!$O$6:$O$155,'04 Assessment Log'!$D$6:$D$155,B122,'04 Assessment Log'!$J$6:$J$155,G122,'04 Assessment Log'!$AA$6:$AA$155,"Yes")))</x:f>
      </x:c>
      <x:c r="L122" s="94" t="str">
        <x:f>IF(OR(J122="",K122=""),"",MAX(J122-K122,0))</x:f>
      </x:c>
      <x:c r="M122" s="102" t="str">
        <x:f>IF(COUNTIFS('04 Assessment Log'!$D$6:$D$155,B122,'04 Assessment Log'!$J$6:$J$155,G122,'04 Assessment Log'!$AA$6:$AA$155,"Yes")=0,"",SUMIFS('04 Assessment Log'!$B$6:$B$155,'04 Assessment Log'!$D$6:$D$155,B122,'04 Assessment Log'!$J$6:$J$155,G122,'04 Assessment Log'!$AA$6:$AA$155,"Yes"))</x:f>
      </x:c>
      <x:c r="N122" s="102" t="str">
        <x:f>IF(M122="","",SUMIFS('04 Assessment Log'!$Z$6:$Z$155,'04 Assessment Log'!$D$6:$D$155,B122,'04 Assessment Log'!$J$6:$J$155,G122,'04 Assessment Log'!$AA$6:$AA$155,"Yes"))</x:f>
      </x:c>
      <x:c r="O122" s="94" t="str">
        <x:f>IF(M122="","Not Assessed",IF(N122&lt;TODAY(),"Expired",IF(N122&lt;=TODAY()+30,"Due Soon","Current")))</x:f>
        <x:v>Not Assessed</x:v>
      </x:c>
      <x:c r="P122" s="94" t="str">
        <x:f>IF(OR(B122="",G122=""),"",COUNTIFS('05 Development Actions'!$C$6:$C$105,B122,'05 Development Actions'!$G$6:$G$105,G122,'05 Development Actions'!$A$6:$A$105,"&lt;&gt;",'05 Development Actions'!$AB$6:$AB$105,"&lt;&gt;Closed — Competent",'05 Development Actions'!$AB$6:$AB$105,"&lt;&gt;Cancelled"))</x:f>
      </x:c>
      <x:c r="Q122" s="94" t="str">
        <x:f>IF(OR(B122="",G122=""),"",COUNTIFS('11 Training Attendance'!$E$6:$E$155,B122,'11 Training Attendance'!$K$6:$K$155,"Attended",'11 Training Attendance'!$I$6:$I$155,G122))</x:f>
      </x:c>
      <x:c r="R122" s="102" t="str">
        <x:f>IF(Q122=0,"",MAXIFS('11 Training Attendance'!$D$6:$D$155,'11 Training Attendance'!$E$6:$E$155,B122,'11 Training Attendance'!$K$6:$K$155,"Attended",'11 Training Attendance'!$I$6:$I$155,G122))</x:f>
      </x:c>
      <x:c r="S122" s="94" t="str">
        <x:f>IF(OR(B122="",G122=""),"",COUNTIFS('13 Effectiveness Review'!$C$6:$C$155,B122,'13 Effectiveness Review'!$F$6:$F$155,G122,'13 Effectiveness Review'!$X$6:$X$155,"Closed — Effective"))</x:f>
      </x:c>
      <x:c r="T122" s="94" t="str">
        <x:f>IF(B122="","",IF(K122="","Not Assessed",IF(O122="Expired","Renewal Due",IF(L122=0,"Competent","Skill Gap"))))</x:f>
      </x:c>
      <x:c r="U122" s="94" t="str">
        <x:f>IFERROR(VLOOKUP(D122&amp;"|"&amp;E122&amp;"|"&amp;G122,'03 Position Requirements'!$A$6:$R$285,14,FALSE),"")</x:f>
      </x:c>
      <x:c r="V122" s="92"/>
      <x:c r="W122" s="85" t="str">
        <x:f>IF(B122="","",B122&amp;"|"&amp;COUNTIF($B$6:B122,B122))</x:f>
      </x:c>
      <x:c r="X122" s="85" t="str">
        <x:f>IF(B122="","",G122)</x:f>
      </x:c>
      <x:c r="Y122" s="85" t="str">
        <x:f>IF(B122="","",H122)</x:f>
      </x:c>
      <x:c r="Z122" s="85" t="str">
        <x:f>IF(B122="","",I122)</x:f>
      </x:c>
      <x:c r="AA122" s="85" t="str">
        <x:f>IF(B122="","",J122)</x:f>
      </x:c>
      <x:c r="AB122" s="85" t="str">
        <x:f>IF(B122="","",K122)</x:f>
      </x:c>
      <x:c r="AC122" s="85" t="str">
        <x:f>IF(B122="","",L122)</x:f>
      </x:c>
      <x:c r="AD122" s="85" t="str">
        <x:f>IF(B122="","",M122)</x:f>
      </x:c>
      <x:c r="AE122" s="85" t="str">
        <x:f>IF(B122="","",N122)</x:f>
      </x:c>
      <x:c r="AF122" s="85" t="str">
        <x:f>IF(B122="","",O122)</x:f>
      </x:c>
      <x:c r="AG122" s="85" t="str">
        <x:f>IF(B122="","",P122)</x:f>
      </x:c>
      <x:c r="AH122" s="85" t="str">
        <x:f>IF(B122="","",Q122)</x:f>
      </x:c>
      <x:c r="AI122" s="85" t="str">
        <x:f>IF(B122="","",R122)</x:f>
      </x:c>
      <x:c r="AJ122" s="85" t="str">
        <x:f>IF(B122="","",S122)</x:f>
      </x:c>
      <x:c r="AK122" s="85" t="str">
        <x:f>IF(B122="","",T122)</x:f>
      </x:c>
    </x:row>
    <x:row r="123">
      <x:c r="A123" s="94" t="str">
        <x:f>IF(OR(B123="",G123=""),"",B123&amp;"|"&amp;G123)</x:f>
      </x:c>
      <x:c r="B123" s="92"/>
      <x:c r="C123" s="94" t="str">
        <x:f>IFERROR(VLOOKUP(B123,'01 Staff Master'!$A$6:$M$105,2,FALSE),"")</x:f>
      </x:c>
      <x:c r="D123" s="94" t="str">
        <x:f>IFERROR(VLOOKUP(B123,'01 Staff Master'!$A$6:$M$105,3,FALSE),"")</x:f>
      </x:c>
      <x:c r="E123" s="94" t="str">
        <x:f>IFERROR(VLOOKUP(B123,'01 Staff Master'!$A$6:$M$105,5,FALSE),"")</x:f>
      </x:c>
      <x:c r="F123" s="94" t="str">
        <x:f>IFERROR(VLOOKUP(B123,'01 Staff Master'!$A$6:$M$105,4,FALSE),"")</x:f>
      </x:c>
      <x:c r="G123" s="92"/>
      <x:c r="H123" s="94" t="str">
        <x:f>IFERROR(VLOOKUP(G123,'02 Skill Catalogue'!$A$6:$K$95,4,FALSE),"")</x:f>
      </x:c>
      <x:c r="I123" s="94" t="str">
        <x:f>IFERROR(VLOOKUP(D123&amp;"|"&amp;E123&amp;"|"&amp;G123,'03 Position Requirements'!$A$6:$R$285,8,FALSE),"")</x:f>
      </x:c>
      <x:c r="J123" s="94" t="str">
        <x:f>IFERROR(VLOOKUP(D123&amp;"|"&amp;E123&amp;"|"&amp;G123,'03 Position Requirements'!$A$6:$R$285,10,FALSE),"")</x:f>
      </x:c>
      <x:c r="K123" s="94" t="str">
        <x:f>IF(OR(B123="",G123=""),"",IF(COUNTIFS('04 Assessment Log'!$D$6:$D$155,B123,'04 Assessment Log'!$J$6:$J$155,G123,'04 Assessment Log'!$AA$6:$AA$155,"Yes")=0,"",SUMIFS('04 Assessment Log'!$O$6:$O$155,'04 Assessment Log'!$D$6:$D$155,B123,'04 Assessment Log'!$J$6:$J$155,G123,'04 Assessment Log'!$AA$6:$AA$155,"Yes")))</x:f>
      </x:c>
      <x:c r="L123" s="94" t="str">
        <x:f>IF(OR(J123="",K123=""),"",MAX(J123-K123,0))</x:f>
      </x:c>
      <x:c r="M123" s="102" t="str">
        <x:f>IF(COUNTIFS('04 Assessment Log'!$D$6:$D$155,B123,'04 Assessment Log'!$J$6:$J$155,G123,'04 Assessment Log'!$AA$6:$AA$155,"Yes")=0,"",SUMIFS('04 Assessment Log'!$B$6:$B$155,'04 Assessment Log'!$D$6:$D$155,B123,'04 Assessment Log'!$J$6:$J$155,G123,'04 Assessment Log'!$AA$6:$AA$155,"Yes"))</x:f>
      </x:c>
      <x:c r="N123" s="102" t="str">
        <x:f>IF(M123="","",SUMIFS('04 Assessment Log'!$Z$6:$Z$155,'04 Assessment Log'!$D$6:$D$155,B123,'04 Assessment Log'!$J$6:$J$155,G123,'04 Assessment Log'!$AA$6:$AA$155,"Yes"))</x:f>
      </x:c>
      <x:c r="O123" s="94" t="str">
        <x:f>IF(M123="","Not Assessed",IF(N123&lt;TODAY(),"Expired",IF(N123&lt;=TODAY()+30,"Due Soon","Current")))</x:f>
        <x:v>Not Assessed</x:v>
      </x:c>
      <x:c r="P123" s="94" t="str">
        <x:f>IF(OR(B123="",G123=""),"",COUNTIFS('05 Development Actions'!$C$6:$C$105,B123,'05 Development Actions'!$G$6:$G$105,G123,'05 Development Actions'!$A$6:$A$105,"&lt;&gt;",'05 Development Actions'!$AB$6:$AB$105,"&lt;&gt;Closed — Competent",'05 Development Actions'!$AB$6:$AB$105,"&lt;&gt;Cancelled"))</x:f>
      </x:c>
      <x:c r="Q123" s="94" t="str">
        <x:f>IF(OR(B123="",G123=""),"",COUNTIFS('11 Training Attendance'!$E$6:$E$155,B123,'11 Training Attendance'!$K$6:$K$155,"Attended",'11 Training Attendance'!$I$6:$I$155,G123))</x:f>
      </x:c>
      <x:c r="R123" s="102" t="str">
        <x:f>IF(Q123=0,"",MAXIFS('11 Training Attendance'!$D$6:$D$155,'11 Training Attendance'!$E$6:$E$155,B123,'11 Training Attendance'!$K$6:$K$155,"Attended",'11 Training Attendance'!$I$6:$I$155,G123))</x:f>
      </x:c>
      <x:c r="S123" s="94" t="str">
        <x:f>IF(OR(B123="",G123=""),"",COUNTIFS('13 Effectiveness Review'!$C$6:$C$155,B123,'13 Effectiveness Review'!$F$6:$F$155,G123,'13 Effectiveness Review'!$X$6:$X$155,"Closed — Effective"))</x:f>
      </x:c>
      <x:c r="T123" s="94" t="str">
        <x:f>IF(B123="","",IF(K123="","Not Assessed",IF(O123="Expired","Renewal Due",IF(L123=0,"Competent","Skill Gap"))))</x:f>
      </x:c>
      <x:c r="U123" s="94" t="str">
        <x:f>IFERROR(VLOOKUP(D123&amp;"|"&amp;E123&amp;"|"&amp;G123,'03 Position Requirements'!$A$6:$R$285,14,FALSE),"")</x:f>
      </x:c>
      <x:c r="V123" s="92"/>
      <x:c r="W123" s="85" t="str">
        <x:f>IF(B123="","",B123&amp;"|"&amp;COUNTIF($B$6:B123,B123))</x:f>
      </x:c>
      <x:c r="X123" s="85" t="str">
        <x:f>IF(B123="","",G123)</x:f>
      </x:c>
      <x:c r="Y123" s="85" t="str">
        <x:f>IF(B123="","",H123)</x:f>
      </x:c>
      <x:c r="Z123" s="85" t="str">
        <x:f>IF(B123="","",I123)</x:f>
      </x:c>
      <x:c r="AA123" s="85" t="str">
        <x:f>IF(B123="","",J123)</x:f>
      </x:c>
      <x:c r="AB123" s="85" t="str">
        <x:f>IF(B123="","",K123)</x:f>
      </x:c>
      <x:c r="AC123" s="85" t="str">
        <x:f>IF(B123="","",L123)</x:f>
      </x:c>
      <x:c r="AD123" s="85" t="str">
        <x:f>IF(B123="","",M123)</x:f>
      </x:c>
      <x:c r="AE123" s="85" t="str">
        <x:f>IF(B123="","",N123)</x:f>
      </x:c>
      <x:c r="AF123" s="85" t="str">
        <x:f>IF(B123="","",O123)</x:f>
      </x:c>
      <x:c r="AG123" s="85" t="str">
        <x:f>IF(B123="","",P123)</x:f>
      </x:c>
      <x:c r="AH123" s="85" t="str">
        <x:f>IF(B123="","",Q123)</x:f>
      </x:c>
      <x:c r="AI123" s="85" t="str">
        <x:f>IF(B123="","",R123)</x:f>
      </x:c>
      <x:c r="AJ123" s="85" t="str">
        <x:f>IF(B123="","",S123)</x:f>
      </x:c>
      <x:c r="AK123" s="85" t="str">
        <x:f>IF(B123="","",T123)</x:f>
      </x:c>
    </x:row>
    <x:row r="124">
      <x:c r="A124" s="94" t="str">
        <x:f>IF(OR(B124="",G124=""),"",B124&amp;"|"&amp;G124)</x:f>
      </x:c>
      <x:c r="B124" s="92"/>
      <x:c r="C124" s="94" t="str">
        <x:f>IFERROR(VLOOKUP(B124,'01 Staff Master'!$A$6:$M$105,2,FALSE),"")</x:f>
      </x:c>
      <x:c r="D124" s="94" t="str">
        <x:f>IFERROR(VLOOKUP(B124,'01 Staff Master'!$A$6:$M$105,3,FALSE),"")</x:f>
      </x:c>
      <x:c r="E124" s="94" t="str">
        <x:f>IFERROR(VLOOKUP(B124,'01 Staff Master'!$A$6:$M$105,5,FALSE),"")</x:f>
      </x:c>
      <x:c r="F124" s="94" t="str">
        <x:f>IFERROR(VLOOKUP(B124,'01 Staff Master'!$A$6:$M$105,4,FALSE),"")</x:f>
      </x:c>
      <x:c r="G124" s="92"/>
      <x:c r="H124" s="94" t="str">
        <x:f>IFERROR(VLOOKUP(G124,'02 Skill Catalogue'!$A$6:$K$95,4,FALSE),"")</x:f>
      </x:c>
      <x:c r="I124" s="94" t="str">
        <x:f>IFERROR(VLOOKUP(D124&amp;"|"&amp;E124&amp;"|"&amp;G124,'03 Position Requirements'!$A$6:$R$285,8,FALSE),"")</x:f>
      </x:c>
      <x:c r="J124" s="94" t="str">
        <x:f>IFERROR(VLOOKUP(D124&amp;"|"&amp;E124&amp;"|"&amp;G124,'03 Position Requirements'!$A$6:$R$285,10,FALSE),"")</x:f>
      </x:c>
      <x:c r="K124" s="94" t="str">
        <x:f>IF(OR(B124="",G124=""),"",IF(COUNTIFS('04 Assessment Log'!$D$6:$D$155,B124,'04 Assessment Log'!$J$6:$J$155,G124,'04 Assessment Log'!$AA$6:$AA$155,"Yes")=0,"",SUMIFS('04 Assessment Log'!$O$6:$O$155,'04 Assessment Log'!$D$6:$D$155,B124,'04 Assessment Log'!$J$6:$J$155,G124,'04 Assessment Log'!$AA$6:$AA$155,"Yes")))</x:f>
      </x:c>
      <x:c r="L124" s="94" t="str">
        <x:f>IF(OR(J124="",K124=""),"",MAX(J124-K124,0))</x:f>
      </x:c>
      <x:c r="M124" s="102" t="str">
        <x:f>IF(COUNTIFS('04 Assessment Log'!$D$6:$D$155,B124,'04 Assessment Log'!$J$6:$J$155,G124,'04 Assessment Log'!$AA$6:$AA$155,"Yes")=0,"",SUMIFS('04 Assessment Log'!$B$6:$B$155,'04 Assessment Log'!$D$6:$D$155,B124,'04 Assessment Log'!$J$6:$J$155,G124,'04 Assessment Log'!$AA$6:$AA$155,"Yes"))</x:f>
      </x:c>
      <x:c r="N124" s="102" t="str">
        <x:f>IF(M124="","",SUMIFS('04 Assessment Log'!$Z$6:$Z$155,'04 Assessment Log'!$D$6:$D$155,B124,'04 Assessment Log'!$J$6:$J$155,G124,'04 Assessment Log'!$AA$6:$AA$155,"Yes"))</x:f>
      </x:c>
      <x:c r="O124" s="94" t="str">
        <x:f>IF(M124="","Not Assessed",IF(N124&lt;TODAY(),"Expired",IF(N124&lt;=TODAY()+30,"Due Soon","Current")))</x:f>
        <x:v>Not Assessed</x:v>
      </x:c>
      <x:c r="P124" s="94" t="str">
        <x:f>IF(OR(B124="",G124=""),"",COUNTIFS('05 Development Actions'!$C$6:$C$105,B124,'05 Development Actions'!$G$6:$G$105,G124,'05 Development Actions'!$A$6:$A$105,"&lt;&gt;",'05 Development Actions'!$AB$6:$AB$105,"&lt;&gt;Closed — Competent",'05 Development Actions'!$AB$6:$AB$105,"&lt;&gt;Cancelled"))</x:f>
      </x:c>
      <x:c r="Q124" s="94" t="str">
        <x:f>IF(OR(B124="",G124=""),"",COUNTIFS('11 Training Attendance'!$E$6:$E$155,B124,'11 Training Attendance'!$K$6:$K$155,"Attended",'11 Training Attendance'!$I$6:$I$155,G124))</x:f>
      </x:c>
      <x:c r="R124" s="102" t="str">
        <x:f>IF(Q124=0,"",MAXIFS('11 Training Attendance'!$D$6:$D$155,'11 Training Attendance'!$E$6:$E$155,B124,'11 Training Attendance'!$K$6:$K$155,"Attended",'11 Training Attendance'!$I$6:$I$155,G124))</x:f>
      </x:c>
      <x:c r="S124" s="94" t="str">
        <x:f>IF(OR(B124="",G124=""),"",COUNTIFS('13 Effectiveness Review'!$C$6:$C$155,B124,'13 Effectiveness Review'!$F$6:$F$155,G124,'13 Effectiveness Review'!$X$6:$X$155,"Closed — Effective"))</x:f>
      </x:c>
      <x:c r="T124" s="94" t="str">
        <x:f>IF(B124="","",IF(K124="","Not Assessed",IF(O124="Expired","Renewal Due",IF(L124=0,"Competent","Skill Gap"))))</x:f>
      </x:c>
      <x:c r="U124" s="94" t="str">
        <x:f>IFERROR(VLOOKUP(D124&amp;"|"&amp;E124&amp;"|"&amp;G124,'03 Position Requirements'!$A$6:$R$285,14,FALSE),"")</x:f>
      </x:c>
      <x:c r="V124" s="92"/>
      <x:c r="W124" s="85" t="str">
        <x:f>IF(B124="","",B124&amp;"|"&amp;COUNTIF($B$6:B124,B124))</x:f>
      </x:c>
      <x:c r="X124" s="85" t="str">
        <x:f>IF(B124="","",G124)</x:f>
      </x:c>
      <x:c r="Y124" s="85" t="str">
        <x:f>IF(B124="","",H124)</x:f>
      </x:c>
      <x:c r="Z124" s="85" t="str">
        <x:f>IF(B124="","",I124)</x:f>
      </x:c>
      <x:c r="AA124" s="85" t="str">
        <x:f>IF(B124="","",J124)</x:f>
      </x:c>
      <x:c r="AB124" s="85" t="str">
        <x:f>IF(B124="","",K124)</x:f>
      </x:c>
      <x:c r="AC124" s="85" t="str">
        <x:f>IF(B124="","",L124)</x:f>
      </x:c>
      <x:c r="AD124" s="85" t="str">
        <x:f>IF(B124="","",M124)</x:f>
      </x:c>
      <x:c r="AE124" s="85" t="str">
        <x:f>IF(B124="","",N124)</x:f>
      </x:c>
      <x:c r="AF124" s="85" t="str">
        <x:f>IF(B124="","",O124)</x:f>
      </x:c>
      <x:c r="AG124" s="85" t="str">
        <x:f>IF(B124="","",P124)</x:f>
      </x:c>
      <x:c r="AH124" s="85" t="str">
        <x:f>IF(B124="","",Q124)</x:f>
      </x:c>
      <x:c r="AI124" s="85" t="str">
        <x:f>IF(B124="","",R124)</x:f>
      </x:c>
      <x:c r="AJ124" s="85" t="str">
        <x:f>IF(B124="","",S124)</x:f>
      </x:c>
      <x:c r="AK124" s="85" t="str">
        <x:f>IF(B124="","",T124)</x:f>
      </x:c>
    </x:row>
    <x:row r="125">
      <x:c r="A125" s="94" t="str">
        <x:f>IF(OR(B125="",G125=""),"",B125&amp;"|"&amp;G125)</x:f>
      </x:c>
      <x:c r="B125" s="92"/>
      <x:c r="C125" s="94" t="str">
        <x:f>IFERROR(VLOOKUP(B125,'01 Staff Master'!$A$6:$M$105,2,FALSE),"")</x:f>
      </x:c>
      <x:c r="D125" s="94" t="str">
        <x:f>IFERROR(VLOOKUP(B125,'01 Staff Master'!$A$6:$M$105,3,FALSE),"")</x:f>
      </x:c>
      <x:c r="E125" s="94" t="str">
        <x:f>IFERROR(VLOOKUP(B125,'01 Staff Master'!$A$6:$M$105,5,FALSE),"")</x:f>
      </x:c>
      <x:c r="F125" s="94" t="str">
        <x:f>IFERROR(VLOOKUP(B125,'01 Staff Master'!$A$6:$M$105,4,FALSE),"")</x:f>
      </x:c>
      <x:c r="G125" s="92"/>
      <x:c r="H125" s="94" t="str">
        <x:f>IFERROR(VLOOKUP(G125,'02 Skill Catalogue'!$A$6:$K$95,4,FALSE),"")</x:f>
      </x:c>
      <x:c r="I125" s="94" t="str">
        <x:f>IFERROR(VLOOKUP(D125&amp;"|"&amp;E125&amp;"|"&amp;G125,'03 Position Requirements'!$A$6:$R$285,8,FALSE),"")</x:f>
      </x:c>
      <x:c r="J125" s="94" t="str">
        <x:f>IFERROR(VLOOKUP(D125&amp;"|"&amp;E125&amp;"|"&amp;G125,'03 Position Requirements'!$A$6:$R$285,10,FALSE),"")</x:f>
      </x:c>
      <x:c r="K125" s="94" t="str">
        <x:f>IF(OR(B125="",G125=""),"",IF(COUNTIFS('04 Assessment Log'!$D$6:$D$155,B125,'04 Assessment Log'!$J$6:$J$155,G125,'04 Assessment Log'!$AA$6:$AA$155,"Yes")=0,"",SUMIFS('04 Assessment Log'!$O$6:$O$155,'04 Assessment Log'!$D$6:$D$155,B125,'04 Assessment Log'!$J$6:$J$155,G125,'04 Assessment Log'!$AA$6:$AA$155,"Yes")))</x:f>
      </x:c>
      <x:c r="L125" s="94" t="str">
        <x:f>IF(OR(J125="",K125=""),"",MAX(J125-K125,0))</x:f>
      </x:c>
      <x:c r="M125" s="102" t="str">
        <x:f>IF(COUNTIFS('04 Assessment Log'!$D$6:$D$155,B125,'04 Assessment Log'!$J$6:$J$155,G125,'04 Assessment Log'!$AA$6:$AA$155,"Yes")=0,"",SUMIFS('04 Assessment Log'!$B$6:$B$155,'04 Assessment Log'!$D$6:$D$155,B125,'04 Assessment Log'!$J$6:$J$155,G125,'04 Assessment Log'!$AA$6:$AA$155,"Yes"))</x:f>
      </x:c>
      <x:c r="N125" s="102" t="str">
        <x:f>IF(M125="","",SUMIFS('04 Assessment Log'!$Z$6:$Z$155,'04 Assessment Log'!$D$6:$D$155,B125,'04 Assessment Log'!$J$6:$J$155,G125,'04 Assessment Log'!$AA$6:$AA$155,"Yes"))</x:f>
      </x:c>
      <x:c r="O125" s="94" t="str">
        <x:f>IF(M125="","Not Assessed",IF(N125&lt;TODAY(),"Expired",IF(N125&lt;=TODAY()+30,"Due Soon","Current")))</x:f>
        <x:v>Not Assessed</x:v>
      </x:c>
      <x:c r="P125" s="94" t="str">
        <x:f>IF(OR(B125="",G125=""),"",COUNTIFS('05 Development Actions'!$C$6:$C$105,B125,'05 Development Actions'!$G$6:$G$105,G125,'05 Development Actions'!$A$6:$A$105,"&lt;&gt;",'05 Development Actions'!$AB$6:$AB$105,"&lt;&gt;Closed — Competent",'05 Development Actions'!$AB$6:$AB$105,"&lt;&gt;Cancelled"))</x:f>
      </x:c>
      <x:c r="Q125" s="94" t="str">
        <x:f>IF(OR(B125="",G125=""),"",COUNTIFS('11 Training Attendance'!$E$6:$E$155,B125,'11 Training Attendance'!$K$6:$K$155,"Attended",'11 Training Attendance'!$I$6:$I$155,G125))</x:f>
      </x:c>
      <x:c r="R125" s="102" t="str">
        <x:f>IF(Q125=0,"",MAXIFS('11 Training Attendance'!$D$6:$D$155,'11 Training Attendance'!$E$6:$E$155,B125,'11 Training Attendance'!$K$6:$K$155,"Attended",'11 Training Attendance'!$I$6:$I$155,G125))</x:f>
      </x:c>
      <x:c r="S125" s="94" t="str">
        <x:f>IF(OR(B125="",G125=""),"",COUNTIFS('13 Effectiveness Review'!$C$6:$C$155,B125,'13 Effectiveness Review'!$F$6:$F$155,G125,'13 Effectiveness Review'!$X$6:$X$155,"Closed — Effective"))</x:f>
      </x:c>
      <x:c r="T125" s="94" t="str">
        <x:f>IF(B125="","",IF(K125="","Not Assessed",IF(O125="Expired","Renewal Due",IF(L125=0,"Competent","Skill Gap"))))</x:f>
      </x:c>
      <x:c r="U125" s="94" t="str">
        <x:f>IFERROR(VLOOKUP(D125&amp;"|"&amp;E125&amp;"|"&amp;G125,'03 Position Requirements'!$A$6:$R$285,14,FALSE),"")</x:f>
      </x:c>
      <x:c r="V125" s="92"/>
      <x:c r="W125" s="85" t="str">
        <x:f>IF(B125="","",B125&amp;"|"&amp;COUNTIF($B$6:B125,B125))</x:f>
      </x:c>
      <x:c r="X125" s="85" t="str">
        <x:f>IF(B125="","",G125)</x:f>
      </x:c>
      <x:c r="Y125" s="85" t="str">
        <x:f>IF(B125="","",H125)</x:f>
      </x:c>
      <x:c r="Z125" s="85" t="str">
        <x:f>IF(B125="","",I125)</x:f>
      </x:c>
      <x:c r="AA125" s="85" t="str">
        <x:f>IF(B125="","",J125)</x:f>
      </x:c>
      <x:c r="AB125" s="85" t="str">
        <x:f>IF(B125="","",K125)</x:f>
      </x:c>
      <x:c r="AC125" s="85" t="str">
        <x:f>IF(B125="","",L125)</x:f>
      </x:c>
      <x:c r="AD125" s="85" t="str">
        <x:f>IF(B125="","",M125)</x:f>
      </x:c>
      <x:c r="AE125" s="85" t="str">
        <x:f>IF(B125="","",N125)</x:f>
      </x:c>
      <x:c r="AF125" s="85" t="str">
        <x:f>IF(B125="","",O125)</x:f>
      </x:c>
      <x:c r="AG125" s="85" t="str">
        <x:f>IF(B125="","",P125)</x:f>
      </x:c>
      <x:c r="AH125" s="85" t="str">
        <x:f>IF(B125="","",Q125)</x:f>
      </x:c>
      <x:c r="AI125" s="85" t="str">
        <x:f>IF(B125="","",R125)</x:f>
      </x:c>
      <x:c r="AJ125" s="85" t="str">
        <x:f>IF(B125="","",S125)</x:f>
      </x:c>
      <x:c r="AK125" s="85" t="str">
        <x:f>IF(B125="","",T125)</x:f>
      </x:c>
    </x:row>
    <x:row r="126">
      <x:c r="A126" s="94" t="str">
        <x:f>IF(OR(B126="",G126=""),"",B126&amp;"|"&amp;G126)</x:f>
      </x:c>
      <x:c r="B126" s="92"/>
      <x:c r="C126" s="94" t="str">
        <x:f>IFERROR(VLOOKUP(B126,'01 Staff Master'!$A$6:$M$105,2,FALSE),"")</x:f>
      </x:c>
      <x:c r="D126" s="94" t="str">
        <x:f>IFERROR(VLOOKUP(B126,'01 Staff Master'!$A$6:$M$105,3,FALSE),"")</x:f>
      </x:c>
      <x:c r="E126" s="94" t="str">
        <x:f>IFERROR(VLOOKUP(B126,'01 Staff Master'!$A$6:$M$105,5,FALSE),"")</x:f>
      </x:c>
      <x:c r="F126" s="94" t="str">
        <x:f>IFERROR(VLOOKUP(B126,'01 Staff Master'!$A$6:$M$105,4,FALSE),"")</x:f>
      </x:c>
      <x:c r="G126" s="92"/>
      <x:c r="H126" s="94" t="str">
        <x:f>IFERROR(VLOOKUP(G126,'02 Skill Catalogue'!$A$6:$K$95,4,FALSE),"")</x:f>
      </x:c>
      <x:c r="I126" s="94" t="str">
        <x:f>IFERROR(VLOOKUP(D126&amp;"|"&amp;E126&amp;"|"&amp;G126,'03 Position Requirements'!$A$6:$R$285,8,FALSE),"")</x:f>
      </x:c>
      <x:c r="J126" s="94" t="str">
        <x:f>IFERROR(VLOOKUP(D126&amp;"|"&amp;E126&amp;"|"&amp;G126,'03 Position Requirements'!$A$6:$R$285,10,FALSE),"")</x:f>
      </x:c>
      <x:c r="K126" s="94" t="str">
        <x:f>IF(OR(B126="",G126=""),"",IF(COUNTIFS('04 Assessment Log'!$D$6:$D$155,B126,'04 Assessment Log'!$J$6:$J$155,G126,'04 Assessment Log'!$AA$6:$AA$155,"Yes")=0,"",SUMIFS('04 Assessment Log'!$O$6:$O$155,'04 Assessment Log'!$D$6:$D$155,B126,'04 Assessment Log'!$J$6:$J$155,G126,'04 Assessment Log'!$AA$6:$AA$155,"Yes")))</x:f>
      </x:c>
      <x:c r="L126" s="94" t="str">
        <x:f>IF(OR(J126="",K126=""),"",MAX(J126-K126,0))</x:f>
      </x:c>
      <x:c r="M126" s="102" t="str">
        <x:f>IF(COUNTIFS('04 Assessment Log'!$D$6:$D$155,B126,'04 Assessment Log'!$J$6:$J$155,G126,'04 Assessment Log'!$AA$6:$AA$155,"Yes")=0,"",SUMIFS('04 Assessment Log'!$B$6:$B$155,'04 Assessment Log'!$D$6:$D$155,B126,'04 Assessment Log'!$J$6:$J$155,G126,'04 Assessment Log'!$AA$6:$AA$155,"Yes"))</x:f>
      </x:c>
      <x:c r="N126" s="102" t="str">
        <x:f>IF(M126="","",SUMIFS('04 Assessment Log'!$Z$6:$Z$155,'04 Assessment Log'!$D$6:$D$155,B126,'04 Assessment Log'!$J$6:$J$155,G126,'04 Assessment Log'!$AA$6:$AA$155,"Yes"))</x:f>
      </x:c>
      <x:c r="O126" s="94" t="str">
        <x:f>IF(M126="","Not Assessed",IF(N126&lt;TODAY(),"Expired",IF(N126&lt;=TODAY()+30,"Due Soon","Current")))</x:f>
        <x:v>Not Assessed</x:v>
      </x:c>
      <x:c r="P126" s="94" t="str">
        <x:f>IF(OR(B126="",G126=""),"",COUNTIFS('05 Development Actions'!$C$6:$C$105,B126,'05 Development Actions'!$G$6:$G$105,G126,'05 Development Actions'!$A$6:$A$105,"&lt;&gt;",'05 Development Actions'!$AB$6:$AB$105,"&lt;&gt;Closed — Competent",'05 Development Actions'!$AB$6:$AB$105,"&lt;&gt;Cancelled"))</x:f>
      </x:c>
      <x:c r="Q126" s="94" t="str">
        <x:f>IF(OR(B126="",G126=""),"",COUNTIFS('11 Training Attendance'!$E$6:$E$155,B126,'11 Training Attendance'!$K$6:$K$155,"Attended",'11 Training Attendance'!$I$6:$I$155,G126))</x:f>
      </x:c>
      <x:c r="R126" s="102" t="str">
        <x:f>IF(Q126=0,"",MAXIFS('11 Training Attendance'!$D$6:$D$155,'11 Training Attendance'!$E$6:$E$155,B126,'11 Training Attendance'!$K$6:$K$155,"Attended",'11 Training Attendance'!$I$6:$I$155,G126))</x:f>
      </x:c>
      <x:c r="S126" s="94" t="str">
        <x:f>IF(OR(B126="",G126=""),"",COUNTIFS('13 Effectiveness Review'!$C$6:$C$155,B126,'13 Effectiveness Review'!$F$6:$F$155,G126,'13 Effectiveness Review'!$X$6:$X$155,"Closed — Effective"))</x:f>
      </x:c>
      <x:c r="T126" s="94" t="str">
        <x:f>IF(B126="","",IF(K126="","Not Assessed",IF(O126="Expired","Renewal Due",IF(L126=0,"Competent","Skill Gap"))))</x:f>
      </x:c>
      <x:c r="U126" s="94" t="str">
        <x:f>IFERROR(VLOOKUP(D126&amp;"|"&amp;E126&amp;"|"&amp;G126,'03 Position Requirements'!$A$6:$R$285,14,FALSE),"")</x:f>
      </x:c>
      <x:c r="V126" s="92"/>
      <x:c r="W126" s="85" t="str">
        <x:f>IF(B126="","",B126&amp;"|"&amp;COUNTIF($B$6:B126,B126))</x:f>
      </x:c>
      <x:c r="X126" s="85" t="str">
        <x:f>IF(B126="","",G126)</x:f>
      </x:c>
      <x:c r="Y126" s="85" t="str">
        <x:f>IF(B126="","",H126)</x:f>
      </x:c>
      <x:c r="Z126" s="85" t="str">
        <x:f>IF(B126="","",I126)</x:f>
      </x:c>
      <x:c r="AA126" s="85" t="str">
        <x:f>IF(B126="","",J126)</x:f>
      </x:c>
      <x:c r="AB126" s="85" t="str">
        <x:f>IF(B126="","",K126)</x:f>
      </x:c>
      <x:c r="AC126" s="85" t="str">
        <x:f>IF(B126="","",L126)</x:f>
      </x:c>
      <x:c r="AD126" s="85" t="str">
        <x:f>IF(B126="","",M126)</x:f>
      </x:c>
      <x:c r="AE126" s="85" t="str">
        <x:f>IF(B126="","",N126)</x:f>
      </x:c>
      <x:c r="AF126" s="85" t="str">
        <x:f>IF(B126="","",O126)</x:f>
      </x:c>
      <x:c r="AG126" s="85" t="str">
        <x:f>IF(B126="","",P126)</x:f>
      </x:c>
      <x:c r="AH126" s="85" t="str">
        <x:f>IF(B126="","",Q126)</x:f>
      </x:c>
      <x:c r="AI126" s="85" t="str">
        <x:f>IF(B126="","",R126)</x:f>
      </x:c>
      <x:c r="AJ126" s="85" t="str">
        <x:f>IF(B126="","",S126)</x:f>
      </x:c>
      <x:c r="AK126" s="85" t="str">
        <x:f>IF(B126="","",T126)</x:f>
      </x:c>
    </x:row>
    <x:row r="127">
      <x:c r="A127" s="94" t="str">
        <x:f>IF(OR(B127="",G127=""),"",B127&amp;"|"&amp;G127)</x:f>
      </x:c>
      <x:c r="B127" s="92"/>
      <x:c r="C127" s="94" t="str">
        <x:f>IFERROR(VLOOKUP(B127,'01 Staff Master'!$A$6:$M$105,2,FALSE),"")</x:f>
      </x:c>
      <x:c r="D127" s="94" t="str">
        <x:f>IFERROR(VLOOKUP(B127,'01 Staff Master'!$A$6:$M$105,3,FALSE),"")</x:f>
      </x:c>
      <x:c r="E127" s="94" t="str">
        <x:f>IFERROR(VLOOKUP(B127,'01 Staff Master'!$A$6:$M$105,5,FALSE),"")</x:f>
      </x:c>
      <x:c r="F127" s="94" t="str">
        <x:f>IFERROR(VLOOKUP(B127,'01 Staff Master'!$A$6:$M$105,4,FALSE),"")</x:f>
      </x:c>
      <x:c r="G127" s="92"/>
      <x:c r="H127" s="94" t="str">
        <x:f>IFERROR(VLOOKUP(G127,'02 Skill Catalogue'!$A$6:$K$95,4,FALSE),"")</x:f>
      </x:c>
      <x:c r="I127" s="94" t="str">
        <x:f>IFERROR(VLOOKUP(D127&amp;"|"&amp;E127&amp;"|"&amp;G127,'03 Position Requirements'!$A$6:$R$285,8,FALSE),"")</x:f>
      </x:c>
      <x:c r="J127" s="94" t="str">
        <x:f>IFERROR(VLOOKUP(D127&amp;"|"&amp;E127&amp;"|"&amp;G127,'03 Position Requirements'!$A$6:$R$285,10,FALSE),"")</x:f>
      </x:c>
      <x:c r="K127" s="94" t="str">
        <x:f>IF(OR(B127="",G127=""),"",IF(COUNTIFS('04 Assessment Log'!$D$6:$D$155,B127,'04 Assessment Log'!$J$6:$J$155,G127,'04 Assessment Log'!$AA$6:$AA$155,"Yes")=0,"",SUMIFS('04 Assessment Log'!$O$6:$O$155,'04 Assessment Log'!$D$6:$D$155,B127,'04 Assessment Log'!$J$6:$J$155,G127,'04 Assessment Log'!$AA$6:$AA$155,"Yes")))</x:f>
      </x:c>
      <x:c r="L127" s="94" t="str">
        <x:f>IF(OR(J127="",K127=""),"",MAX(J127-K127,0))</x:f>
      </x:c>
      <x:c r="M127" s="102" t="str">
        <x:f>IF(COUNTIFS('04 Assessment Log'!$D$6:$D$155,B127,'04 Assessment Log'!$J$6:$J$155,G127,'04 Assessment Log'!$AA$6:$AA$155,"Yes")=0,"",SUMIFS('04 Assessment Log'!$B$6:$B$155,'04 Assessment Log'!$D$6:$D$155,B127,'04 Assessment Log'!$J$6:$J$155,G127,'04 Assessment Log'!$AA$6:$AA$155,"Yes"))</x:f>
      </x:c>
      <x:c r="N127" s="102" t="str">
        <x:f>IF(M127="","",SUMIFS('04 Assessment Log'!$Z$6:$Z$155,'04 Assessment Log'!$D$6:$D$155,B127,'04 Assessment Log'!$J$6:$J$155,G127,'04 Assessment Log'!$AA$6:$AA$155,"Yes"))</x:f>
      </x:c>
      <x:c r="O127" s="94" t="str">
        <x:f>IF(M127="","Not Assessed",IF(N127&lt;TODAY(),"Expired",IF(N127&lt;=TODAY()+30,"Due Soon","Current")))</x:f>
        <x:v>Not Assessed</x:v>
      </x:c>
      <x:c r="P127" s="94" t="str">
        <x:f>IF(OR(B127="",G127=""),"",COUNTIFS('05 Development Actions'!$C$6:$C$105,B127,'05 Development Actions'!$G$6:$G$105,G127,'05 Development Actions'!$A$6:$A$105,"&lt;&gt;",'05 Development Actions'!$AB$6:$AB$105,"&lt;&gt;Closed — Competent",'05 Development Actions'!$AB$6:$AB$105,"&lt;&gt;Cancelled"))</x:f>
      </x:c>
      <x:c r="Q127" s="94" t="str">
        <x:f>IF(OR(B127="",G127=""),"",COUNTIFS('11 Training Attendance'!$E$6:$E$155,B127,'11 Training Attendance'!$K$6:$K$155,"Attended",'11 Training Attendance'!$I$6:$I$155,G127))</x:f>
      </x:c>
      <x:c r="R127" s="102" t="str">
        <x:f>IF(Q127=0,"",MAXIFS('11 Training Attendance'!$D$6:$D$155,'11 Training Attendance'!$E$6:$E$155,B127,'11 Training Attendance'!$K$6:$K$155,"Attended",'11 Training Attendance'!$I$6:$I$155,G127))</x:f>
      </x:c>
      <x:c r="S127" s="94" t="str">
        <x:f>IF(OR(B127="",G127=""),"",COUNTIFS('13 Effectiveness Review'!$C$6:$C$155,B127,'13 Effectiveness Review'!$F$6:$F$155,G127,'13 Effectiveness Review'!$X$6:$X$155,"Closed — Effective"))</x:f>
      </x:c>
      <x:c r="T127" s="94" t="str">
        <x:f>IF(B127="","",IF(K127="","Not Assessed",IF(O127="Expired","Renewal Due",IF(L127=0,"Competent","Skill Gap"))))</x:f>
      </x:c>
      <x:c r="U127" s="94" t="str">
        <x:f>IFERROR(VLOOKUP(D127&amp;"|"&amp;E127&amp;"|"&amp;G127,'03 Position Requirements'!$A$6:$R$285,14,FALSE),"")</x:f>
      </x:c>
      <x:c r="V127" s="92"/>
      <x:c r="W127" s="85" t="str">
        <x:f>IF(B127="","",B127&amp;"|"&amp;COUNTIF($B$6:B127,B127))</x:f>
      </x:c>
      <x:c r="X127" s="85" t="str">
        <x:f>IF(B127="","",G127)</x:f>
      </x:c>
      <x:c r="Y127" s="85" t="str">
        <x:f>IF(B127="","",H127)</x:f>
      </x:c>
      <x:c r="Z127" s="85" t="str">
        <x:f>IF(B127="","",I127)</x:f>
      </x:c>
      <x:c r="AA127" s="85" t="str">
        <x:f>IF(B127="","",J127)</x:f>
      </x:c>
      <x:c r="AB127" s="85" t="str">
        <x:f>IF(B127="","",K127)</x:f>
      </x:c>
      <x:c r="AC127" s="85" t="str">
        <x:f>IF(B127="","",L127)</x:f>
      </x:c>
      <x:c r="AD127" s="85" t="str">
        <x:f>IF(B127="","",M127)</x:f>
      </x:c>
      <x:c r="AE127" s="85" t="str">
        <x:f>IF(B127="","",N127)</x:f>
      </x:c>
      <x:c r="AF127" s="85" t="str">
        <x:f>IF(B127="","",O127)</x:f>
      </x:c>
      <x:c r="AG127" s="85" t="str">
        <x:f>IF(B127="","",P127)</x:f>
      </x:c>
      <x:c r="AH127" s="85" t="str">
        <x:f>IF(B127="","",Q127)</x:f>
      </x:c>
      <x:c r="AI127" s="85" t="str">
        <x:f>IF(B127="","",R127)</x:f>
      </x:c>
      <x:c r="AJ127" s="85" t="str">
        <x:f>IF(B127="","",S127)</x:f>
      </x:c>
      <x:c r="AK127" s="85" t="str">
        <x:f>IF(B127="","",T127)</x:f>
      </x:c>
    </x:row>
    <x:row r="128">
      <x:c r="A128" s="94" t="str">
        <x:f>IF(OR(B128="",G128=""),"",B128&amp;"|"&amp;G128)</x:f>
      </x:c>
      <x:c r="B128" s="92"/>
      <x:c r="C128" s="94" t="str">
        <x:f>IFERROR(VLOOKUP(B128,'01 Staff Master'!$A$6:$M$105,2,FALSE),"")</x:f>
      </x:c>
      <x:c r="D128" s="94" t="str">
        <x:f>IFERROR(VLOOKUP(B128,'01 Staff Master'!$A$6:$M$105,3,FALSE),"")</x:f>
      </x:c>
      <x:c r="E128" s="94" t="str">
        <x:f>IFERROR(VLOOKUP(B128,'01 Staff Master'!$A$6:$M$105,5,FALSE),"")</x:f>
      </x:c>
      <x:c r="F128" s="94" t="str">
        <x:f>IFERROR(VLOOKUP(B128,'01 Staff Master'!$A$6:$M$105,4,FALSE),"")</x:f>
      </x:c>
      <x:c r="G128" s="92"/>
      <x:c r="H128" s="94" t="str">
        <x:f>IFERROR(VLOOKUP(G128,'02 Skill Catalogue'!$A$6:$K$95,4,FALSE),"")</x:f>
      </x:c>
      <x:c r="I128" s="94" t="str">
        <x:f>IFERROR(VLOOKUP(D128&amp;"|"&amp;E128&amp;"|"&amp;G128,'03 Position Requirements'!$A$6:$R$285,8,FALSE),"")</x:f>
      </x:c>
      <x:c r="J128" s="94" t="str">
        <x:f>IFERROR(VLOOKUP(D128&amp;"|"&amp;E128&amp;"|"&amp;G128,'03 Position Requirements'!$A$6:$R$285,10,FALSE),"")</x:f>
      </x:c>
      <x:c r="K128" s="94" t="str">
        <x:f>IF(OR(B128="",G128=""),"",IF(COUNTIFS('04 Assessment Log'!$D$6:$D$155,B128,'04 Assessment Log'!$J$6:$J$155,G128,'04 Assessment Log'!$AA$6:$AA$155,"Yes")=0,"",SUMIFS('04 Assessment Log'!$O$6:$O$155,'04 Assessment Log'!$D$6:$D$155,B128,'04 Assessment Log'!$J$6:$J$155,G128,'04 Assessment Log'!$AA$6:$AA$155,"Yes")))</x:f>
      </x:c>
      <x:c r="L128" s="94" t="str">
        <x:f>IF(OR(J128="",K128=""),"",MAX(J128-K128,0))</x:f>
      </x:c>
      <x:c r="M128" s="102" t="str">
        <x:f>IF(COUNTIFS('04 Assessment Log'!$D$6:$D$155,B128,'04 Assessment Log'!$J$6:$J$155,G128,'04 Assessment Log'!$AA$6:$AA$155,"Yes")=0,"",SUMIFS('04 Assessment Log'!$B$6:$B$155,'04 Assessment Log'!$D$6:$D$155,B128,'04 Assessment Log'!$J$6:$J$155,G128,'04 Assessment Log'!$AA$6:$AA$155,"Yes"))</x:f>
      </x:c>
      <x:c r="N128" s="102" t="str">
        <x:f>IF(M128="","",SUMIFS('04 Assessment Log'!$Z$6:$Z$155,'04 Assessment Log'!$D$6:$D$155,B128,'04 Assessment Log'!$J$6:$J$155,G128,'04 Assessment Log'!$AA$6:$AA$155,"Yes"))</x:f>
      </x:c>
      <x:c r="O128" s="94" t="str">
        <x:f>IF(M128="","Not Assessed",IF(N128&lt;TODAY(),"Expired",IF(N128&lt;=TODAY()+30,"Due Soon","Current")))</x:f>
        <x:v>Not Assessed</x:v>
      </x:c>
      <x:c r="P128" s="94" t="str">
        <x:f>IF(OR(B128="",G128=""),"",COUNTIFS('05 Development Actions'!$C$6:$C$105,B128,'05 Development Actions'!$G$6:$G$105,G128,'05 Development Actions'!$A$6:$A$105,"&lt;&gt;",'05 Development Actions'!$AB$6:$AB$105,"&lt;&gt;Closed — Competent",'05 Development Actions'!$AB$6:$AB$105,"&lt;&gt;Cancelled"))</x:f>
      </x:c>
      <x:c r="Q128" s="94" t="str">
        <x:f>IF(OR(B128="",G128=""),"",COUNTIFS('11 Training Attendance'!$E$6:$E$155,B128,'11 Training Attendance'!$K$6:$K$155,"Attended",'11 Training Attendance'!$I$6:$I$155,G128))</x:f>
      </x:c>
      <x:c r="R128" s="102" t="str">
        <x:f>IF(Q128=0,"",MAXIFS('11 Training Attendance'!$D$6:$D$155,'11 Training Attendance'!$E$6:$E$155,B128,'11 Training Attendance'!$K$6:$K$155,"Attended",'11 Training Attendance'!$I$6:$I$155,G128))</x:f>
      </x:c>
      <x:c r="S128" s="94" t="str">
        <x:f>IF(OR(B128="",G128=""),"",COUNTIFS('13 Effectiveness Review'!$C$6:$C$155,B128,'13 Effectiveness Review'!$F$6:$F$155,G128,'13 Effectiveness Review'!$X$6:$X$155,"Closed — Effective"))</x:f>
      </x:c>
      <x:c r="T128" s="94" t="str">
        <x:f>IF(B128="","",IF(K128="","Not Assessed",IF(O128="Expired","Renewal Due",IF(L128=0,"Competent","Skill Gap"))))</x:f>
      </x:c>
      <x:c r="U128" s="94" t="str">
        <x:f>IFERROR(VLOOKUP(D128&amp;"|"&amp;E128&amp;"|"&amp;G128,'03 Position Requirements'!$A$6:$R$285,14,FALSE),"")</x:f>
      </x:c>
      <x:c r="V128" s="92"/>
      <x:c r="W128" s="85" t="str">
        <x:f>IF(B128="","",B128&amp;"|"&amp;COUNTIF($B$6:B128,B128))</x:f>
      </x:c>
      <x:c r="X128" s="85" t="str">
        <x:f>IF(B128="","",G128)</x:f>
      </x:c>
      <x:c r="Y128" s="85" t="str">
        <x:f>IF(B128="","",H128)</x:f>
      </x:c>
      <x:c r="Z128" s="85" t="str">
        <x:f>IF(B128="","",I128)</x:f>
      </x:c>
      <x:c r="AA128" s="85" t="str">
        <x:f>IF(B128="","",J128)</x:f>
      </x:c>
      <x:c r="AB128" s="85" t="str">
        <x:f>IF(B128="","",K128)</x:f>
      </x:c>
      <x:c r="AC128" s="85" t="str">
        <x:f>IF(B128="","",L128)</x:f>
      </x:c>
      <x:c r="AD128" s="85" t="str">
        <x:f>IF(B128="","",M128)</x:f>
      </x:c>
      <x:c r="AE128" s="85" t="str">
        <x:f>IF(B128="","",N128)</x:f>
      </x:c>
      <x:c r="AF128" s="85" t="str">
        <x:f>IF(B128="","",O128)</x:f>
      </x:c>
      <x:c r="AG128" s="85" t="str">
        <x:f>IF(B128="","",P128)</x:f>
      </x:c>
      <x:c r="AH128" s="85" t="str">
        <x:f>IF(B128="","",Q128)</x:f>
      </x:c>
      <x:c r="AI128" s="85" t="str">
        <x:f>IF(B128="","",R128)</x:f>
      </x:c>
      <x:c r="AJ128" s="85" t="str">
        <x:f>IF(B128="","",S128)</x:f>
      </x:c>
      <x:c r="AK128" s="85" t="str">
        <x:f>IF(B128="","",T128)</x:f>
      </x:c>
    </x:row>
    <x:row r="129">
      <x:c r="A129" s="94" t="str">
        <x:f>IF(OR(B129="",G129=""),"",B129&amp;"|"&amp;G129)</x:f>
      </x:c>
      <x:c r="B129" s="92"/>
      <x:c r="C129" s="94" t="str">
        <x:f>IFERROR(VLOOKUP(B129,'01 Staff Master'!$A$6:$M$105,2,FALSE),"")</x:f>
      </x:c>
      <x:c r="D129" s="94" t="str">
        <x:f>IFERROR(VLOOKUP(B129,'01 Staff Master'!$A$6:$M$105,3,FALSE),"")</x:f>
      </x:c>
      <x:c r="E129" s="94" t="str">
        <x:f>IFERROR(VLOOKUP(B129,'01 Staff Master'!$A$6:$M$105,5,FALSE),"")</x:f>
      </x:c>
      <x:c r="F129" s="94" t="str">
        <x:f>IFERROR(VLOOKUP(B129,'01 Staff Master'!$A$6:$M$105,4,FALSE),"")</x:f>
      </x:c>
      <x:c r="G129" s="92"/>
      <x:c r="H129" s="94" t="str">
        <x:f>IFERROR(VLOOKUP(G129,'02 Skill Catalogue'!$A$6:$K$95,4,FALSE),"")</x:f>
      </x:c>
      <x:c r="I129" s="94" t="str">
        <x:f>IFERROR(VLOOKUP(D129&amp;"|"&amp;E129&amp;"|"&amp;G129,'03 Position Requirements'!$A$6:$R$285,8,FALSE),"")</x:f>
      </x:c>
      <x:c r="J129" s="94" t="str">
        <x:f>IFERROR(VLOOKUP(D129&amp;"|"&amp;E129&amp;"|"&amp;G129,'03 Position Requirements'!$A$6:$R$285,10,FALSE),"")</x:f>
      </x:c>
      <x:c r="K129" s="94" t="str">
        <x:f>IF(OR(B129="",G129=""),"",IF(COUNTIFS('04 Assessment Log'!$D$6:$D$155,B129,'04 Assessment Log'!$J$6:$J$155,G129,'04 Assessment Log'!$AA$6:$AA$155,"Yes")=0,"",SUMIFS('04 Assessment Log'!$O$6:$O$155,'04 Assessment Log'!$D$6:$D$155,B129,'04 Assessment Log'!$J$6:$J$155,G129,'04 Assessment Log'!$AA$6:$AA$155,"Yes")))</x:f>
      </x:c>
      <x:c r="L129" s="94" t="str">
        <x:f>IF(OR(J129="",K129=""),"",MAX(J129-K129,0))</x:f>
      </x:c>
      <x:c r="M129" s="102" t="str">
        <x:f>IF(COUNTIFS('04 Assessment Log'!$D$6:$D$155,B129,'04 Assessment Log'!$J$6:$J$155,G129,'04 Assessment Log'!$AA$6:$AA$155,"Yes")=0,"",SUMIFS('04 Assessment Log'!$B$6:$B$155,'04 Assessment Log'!$D$6:$D$155,B129,'04 Assessment Log'!$J$6:$J$155,G129,'04 Assessment Log'!$AA$6:$AA$155,"Yes"))</x:f>
      </x:c>
      <x:c r="N129" s="102" t="str">
        <x:f>IF(M129="","",SUMIFS('04 Assessment Log'!$Z$6:$Z$155,'04 Assessment Log'!$D$6:$D$155,B129,'04 Assessment Log'!$J$6:$J$155,G129,'04 Assessment Log'!$AA$6:$AA$155,"Yes"))</x:f>
      </x:c>
      <x:c r="O129" s="94" t="str">
        <x:f>IF(M129="","Not Assessed",IF(N129&lt;TODAY(),"Expired",IF(N129&lt;=TODAY()+30,"Due Soon","Current")))</x:f>
        <x:v>Not Assessed</x:v>
      </x:c>
      <x:c r="P129" s="94" t="str">
        <x:f>IF(OR(B129="",G129=""),"",COUNTIFS('05 Development Actions'!$C$6:$C$105,B129,'05 Development Actions'!$G$6:$G$105,G129,'05 Development Actions'!$A$6:$A$105,"&lt;&gt;",'05 Development Actions'!$AB$6:$AB$105,"&lt;&gt;Closed — Competent",'05 Development Actions'!$AB$6:$AB$105,"&lt;&gt;Cancelled"))</x:f>
      </x:c>
      <x:c r="Q129" s="94" t="str">
        <x:f>IF(OR(B129="",G129=""),"",COUNTIFS('11 Training Attendance'!$E$6:$E$155,B129,'11 Training Attendance'!$K$6:$K$155,"Attended",'11 Training Attendance'!$I$6:$I$155,G129))</x:f>
      </x:c>
      <x:c r="R129" s="102" t="str">
        <x:f>IF(Q129=0,"",MAXIFS('11 Training Attendance'!$D$6:$D$155,'11 Training Attendance'!$E$6:$E$155,B129,'11 Training Attendance'!$K$6:$K$155,"Attended",'11 Training Attendance'!$I$6:$I$155,G129))</x:f>
      </x:c>
      <x:c r="S129" s="94" t="str">
        <x:f>IF(OR(B129="",G129=""),"",COUNTIFS('13 Effectiveness Review'!$C$6:$C$155,B129,'13 Effectiveness Review'!$F$6:$F$155,G129,'13 Effectiveness Review'!$X$6:$X$155,"Closed — Effective"))</x:f>
      </x:c>
      <x:c r="T129" s="94" t="str">
        <x:f>IF(B129="","",IF(K129="","Not Assessed",IF(O129="Expired","Renewal Due",IF(L129=0,"Competent","Skill Gap"))))</x:f>
      </x:c>
      <x:c r="U129" s="94" t="str">
        <x:f>IFERROR(VLOOKUP(D129&amp;"|"&amp;E129&amp;"|"&amp;G129,'03 Position Requirements'!$A$6:$R$285,14,FALSE),"")</x:f>
      </x:c>
      <x:c r="V129" s="92"/>
      <x:c r="W129" s="85" t="str">
        <x:f>IF(B129="","",B129&amp;"|"&amp;COUNTIF($B$6:B129,B129))</x:f>
      </x:c>
      <x:c r="X129" s="85" t="str">
        <x:f>IF(B129="","",G129)</x:f>
      </x:c>
      <x:c r="Y129" s="85" t="str">
        <x:f>IF(B129="","",H129)</x:f>
      </x:c>
      <x:c r="Z129" s="85" t="str">
        <x:f>IF(B129="","",I129)</x:f>
      </x:c>
      <x:c r="AA129" s="85" t="str">
        <x:f>IF(B129="","",J129)</x:f>
      </x:c>
      <x:c r="AB129" s="85" t="str">
        <x:f>IF(B129="","",K129)</x:f>
      </x:c>
      <x:c r="AC129" s="85" t="str">
        <x:f>IF(B129="","",L129)</x:f>
      </x:c>
      <x:c r="AD129" s="85" t="str">
        <x:f>IF(B129="","",M129)</x:f>
      </x:c>
      <x:c r="AE129" s="85" t="str">
        <x:f>IF(B129="","",N129)</x:f>
      </x:c>
      <x:c r="AF129" s="85" t="str">
        <x:f>IF(B129="","",O129)</x:f>
      </x:c>
      <x:c r="AG129" s="85" t="str">
        <x:f>IF(B129="","",P129)</x:f>
      </x:c>
      <x:c r="AH129" s="85" t="str">
        <x:f>IF(B129="","",Q129)</x:f>
      </x:c>
      <x:c r="AI129" s="85" t="str">
        <x:f>IF(B129="","",R129)</x:f>
      </x:c>
      <x:c r="AJ129" s="85" t="str">
        <x:f>IF(B129="","",S129)</x:f>
      </x:c>
      <x:c r="AK129" s="85" t="str">
        <x:f>IF(B129="","",T129)</x:f>
      </x:c>
    </x:row>
    <x:row r="130">
      <x:c r="A130" s="94" t="str">
        <x:f>IF(OR(B130="",G130=""),"",B130&amp;"|"&amp;G130)</x:f>
      </x:c>
      <x:c r="B130" s="92"/>
      <x:c r="C130" s="94" t="str">
        <x:f>IFERROR(VLOOKUP(B130,'01 Staff Master'!$A$6:$M$105,2,FALSE),"")</x:f>
      </x:c>
      <x:c r="D130" s="94" t="str">
        <x:f>IFERROR(VLOOKUP(B130,'01 Staff Master'!$A$6:$M$105,3,FALSE),"")</x:f>
      </x:c>
      <x:c r="E130" s="94" t="str">
        <x:f>IFERROR(VLOOKUP(B130,'01 Staff Master'!$A$6:$M$105,5,FALSE),"")</x:f>
      </x:c>
      <x:c r="F130" s="94" t="str">
        <x:f>IFERROR(VLOOKUP(B130,'01 Staff Master'!$A$6:$M$105,4,FALSE),"")</x:f>
      </x:c>
      <x:c r="G130" s="92"/>
      <x:c r="H130" s="94" t="str">
        <x:f>IFERROR(VLOOKUP(G130,'02 Skill Catalogue'!$A$6:$K$95,4,FALSE),"")</x:f>
      </x:c>
      <x:c r="I130" s="94" t="str">
        <x:f>IFERROR(VLOOKUP(D130&amp;"|"&amp;E130&amp;"|"&amp;G130,'03 Position Requirements'!$A$6:$R$285,8,FALSE),"")</x:f>
      </x:c>
      <x:c r="J130" s="94" t="str">
        <x:f>IFERROR(VLOOKUP(D130&amp;"|"&amp;E130&amp;"|"&amp;G130,'03 Position Requirements'!$A$6:$R$285,10,FALSE),"")</x:f>
      </x:c>
      <x:c r="K130" s="94" t="str">
        <x:f>IF(OR(B130="",G130=""),"",IF(COUNTIFS('04 Assessment Log'!$D$6:$D$155,B130,'04 Assessment Log'!$J$6:$J$155,G130,'04 Assessment Log'!$AA$6:$AA$155,"Yes")=0,"",SUMIFS('04 Assessment Log'!$O$6:$O$155,'04 Assessment Log'!$D$6:$D$155,B130,'04 Assessment Log'!$J$6:$J$155,G130,'04 Assessment Log'!$AA$6:$AA$155,"Yes")))</x:f>
      </x:c>
      <x:c r="L130" s="94" t="str">
        <x:f>IF(OR(J130="",K130=""),"",MAX(J130-K130,0))</x:f>
      </x:c>
      <x:c r="M130" s="102" t="str">
        <x:f>IF(COUNTIFS('04 Assessment Log'!$D$6:$D$155,B130,'04 Assessment Log'!$J$6:$J$155,G130,'04 Assessment Log'!$AA$6:$AA$155,"Yes")=0,"",SUMIFS('04 Assessment Log'!$B$6:$B$155,'04 Assessment Log'!$D$6:$D$155,B130,'04 Assessment Log'!$J$6:$J$155,G130,'04 Assessment Log'!$AA$6:$AA$155,"Yes"))</x:f>
      </x:c>
      <x:c r="N130" s="102" t="str">
        <x:f>IF(M130="","",SUMIFS('04 Assessment Log'!$Z$6:$Z$155,'04 Assessment Log'!$D$6:$D$155,B130,'04 Assessment Log'!$J$6:$J$155,G130,'04 Assessment Log'!$AA$6:$AA$155,"Yes"))</x:f>
      </x:c>
      <x:c r="O130" s="94" t="str">
        <x:f>IF(M130="","Not Assessed",IF(N130&lt;TODAY(),"Expired",IF(N130&lt;=TODAY()+30,"Due Soon","Current")))</x:f>
        <x:v>Not Assessed</x:v>
      </x:c>
      <x:c r="P130" s="94" t="str">
        <x:f>IF(OR(B130="",G130=""),"",COUNTIFS('05 Development Actions'!$C$6:$C$105,B130,'05 Development Actions'!$G$6:$G$105,G130,'05 Development Actions'!$A$6:$A$105,"&lt;&gt;",'05 Development Actions'!$AB$6:$AB$105,"&lt;&gt;Closed — Competent",'05 Development Actions'!$AB$6:$AB$105,"&lt;&gt;Cancelled"))</x:f>
      </x:c>
      <x:c r="Q130" s="94" t="str">
        <x:f>IF(OR(B130="",G130=""),"",COUNTIFS('11 Training Attendance'!$E$6:$E$155,B130,'11 Training Attendance'!$K$6:$K$155,"Attended",'11 Training Attendance'!$I$6:$I$155,G130))</x:f>
      </x:c>
      <x:c r="R130" s="102" t="str">
        <x:f>IF(Q130=0,"",MAXIFS('11 Training Attendance'!$D$6:$D$155,'11 Training Attendance'!$E$6:$E$155,B130,'11 Training Attendance'!$K$6:$K$155,"Attended",'11 Training Attendance'!$I$6:$I$155,G130))</x:f>
      </x:c>
      <x:c r="S130" s="94" t="str">
        <x:f>IF(OR(B130="",G130=""),"",COUNTIFS('13 Effectiveness Review'!$C$6:$C$155,B130,'13 Effectiveness Review'!$F$6:$F$155,G130,'13 Effectiveness Review'!$X$6:$X$155,"Closed — Effective"))</x:f>
      </x:c>
      <x:c r="T130" s="94" t="str">
        <x:f>IF(B130="","",IF(K130="","Not Assessed",IF(O130="Expired","Renewal Due",IF(L130=0,"Competent","Skill Gap"))))</x:f>
      </x:c>
      <x:c r="U130" s="94" t="str">
        <x:f>IFERROR(VLOOKUP(D130&amp;"|"&amp;E130&amp;"|"&amp;G130,'03 Position Requirements'!$A$6:$R$285,14,FALSE),"")</x:f>
      </x:c>
      <x:c r="V130" s="92"/>
      <x:c r="W130" s="85" t="str">
        <x:f>IF(B130="","",B130&amp;"|"&amp;COUNTIF($B$6:B130,B130))</x:f>
      </x:c>
      <x:c r="X130" s="85" t="str">
        <x:f>IF(B130="","",G130)</x:f>
      </x:c>
      <x:c r="Y130" s="85" t="str">
        <x:f>IF(B130="","",H130)</x:f>
      </x:c>
      <x:c r="Z130" s="85" t="str">
        <x:f>IF(B130="","",I130)</x:f>
      </x:c>
      <x:c r="AA130" s="85" t="str">
        <x:f>IF(B130="","",J130)</x:f>
      </x:c>
      <x:c r="AB130" s="85" t="str">
        <x:f>IF(B130="","",K130)</x:f>
      </x:c>
      <x:c r="AC130" s="85" t="str">
        <x:f>IF(B130="","",L130)</x:f>
      </x:c>
      <x:c r="AD130" s="85" t="str">
        <x:f>IF(B130="","",M130)</x:f>
      </x:c>
      <x:c r="AE130" s="85" t="str">
        <x:f>IF(B130="","",N130)</x:f>
      </x:c>
      <x:c r="AF130" s="85" t="str">
        <x:f>IF(B130="","",O130)</x:f>
      </x:c>
      <x:c r="AG130" s="85" t="str">
        <x:f>IF(B130="","",P130)</x:f>
      </x:c>
      <x:c r="AH130" s="85" t="str">
        <x:f>IF(B130="","",Q130)</x:f>
      </x:c>
      <x:c r="AI130" s="85" t="str">
        <x:f>IF(B130="","",R130)</x:f>
      </x:c>
      <x:c r="AJ130" s="85" t="str">
        <x:f>IF(B130="","",S130)</x:f>
      </x:c>
      <x:c r="AK130" s="85" t="str">
        <x:f>IF(B130="","",T130)</x:f>
      </x:c>
    </x:row>
    <x:row r="131">
      <x:c r="A131" s="94" t="str">
        <x:f>IF(OR(B131="",G131=""),"",B131&amp;"|"&amp;G131)</x:f>
      </x:c>
      <x:c r="B131" s="92"/>
      <x:c r="C131" s="94" t="str">
        <x:f>IFERROR(VLOOKUP(B131,'01 Staff Master'!$A$6:$M$105,2,FALSE),"")</x:f>
      </x:c>
      <x:c r="D131" s="94" t="str">
        <x:f>IFERROR(VLOOKUP(B131,'01 Staff Master'!$A$6:$M$105,3,FALSE),"")</x:f>
      </x:c>
      <x:c r="E131" s="94" t="str">
        <x:f>IFERROR(VLOOKUP(B131,'01 Staff Master'!$A$6:$M$105,5,FALSE),"")</x:f>
      </x:c>
      <x:c r="F131" s="94" t="str">
        <x:f>IFERROR(VLOOKUP(B131,'01 Staff Master'!$A$6:$M$105,4,FALSE),"")</x:f>
      </x:c>
      <x:c r="G131" s="92"/>
      <x:c r="H131" s="94" t="str">
        <x:f>IFERROR(VLOOKUP(G131,'02 Skill Catalogue'!$A$6:$K$95,4,FALSE),"")</x:f>
      </x:c>
      <x:c r="I131" s="94" t="str">
        <x:f>IFERROR(VLOOKUP(D131&amp;"|"&amp;E131&amp;"|"&amp;G131,'03 Position Requirements'!$A$6:$R$285,8,FALSE),"")</x:f>
      </x:c>
      <x:c r="J131" s="94" t="str">
        <x:f>IFERROR(VLOOKUP(D131&amp;"|"&amp;E131&amp;"|"&amp;G131,'03 Position Requirements'!$A$6:$R$285,10,FALSE),"")</x:f>
      </x:c>
      <x:c r="K131" s="94" t="str">
        <x:f>IF(OR(B131="",G131=""),"",IF(COUNTIFS('04 Assessment Log'!$D$6:$D$155,B131,'04 Assessment Log'!$J$6:$J$155,G131,'04 Assessment Log'!$AA$6:$AA$155,"Yes")=0,"",SUMIFS('04 Assessment Log'!$O$6:$O$155,'04 Assessment Log'!$D$6:$D$155,B131,'04 Assessment Log'!$J$6:$J$155,G131,'04 Assessment Log'!$AA$6:$AA$155,"Yes")))</x:f>
      </x:c>
      <x:c r="L131" s="94" t="str">
        <x:f>IF(OR(J131="",K131=""),"",MAX(J131-K131,0))</x:f>
      </x:c>
      <x:c r="M131" s="102" t="str">
        <x:f>IF(COUNTIFS('04 Assessment Log'!$D$6:$D$155,B131,'04 Assessment Log'!$J$6:$J$155,G131,'04 Assessment Log'!$AA$6:$AA$155,"Yes")=0,"",SUMIFS('04 Assessment Log'!$B$6:$B$155,'04 Assessment Log'!$D$6:$D$155,B131,'04 Assessment Log'!$J$6:$J$155,G131,'04 Assessment Log'!$AA$6:$AA$155,"Yes"))</x:f>
      </x:c>
      <x:c r="N131" s="102" t="str">
        <x:f>IF(M131="","",SUMIFS('04 Assessment Log'!$Z$6:$Z$155,'04 Assessment Log'!$D$6:$D$155,B131,'04 Assessment Log'!$J$6:$J$155,G131,'04 Assessment Log'!$AA$6:$AA$155,"Yes"))</x:f>
      </x:c>
      <x:c r="O131" s="94" t="str">
        <x:f>IF(M131="","Not Assessed",IF(N131&lt;TODAY(),"Expired",IF(N131&lt;=TODAY()+30,"Due Soon","Current")))</x:f>
        <x:v>Not Assessed</x:v>
      </x:c>
      <x:c r="P131" s="94" t="str">
        <x:f>IF(OR(B131="",G131=""),"",COUNTIFS('05 Development Actions'!$C$6:$C$105,B131,'05 Development Actions'!$G$6:$G$105,G131,'05 Development Actions'!$A$6:$A$105,"&lt;&gt;",'05 Development Actions'!$AB$6:$AB$105,"&lt;&gt;Closed — Competent",'05 Development Actions'!$AB$6:$AB$105,"&lt;&gt;Cancelled"))</x:f>
      </x:c>
      <x:c r="Q131" s="94" t="str">
        <x:f>IF(OR(B131="",G131=""),"",COUNTIFS('11 Training Attendance'!$E$6:$E$155,B131,'11 Training Attendance'!$K$6:$K$155,"Attended",'11 Training Attendance'!$I$6:$I$155,G131))</x:f>
      </x:c>
      <x:c r="R131" s="102" t="str">
        <x:f>IF(Q131=0,"",MAXIFS('11 Training Attendance'!$D$6:$D$155,'11 Training Attendance'!$E$6:$E$155,B131,'11 Training Attendance'!$K$6:$K$155,"Attended",'11 Training Attendance'!$I$6:$I$155,G131))</x:f>
      </x:c>
      <x:c r="S131" s="94" t="str">
        <x:f>IF(OR(B131="",G131=""),"",COUNTIFS('13 Effectiveness Review'!$C$6:$C$155,B131,'13 Effectiveness Review'!$F$6:$F$155,G131,'13 Effectiveness Review'!$X$6:$X$155,"Closed — Effective"))</x:f>
      </x:c>
      <x:c r="T131" s="94" t="str">
        <x:f>IF(B131="","",IF(K131="","Not Assessed",IF(O131="Expired","Renewal Due",IF(L131=0,"Competent","Skill Gap"))))</x:f>
      </x:c>
      <x:c r="U131" s="94" t="str">
        <x:f>IFERROR(VLOOKUP(D131&amp;"|"&amp;E131&amp;"|"&amp;G131,'03 Position Requirements'!$A$6:$R$285,14,FALSE),"")</x:f>
      </x:c>
      <x:c r="V131" s="92"/>
      <x:c r="W131" s="85" t="str">
        <x:f>IF(B131="","",B131&amp;"|"&amp;COUNTIF($B$6:B131,B131))</x:f>
      </x:c>
      <x:c r="X131" s="85" t="str">
        <x:f>IF(B131="","",G131)</x:f>
      </x:c>
      <x:c r="Y131" s="85" t="str">
        <x:f>IF(B131="","",H131)</x:f>
      </x:c>
      <x:c r="Z131" s="85" t="str">
        <x:f>IF(B131="","",I131)</x:f>
      </x:c>
      <x:c r="AA131" s="85" t="str">
        <x:f>IF(B131="","",J131)</x:f>
      </x:c>
      <x:c r="AB131" s="85" t="str">
        <x:f>IF(B131="","",K131)</x:f>
      </x:c>
      <x:c r="AC131" s="85" t="str">
        <x:f>IF(B131="","",L131)</x:f>
      </x:c>
      <x:c r="AD131" s="85" t="str">
        <x:f>IF(B131="","",M131)</x:f>
      </x:c>
      <x:c r="AE131" s="85" t="str">
        <x:f>IF(B131="","",N131)</x:f>
      </x:c>
      <x:c r="AF131" s="85" t="str">
        <x:f>IF(B131="","",O131)</x:f>
      </x:c>
      <x:c r="AG131" s="85" t="str">
        <x:f>IF(B131="","",P131)</x:f>
      </x:c>
      <x:c r="AH131" s="85" t="str">
        <x:f>IF(B131="","",Q131)</x:f>
      </x:c>
      <x:c r="AI131" s="85" t="str">
        <x:f>IF(B131="","",R131)</x:f>
      </x:c>
      <x:c r="AJ131" s="85" t="str">
        <x:f>IF(B131="","",S131)</x:f>
      </x:c>
      <x:c r="AK131" s="85" t="str">
        <x:f>IF(B131="","",T131)</x:f>
      </x:c>
    </x:row>
    <x:row r="132">
      <x:c r="A132" s="94" t="str">
        <x:f>IF(OR(B132="",G132=""),"",B132&amp;"|"&amp;G132)</x:f>
      </x:c>
      <x:c r="B132" s="92"/>
      <x:c r="C132" s="94" t="str">
        <x:f>IFERROR(VLOOKUP(B132,'01 Staff Master'!$A$6:$M$105,2,FALSE),"")</x:f>
      </x:c>
      <x:c r="D132" s="94" t="str">
        <x:f>IFERROR(VLOOKUP(B132,'01 Staff Master'!$A$6:$M$105,3,FALSE),"")</x:f>
      </x:c>
      <x:c r="E132" s="94" t="str">
        <x:f>IFERROR(VLOOKUP(B132,'01 Staff Master'!$A$6:$M$105,5,FALSE),"")</x:f>
      </x:c>
      <x:c r="F132" s="94" t="str">
        <x:f>IFERROR(VLOOKUP(B132,'01 Staff Master'!$A$6:$M$105,4,FALSE),"")</x:f>
      </x:c>
      <x:c r="G132" s="92"/>
      <x:c r="H132" s="94" t="str">
        <x:f>IFERROR(VLOOKUP(G132,'02 Skill Catalogue'!$A$6:$K$95,4,FALSE),"")</x:f>
      </x:c>
      <x:c r="I132" s="94" t="str">
        <x:f>IFERROR(VLOOKUP(D132&amp;"|"&amp;E132&amp;"|"&amp;G132,'03 Position Requirements'!$A$6:$R$285,8,FALSE),"")</x:f>
      </x:c>
      <x:c r="J132" s="94" t="str">
        <x:f>IFERROR(VLOOKUP(D132&amp;"|"&amp;E132&amp;"|"&amp;G132,'03 Position Requirements'!$A$6:$R$285,10,FALSE),"")</x:f>
      </x:c>
      <x:c r="K132" s="94" t="str">
        <x:f>IF(OR(B132="",G132=""),"",IF(COUNTIFS('04 Assessment Log'!$D$6:$D$155,B132,'04 Assessment Log'!$J$6:$J$155,G132,'04 Assessment Log'!$AA$6:$AA$155,"Yes")=0,"",SUMIFS('04 Assessment Log'!$O$6:$O$155,'04 Assessment Log'!$D$6:$D$155,B132,'04 Assessment Log'!$J$6:$J$155,G132,'04 Assessment Log'!$AA$6:$AA$155,"Yes")))</x:f>
      </x:c>
      <x:c r="L132" s="94" t="str">
        <x:f>IF(OR(J132="",K132=""),"",MAX(J132-K132,0))</x:f>
      </x:c>
      <x:c r="M132" s="102" t="str">
        <x:f>IF(COUNTIFS('04 Assessment Log'!$D$6:$D$155,B132,'04 Assessment Log'!$J$6:$J$155,G132,'04 Assessment Log'!$AA$6:$AA$155,"Yes")=0,"",SUMIFS('04 Assessment Log'!$B$6:$B$155,'04 Assessment Log'!$D$6:$D$155,B132,'04 Assessment Log'!$J$6:$J$155,G132,'04 Assessment Log'!$AA$6:$AA$155,"Yes"))</x:f>
      </x:c>
      <x:c r="N132" s="102" t="str">
        <x:f>IF(M132="","",SUMIFS('04 Assessment Log'!$Z$6:$Z$155,'04 Assessment Log'!$D$6:$D$155,B132,'04 Assessment Log'!$J$6:$J$155,G132,'04 Assessment Log'!$AA$6:$AA$155,"Yes"))</x:f>
      </x:c>
      <x:c r="O132" s="94" t="str">
        <x:f>IF(M132="","Not Assessed",IF(N132&lt;TODAY(),"Expired",IF(N132&lt;=TODAY()+30,"Due Soon","Current")))</x:f>
        <x:v>Not Assessed</x:v>
      </x:c>
      <x:c r="P132" s="94" t="str">
        <x:f>IF(OR(B132="",G132=""),"",COUNTIFS('05 Development Actions'!$C$6:$C$105,B132,'05 Development Actions'!$G$6:$G$105,G132,'05 Development Actions'!$A$6:$A$105,"&lt;&gt;",'05 Development Actions'!$AB$6:$AB$105,"&lt;&gt;Closed — Competent",'05 Development Actions'!$AB$6:$AB$105,"&lt;&gt;Cancelled"))</x:f>
      </x:c>
      <x:c r="Q132" s="94" t="str">
        <x:f>IF(OR(B132="",G132=""),"",COUNTIFS('11 Training Attendance'!$E$6:$E$155,B132,'11 Training Attendance'!$K$6:$K$155,"Attended",'11 Training Attendance'!$I$6:$I$155,G132))</x:f>
      </x:c>
      <x:c r="R132" s="102" t="str">
        <x:f>IF(Q132=0,"",MAXIFS('11 Training Attendance'!$D$6:$D$155,'11 Training Attendance'!$E$6:$E$155,B132,'11 Training Attendance'!$K$6:$K$155,"Attended",'11 Training Attendance'!$I$6:$I$155,G132))</x:f>
      </x:c>
      <x:c r="S132" s="94" t="str">
        <x:f>IF(OR(B132="",G132=""),"",COUNTIFS('13 Effectiveness Review'!$C$6:$C$155,B132,'13 Effectiveness Review'!$F$6:$F$155,G132,'13 Effectiveness Review'!$X$6:$X$155,"Closed — Effective"))</x:f>
      </x:c>
      <x:c r="T132" s="94" t="str">
        <x:f>IF(B132="","",IF(K132="","Not Assessed",IF(O132="Expired","Renewal Due",IF(L132=0,"Competent","Skill Gap"))))</x:f>
      </x:c>
      <x:c r="U132" s="94" t="str">
        <x:f>IFERROR(VLOOKUP(D132&amp;"|"&amp;E132&amp;"|"&amp;G132,'03 Position Requirements'!$A$6:$R$285,14,FALSE),"")</x:f>
      </x:c>
      <x:c r="V132" s="92"/>
      <x:c r="W132" s="85" t="str">
        <x:f>IF(B132="","",B132&amp;"|"&amp;COUNTIF($B$6:B132,B132))</x:f>
      </x:c>
      <x:c r="X132" s="85" t="str">
        <x:f>IF(B132="","",G132)</x:f>
      </x:c>
      <x:c r="Y132" s="85" t="str">
        <x:f>IF(B132="","",H132)</x:f>
      </x:c>
      <x:c r="Z132" s="85" t="str">
        <x:f>IF(B132="","",I132)</x:f>
      </x:c>
      <x:c r="AA132" s="85" t="str">
        <x:f>IF(B132="","",J132)</x:f>
      </x:c>
      <x:c r="AB132" s="85" t="str">
        <x:f>IF(B132="","",K132)</x:f>
      </x:c>
      <x:c r="AC132" s="85" t="str">
        <x:f>IF(B132="","",L132)</x:f>
      </x:c>
      <x:c r="AD132" s="85" t="str">
        <x:f>IF(B132="","",M132)</x:f>
      </x:c>
      <x:c r="AE132" s="85" t="str">
        <x:f>IF(B132="","",N132)</x:f>
      </x:c>
      <x:c r="AF132" s="85" t="str">
        <x:f>IF(B132="","",O132)</x:f>
      </x:c>
      <x:c r="AG132" s="85" t="str">
        <x:f>IF(B132="","",P132)</x:f>
      </x:c>
      <x:c r="AH132" s="85" t="str">
        <x:f>IF(B132="","",Q132)</x:f>
      </x:c>
      <x:c r="AI132" s="85" t="str">
        <x:f>IF(B132="","",R132)</x:f>
      </x:c>
      <x:c r="AJ132" s="85" t="str">
        <x:f>IF(B132="","",S132)</x:f>
      </x:c>
      <x:c r="AK132" s="85" t="str">
        <x:f>IF(B132="","",T132)</x:f>
      </x:c>
    </x:row>
    <x:row r="133">
      <x:c r="A133" s="94" t="str">
        <x:f>IF(OR(B133="",G133=""),"",B133&amp;"|"&amp;G133)</x:f>
      </x:c>
      <x:c r="B133" s="92"/>
      <x:c r="C133" s="94" t="str">
        <x:f>IFERROR(VLOOKUP(B133,'01 Staff Master'!$A$6:$M$105,2,FALSE),"")</x:f>
      </x:c>
      <x:c r="D133" s="94" t="str">
        <x:f>IFERROR(VLOOKUP(B133,'01 Staff Master'!$A$6:$M$105,3,FALSE),"")</x:f>
      </x:c>
      <x:c r="E133" s="94" t="str">
        <x:f>IFERROR(VLOOKUP(B133,'01 Staff Master'!$A$6:$M$105,5,FALSE),"")</x:f>
      </x:c>
      <x:c r="F133" s="94" t="str">
        <x:f>IFERROR(VLOOKUP(B133,'01 Staff Master'!$A$6:$M$105,4,FALSE),"")</x:f>
      </x:c>
      <x:c r="G133" s="92"/>
      <x:c r="H133" s="94" t="str">
        <x:f>IFERROR(VLOOKUP(G133,'02 Skill Catalogue'!$A$6:$K$95,4,FALSE),"")</x:f>
      </x:c>
      <x:c r="I133" s="94" t="str">
        <x:f>IFERROR(VLOOKUP(D133&amp;"|"&amp;E133&amp;"|"&amp;G133,'03 Position Requirements'!$A$6:$R$285,8,FALSE),"")</x:f>
      </x:c>
      <x:c r="J133" s="94" t="str">
        <x:f>IFERROR(VLOOKUP(D133&amp;"|"&amp;E133&amp;"|"&amp;G133,'03 Position Requirements'!$A$6:$R$285,10,FALSE),"")</x:f>
      </x:c>
      <x:c r="K133" s="94" t="str">
        <x:f>IF(OR(B133="",G133=""),"",IF(COUNTIFS('04 Assessment Log'!$D$6:$D$155,B133,'04 Assessment Log'!$J$6:$J$155,G133,'04 Assessment Log'!$AA$6:$AA$155,"Yes")=0,"",SUMIFS('04 Assessment Log'!$O$6:$O$155,'04 Assessment Log'!$D$6:$D$155,B133,'04 Assessment Log'!$J$6:$J$155,G133,'04 Assessment Log'!$AA$6:$AA$155,"Yes")))</x:f>
      </x:c>
      <x:c r="L133" s="94" t="str">
        <x:f>IF(OR(J133="",K133=""),"",MAX(J133-K133,0))</x:f>
      </x:c>
      <x:c r="M133" s="102" t="str">
        <x:f>IF(COUNTIFS('04 Assessment Log'!$D$6:$D$155,B133,'04 Assessment Log'!$J$6:$J$155,G133,'04 Assessment Log'!$AA$6:$AA$155,"Yes")=0,"",SUMIFS('04 Assessment Log'!$B$6:$B$155,'04 Assessment Log'!$D$6:$D$155,B133,'04 Assessment Log'!$J$6:$J$155,G133,'04 Assessment Log'!$AA$6:$AA$155,"Yes"))</x:f>
      </x:c>
      <x:c r="N133" s="102" t="str">
        <x:f>IF(M133="","",SUMIFS('04 Assessment Log'!$Z$6:$Z$155,'04 Assessment Log'!$D$6:$D$155,B133,'04 Assessment Log'!$J$6:$J$155,G133,'04 Assessment Log'!$AA$6:$AA$155,"Yes"))</x:f>
      </x:c>
      <x:c r="O133" s="94" t="str">
        <x:f>IF(M133="","Not Assessed",IF(N133&lt;TODAY(),"Expired",IF(N133&lt;=TODAY()+30,"Due Soon","Current")))</x:f>
        <x:v>Not Assessed</x:v>
      </x:c>
      <x:c r="P133" s="94" t="str">
        <x:f>IF(OR(B133="",G133=""),"",COUNTIFS('05 Development Actions'!$C$6:$C$105,B133,'05 Development Actions'!$G$6:$G$105,G133,'05 Development Actions'!$A$6:$A$105,"&lt;&gt;",'05 Development Actions'!$AB$6:$AB$105,"&lt;&gt;Closed — Competent",'05 Development Actions'!$AB$6:$AB$105,"&lt;&gt;Cancelled"))</x:f>
      </x:c>
      <x:c r="Q133" s="94" t="str">
        <x:f>IF(OR(B133="",G133=""),"",COUNTIFS('11 Training Attendance'!$E$6:$E$155,B133,'11 Training Attendance'!$K$6:$K$155,"Attended",'11 Training Attendance'!$I$6:$I$155,G133))</x:f>
      </x:c>
      <x:c r="R133" s="102" t="str">
        <x:f>IF(Q133=0,"",MAXIFS('11 Training Attendance'!$D$6:$D$155,'11 Training Attendance'!$E$6:$E$155,B133,'11 Training Attendance'!$K$6:$K$155,"Attended",'11 Training Attendance'!$I$6:$I$155,G133))</x:f>
      </x:c>
      <x:c r="S133" s="94" t="str">
        <x:f>IF(OR(B133="",G133=""),"",COUNTIFS('13 Effectiveness Review'!$C$6:$C$155,B133,'13 Effectiveness Review'!$F$6:$F$155,G133,'13 Effectiveness Review'!$X$6:$X$155,"Closed — Effective"))</x:f>
      </x:c>
      <x:c r="T133" s="94" t="str">
        <x:f>IF(B133="","",IF(K133="","Not Assessed",IF(O133="Expired","Renewal Due",IF(L133=0,"Competent","Skill Gap"))))</x:f>
      </x:c>
      <x:c r="U133" s="94" t="str">
        <x:f>IFERROR(VLOOKUP(D133&amp;"|"&amp;E133&amp;"|"&amp;G133,'03 Position Requirements'!$A$6:$R$285,14,FALSE),"")</x:f>
      </x:c>
      <x:c r="V133" s="92"/>
      <x:c r="W133" s="85" t="str">
        <x:f>IF(B133="","",B133&amp;"|"&amp;COUNTIF($B$6:B133,B133))</x:f>
      </x:c>
      <x:c r="X133" s="85" t="str">
        <x:f>IF(B133="","",G133)</x:f>
      </x:c>
      <x:c r="Y133" s="85" t="str">
        <x:f>IF(B133="","",H133)</x:f>
      </x:c>
      <x:c r="Z133" s="85" t="str">
        <x:f>IF(B133="","",I133)</x:f>
      </x:c>
      <x:c r="AA133" s="85" t="str">
        <x:f>IF(B133="","",J133)</x:f>
      </x:c>
      <x:c r="AB133" s="85" t="str">
        <x:f>IF(B133="","",K133)</x:f>
      </x:c>
      <x:c r="AC133" s="85" t="str">
        <x:f>IF(B133="","",L133)</x:f>
      </x:c>
      <x:c r="AD133" s="85" t="str">
        <x:f>IF(B133="","",M133)</x:f>
      </x:c>
      <x:c r="AE133" s="85" t="str">
        <x:f>IF(B133="","",N133)</x:f>
      </x:c>
      <x:c r="AF133" s="85" t="str">
        <x:f>IF(B133="","",O133)</x:f>
      </x:c>
      <x:c r="AG133" s="85" t="str">
        <x:f>IF(B133="","",P133)</x:f>
      </x:c>
      <x:c r="AH133" s="85" t="str">
        <x:f>IF(B133="","",Q133)</x:f>
      </x:c>
      <x:c r="AI133" s="85" t="str">
        <x:f>IF(B133="","",R133)</x:f>
      </x:c>
      <x:c r="AJ133" s="85" t="str">
        <x:f>IF(B133="","",S133)</x:f>
      </x:c>
      <x:c r="AK133" s="85" t="str">
        <x:f>IF(B133="","",T133)</x:f>
      </x:c>
    </x:row>
    <x:row r="134">
      <x:c r="A134" s="94" t="str">
        <x:f>IF(OR(B134="",G134=""),"",B134&amp;"|"&amp;G134)</x:f>
      </x:c>
      <x:c r="B134" s="92"/>
      <x:c r="C134" s="94" t="str">
        <x:f>IFERROR(VLOOKUP(B134,'01 Staff Master'!$A$6:$M$105,2,FALSE),"")</x:f>
      </x:c>
      <x:c r="D134" s="94" t="str">
        <x:f>IFERROR(VLOOKUP(B134,'01 Staff Master'!$A$6:$M$105,3,FALSE),"")</x:f>
      </x:c>
      <x:c r="E134" s="94" t="str">
        <x:f>IFERROR(VLOOKUP(B134,'01 Staff Master'!$A$6:$M$105,5,FALSE),"")</x:f>
      </x:c>
      <x:c r="F134" s="94" t="str">
        <x:f>IFERROR(VLOOKUP(B134,'01 Staff Master'!$A$6:$M$105,4,FALSE),"")</x:f>
      </x:c>
      <x:c r="G134" s="92"/>
      <x:c r="H134" s="94" t="str">
        <x:f>IFERROR(VLOOKUP(G134,'02 Skill Catalogue'!$A$6:$K$95,4,FALSE),"")</x:f>
      </x:c>
      <x:c r="I134" s="94" t="str">
        <x:f>IFERROR(VLOOKUP(D134&amp;"|"&amp;E134&amp;"|"&amp;G134,'03 Position Requirements'!$A$6:$R$285,8,FALSE),"")</x:f>
      </x:c>
      <x:c r="J134" s="94" t="str">
        <x:f>IFERROR(VLOOKUP(D134&amp;"|"&amp;E134&amp;"|"&amp;G134,'03 Position Requirements'!$A$6:$R$285,10,FALSE),"")</x:f>
      </x:c>
      <x:c r="K134" s="94" t="str">
        <x:f>IF(OR(B134="",G134=""),"",IF(COUNTIFS('04 Assessment Log'!$D$6:$D$155,B134,'04 Assessment Log'!$J$6:$J$155,G134,'04 Assessment Log'!$AA$6:$AA$155,"Yes")=0,"",SUMIFS('04 Assessment Log'!$O$6:$O$155,'04 Assessment Log'!$D$6:$D$155,B134,'04 Assessment Log'!$J$6:$J$155,G134,'04 Assessment Log'!$AA$6:$AA$155,"Yes")))</x:f>
      </x:c>
      <x:c r="L134" s="94" t="str">
        <x:f>IF(OR(J134="",K134=""),"",MAX(J134-K134,0))</x:f>
      </x:c>
      <x:c r="M134" s="102" t="str">
        <x:f>IF(COUNTIFS('04 Assessment Log'!$D$6:$D$155,B134,'04 Assessment Log'!$J$6:$J$155,G134,'04 Assessment Log'!$AA$6:$AA$155,"Yes")=0,"",SUMIFS('04 Assessment Log'!$B$6:$B$155,'04 Assessment Log'!$D$6:$D$155,B134,'04 Assessment Log'!$J$6:$J$155,G134,'04 Assessment Log'!$AA$6:$AA$155,"Yes"))</x:f>
      </x:c>
      <x:c r="N134" s="102" t="str">
        <x:f>IF(M134="","",SUMIFS('04 Assessment Log'!$Z$6:$Z$155,'04 Assessment Log'!$D$6:$D$155,B134,'04 Assessment Log'!$J$6:$J$155,G134,'04 Assessment Log'!$AA$6:$AA$155,"Yes"))</x:f>
      </x:c>
      <x:c r="O134" s="94" t="str">
        <x:f>IF(M134="","Not Assessed",IF(N134&lt;TODAY(),"Expired",IF(N134&lt;=TODAY()+30,"Due Soon","Current")))</x:f>
        <x:v>Not Assessed</x:v>
      </x:c>
      <x:c r="P134" s="94" t="str">
        <x:f>IF(OR(B134="",G134=""),"",COUNTIFS('05 Development Actions'!$C$6:$C$105,B134,'05 Development Actions'!$G$6:$G$105,G134,'05 Development Actions'!$A$6:$A$105,"&lt;&gt;",'05 Development Actions'!$AB$6:$AB$105,"&lt;&gt;Closed — Competent",'05 Development Actions'!$AB$6:$AB$105,"&lt;&gt;Cancelled"))</x:f>
      </x:c>
      <x:c r="Q134" s="94" t="str">
        <x:f>IF(OR(B134="",G134=""),"",COUNTIFS('11 Training Attendance'!$E$6:$E$155,B134,'11 Training Attendance'!$K$6:$K$155,"Attended",'11 Training Attendance'!$I$6:$I$155,G134))</x:f>
      </x:c>
      <x:c r="R134" s="102" t="str">
        <x:f>IF(Q134=0,"",MAXIFS('11 Training Attendance'!$D$6:$D$155,'11 Training Attendance'!$E$6:$E$155,B134,'11 Training Attendance'!$K$6:$K$155,"Attended",'11 Training Attendance'!$I$6:$I$155,G134))</x:f>
      </x:c>
      <x:c r="S134" s="94" t="str">
        <x:f>IF(OR(B134="",G134=""),"",COUNTIFS('13 Effectiveness Review'!$C$6:$C$155,B134,'13 Effectiveness Review'!$F$6:$F$155,G134,'13 Effectiveness Review'!$X$6:$X$155,"Closed — Effective"))</x:f>
      </x:c>
      <x:c r="T134" s="94" t="str">
        <x:f>IF(B134="","",IF(K134="","Not Assessed",IF(O134="Expired","Renewal Due",IF(L134=0,"Competent","Skill Gap"))))</x:f>
      </x:c>
      <x:c r="U134" s="94" t="str">
        <x:f>IFERROR(VLOOKUP(D134&amp;"|"&amp;E134&amp;"|"&amp;G134,'03 Position Requirements'!$A$6:$R$285,14,FALSE),"")</x:f>
      </x:c>
      <x:c r="V134" s="92"/>
      <x:c r="W134" s="85" t="str">
        <x:f>IF(B134="","",B134&amp;"|"&amp;COUNTIF($B$6:B134,B134))</x:f>
      </x:c>
      <x:c r="X134" s="85" t="str">
        <x:f>IF(B134="","",G134)</x:f>
      </x:c>
      <x:c r="Y134" s="85" t="str">
        <x:f>IF(B134="","",H134)</x:f>
      </x:c>
      <x:c r="Z134" s="85" t="str">
        <x:f>IF(B134="","",I134)</x:f>
      </x:c>
      <x:c r="AA134" s="85" t="str">
        <x:f>IF(B134="","",J134)</x:f>
      </x:c>
      <x:c r="AB134" s="85" t="str">
        <x:f>IF(B134="","",K134)</x:f>
      </x:c>
      <x:c r="AC134" s="85" t="str">
        <x:f>IF(B134="","",L134)</x:f>
      </x:c>
      <x:c r="AD134" s="85" t="str">
        <x:f>IF(B134="","",M134)</x:f>
      </x:c>
      <x:c r="AE134" s="85" t="str">
        <x:f>IF(B134="","",N134)</x:f>
      </x:c>
      <x:c r="AF134" s="85" t="str">
        <x:f>IF(B134="","",O134)</x:f>
      </x:c>
      <x:c r="AG134" s="85" t="str">
        <x:f>IF(B134="","",P134)</x:f>
      </x:c>
      <x:c r="AH134" s="85" t="str">
        <x:f>IF(B134="","",Q134)</x:f>
      </x:c>
      <x:c r="AI134" s="85" t="str">
        <x:f>IF(B134="","",R134)</x:f>
      </x:c>
      <x:c r="AJ134" s="85" t="str">
        <x:f>IF(B134="","",S134)</x:f>
      </x:c>
      <x:c r="AK134" s="85" t="str">
        <x:f>IF(B134="","",T134)</x:f>
      </x:c>
    </x:row>
    <x:row r="135">
      <x:c r="A135" s="94" t="str">
        <x:f>IF(OR(B135="",G135=""),"",B135&amp;"|"&amp;G135)</x:f>
      </x:c>
      <x:c r="B135" s="92"/>
      <x:c r="C135" s="94" t="str">
        <x:f>IFERROR(VLOOKUP(B135,'01 Staff Master'!$A$6:$M$105,2,FALSE),"")</x:f>
      </x:c>
      <x:c r="D135" s="94" t="str">
        <x:f>IFERROR(VLOOKUP(B135,'01 Staff Master'!$A$6:$M$105,3,FALSE),"")</x:f>
      </x:c>
      <x:c r="E135" s="94" t="str">
        <x:f>IFERROR(VLOOKUP(B135,'01 Staff Master'!$A$6:$M$105,5,FALSE),"")</x:f>
      </x:c>
      <x:c r="F135" s="94" t="str">
        <x:f>IFERROR(VLOOKUP(B135,'01 Staff Master'!$A$6:$M$105,4,FALSE),"")</x:f>
      </x:c>
      <x:c r="G135" s="92"/>
      <x:c r="H135" s="94" t="str">
        <x:f>IFERROR(VLOOKUP(G135,'02 Skill Catalogue'!$A$6:$K$95,4,FALSE),"")</x:f>
      </x:c>
      <x:c r="I135" s="94" t="str">
        <x:f>IFERROR(VLOOKUP(D135&amp;"|"&amp;E135&amp;"|"&amp;G135,'03 Position Requirements'!$A$6:$R$285,8,FALSE),"")</x:f>
      </x:c>
      <x:c r="J135" s="94" t="str">
        <x:f>IFERROR(VLOOKUP(D135&amp;"|"&amp;E135&amp;"|"&amp;G135,'03 Position Requirements'!$A$6:$R$285,10,FALSE),"")</x:f>
      </x:c>
      <x:c r="K135" s="94" t="str">
        <x:f>IF(OR(B135="",G135=""),"",IF(COUNTIFS('04 Assessment Log'!$D$6:$D$155,B135,'04 Assessment Log'!$J$6:$J$155,G135,'04 Assessment Log'!$AA$6:$AA$155,"Yes")=0,"",SUMIFS('04 Assessment Log'!$O$6:$O$155,'04 Assessment Log'!$D$6:$D$155,B135,'04 Assessment Log'!$J$6:$J$155,G135,'04 Assessment Log'!$AA$6:$AA$155,"Yes")))</x:f>
      </x:c>
      <x:c r="L135" s="94" t="str">
        <x:f>IF(OR(J135="",K135=""),"",MAX(J135-K135,0))</x:f>
      </x:c>
      <x:c r="M135" s="102" t="str">
        <x:f>IF(COUNTIFS('04 Assessment Log'!$D$6:$D$155,B135,'04 Assessment Log'!$J$6:$J$155,G135,'04 Assessment Log'!$AA$6:$AA$155,"Yes")=0,"",SUMIFS('04 Assessment Log'!$B$6:$B$155,'04 Assessment Log'!$D$6:$D$155,B135,'04 Assessment Log'!$J$6:$J$155,G135,'04 Assessment Log'!$AA$6:$AA$155,"Yes"))</x:f>
      </x:c>
      <x:c r="N135" s="102" t="str">
        <x:f>IF(M135="","",SUMIFS('04 Assessment Log'!$Z$6:$Z$155,'04 Assessment Log'!$D$6:$D$155,B135,'04 Assessment Log'!$J$6:$J$155,G135,'04 Assessment Log'!$AA$6:$AA$155,"Yes"))</x:f>
      </x:c>
      <x:c r="O135" s="94" t="str">
        <x:f>IF(M135="","Not Assessed",IF(N135&lt;TODAY(),"Expired",IF(N135&lt;=TODAY()+30,"Due Soon","Current")))</x:f>
        <x:v>Not Assessed</x:v>
      </x:c>
      <x:c r="P135" s="94" t="str">
        <x:f>IF(OR(B135="",G135=""),"",COUNTIFS('05 Development Actions'!$C$6:$C$105,B135,'05 Development Actions'!$G$6:$G$105,G135,'05 Development Actions'!$A$6:$A$105,"&lt;&gt;",'05 Development Actions'!$AB$6:$AB$105,"&lt;&gt;Closed — Competent",'05 Development Actions'!$AB$6:$AB$105,"&lt;&gt;Cancelled"))</x:f>
      </x:c>
      <x:c r="Q135" s="94" t="str">
        <x:f>IF(OR(B135="",G135=""),"",COUNTIFS('11 Training Attendance'!$E$6:$E$155,B135,'11 Training Attendance'!$K$6:$K$155,"Attended",'11 Training Attendance'!$I$6:$I$155,G135))</x:f>
      </x:c>
      <x:c r="R135" s="102" t="str">
        <x:f>IF(Q135=0,"",MAXIFS('11 Training Attendance'!$D$6:$D$155,'11 Training Attendance'!$E$6:$E$155,B135,'11 Training Attendance'!$K$6:$K$155,"Attended",'11 Training Attendance'!$I$6:$I$155,G135))</x:f>
      </x:c>
      <x:c r="S135" s="94" t="str">
        <x:f>IF(OR(B135="",G135=""),"",COUNTIFS('13 Effectiveness Review'!$C$6:$C$155,B135,'13 Effectiveness Review'!$F$6:$F$155,G135,'13 Effectiveness Review'!$X$6:$X$155,"Closed — Effective"))</x:f>
      </x:c>
      <x:c r="T135" s="94" t="str">
        <x:f>IF(B135="","",IF(K135="","Not Assessed",IF(O135="Expired","Renewal Due",IF(L135=0,"Competent","Skill Gap"))))</x:f>
      </x:c>
      <x:c r="U135" s="94" t="str">
        <x:f>IFERROR(VLOOKUP(D135&amp;"|"&amp;E135&amp;"|"&amp;G135,'03 Position Requirements'!$A$6:$R$285,14,FALSE),"")</x:f>
      </x:c>
      <x:c r="V135" s="92"/>
      <x:c r="W135" s="85" t="str">
        <x:f>IF(B135="","",B135&amp;"|"&amp;COUNTIF($B$6:B135,B135))</x:f>
      </x:c>
      <x:c r="X135" s="85" t="str">
        <x:f>IF(B135="","",G135)</x:f>
      </x:c>
      <x:c r="Y135" s="85" t="str">
        <x:f>IF(B135="","",H135)</x:f>
      </x:c>
      <x:c r="Z135" s="85" t="str">
        <x:f>IF(B135="","",I135)</x:f>
      </x:c>
      <x:c r="AA135" s="85" t="str">
        <x:f>IF(B135="","",J135)</x:f>
      </x:c>
      <x:c r="AB135" s="85" t="str">
        <x:f>IF(B135="","",K135)</x:f>
      </x:c>
      <x:c r="AC135" s="85" t="str">
        <x:f>IF(B135="","",L135)</x:f>
      </x:c>
      <x:c r="AD135" s="85" t="str">
        <x:f>IF(B135="","",M135)</x:f>
      </x:c>
      <x:c r="AE135" s="85" t="str">
        <x:f>IF(B135="","",N135)</x:f>
      </x:c>
      <x:c r="AF135" s="85" t="str">
        <x:f>IF(B135="","",O135)</x:f>
      </x:c>
      <x:c r="AG135" s="85" t="str">
        <x:f>IF(B135="","",P135)</x:f>
      </x:c>
      <x:c r="AH135" s="85" t="str">
        <x:f>IF(B135="","",Q135)</x:f>
      </x:c>
      <x:c r="AI135" s="85" t="str">
        <x:f>IF(B135="","",R135)</x:f>
      </x:c>
      <x:c r="AJ135" s="85" t="str">
        <x:f>IF(B135="","",S135)</x:f>
      </x:c>
      <x:c r="AK135" s="85" t="str">
        <x:f>IF(B135="","",T135)</x:f>
      </x:c>
    </x:row>
    <x:row r="136">
      <x:c r="A136" s="94" t="str">
        <x:f>IF(OR(B136="",G136=""),"",B136&amp;"|"&amp;G136)</x:f>
      </x:c>
      <x:c r="B136" s="92"/>
      <x:c r="C136" s="94" t="str">
        <x:f>IFERROR(VLOOKUP(B136,'01 Staff Master'!$A$6:$M$105,2,FALSE),"")</x:f>
      </x:c>
      <x:c r="D136" s="94" t="str">
        <x:f>IFERROR(VLOOKUP(B136,'01 Staff Master'!$A$6:$M$105,3,FALSE),"")</x:f>
      </x:c>
      <x:c r="E136" s="94" t="str">
        <x:f>IFERROR(VLOOKUP(B136,'01 Staff Master'!$A$6:$M$105,5,FALSE),"")</x:f>
      </x:c>
      <x:c r="F136" s="94" t="str">
        <x:f>IFERROR(VLOOKUP(B136,'01 Staff Master'!$A$6:$M$105,4,FALSE),"")</x:f>
      </x:c>
      <x:c r="G136" s="92"/>
      <x:c r="H136" s="94" t="str">
        <x:f>IFERROR(VLOOKUP(G136,'02 Skill Catalogue'!$A$6:$K$95,4,FALSE),"")</x:f>
      </x:c>
      <x:c r="I136" s="94" t="str">
        <x:f>IFERROR(VLOOKUP(D136&amp;"|"&amp;E136&amp;"|"&amp;G136,'03 Position Requirements'!$A$6:$R$285,8,FALSE),"")</x:f>
      </x:c>
      <x:c r="J136" s="94" t="str">
        <x:f>IFERROR(VLOOKUP(D136&amp;"|"&amp;E136&amp;"|"&amp;G136,'03 Position Requirements'!$A$6:$R$285,10,FALSE),"")</x:f>
      </x:c>
      <x:c r="K136" s="94" t="str">
        <x:f>IF(OR(B136="",G136=""),"",IF(COUNTIFS('04 Assessment Log'!$D$6:$D$155,B136,'04 Assessment Log'!$J$6:$J$155,G136,'04 Assessment Log'!$AA$6:$AA$155,"Yes")=0,"",SUMIFS('04 Assessment Log'!$O$6:$O$155,'04 Assessment Log'!$D$6:$D$155,B136,'04 Assessment Log'!$J$6:$J$155,G136,'04 Assessment Log'!$AA$6:$AA$155,"Yes")))</x:f>
      </x:c>
      <x:c r="L136" s="94" t="str">
        <x:f>IF(OR(J136="",K136=""),"",MAX(J136-K136,0))</x:f>
      </x:c>
      <x:c r="M136" s="102" t="str">
        <x:f>IF(COUNTIFS('04 Assessment Log'!$D$6:$D$155,B136,'04 Assessment Log'!$J$6:$J$155,G136,'04 Assessment Log'!$AA$6:$AA$155,"Yes")=0,"",SUMIFS('04 Assessment Log'!$B$6:$B$155,'04 Assessment Log'!$D$6:$D$155,B136,'04 Assessment Log'!$J$6:$J$155,G136,'04 Assessment Log'!$AA$6:$AA$155,"Yes"))</x:f>
      </x:c>
      <x:c r="N136" s="102" t="str">
        <x:f>IF(M136="","",SUMIFS('04 Assessment Log'!$Z$6:$Z$155,'04 Assessment Log'!$D$6:$D$155,B136,'04 Assessment Log'!$J$6:$J$155,G136,'04 Assessment Log'!$AA$6:$AA$155,"Yes"))</x:f>
      </x:c>
      <x:c r="O136" s="94" t="str">
        <x:f>IF(M136="","Not Assessed",IF(N136&lt;TODAY(),"Expired",IF(N136&lt;=TODAY()+30,"Due Soon","Current")))</x:f>
        <x:v>Not Assessed</x:v>
      </x:c>
      <x:c r="P136" s="94" t="str">
        <x:f>IF(OR(B136="",G136=""),"",COUNTIFS('05 Development Actions'!$C$6:$C$105,B136,'05 Development Actions'!$G$6:$G$105,G136,'05 Development Actions'!$A$6:$A$105,"&lt;&gt;",'05 Development Actions'!$AB$6:$AB$105,"&lt;&gt;Closed — Competent",'05 Development Actions'!$AB$6:$AB$105,"&lt;&gt;Cancelled"))</x:f>
      </x:c>
      <x:c r="Q136" s="94" t="str">
        <x:f>IF(OR(B136="",G136=""),"",COUNTIFS('11 Training Attendance'!$E$6:$E$155,B136,'11 Training Attendance'!$K$6:$K$155,"Attended",'11 Training Attendance'!$I$6:$I$155,G136))</x:f>
      </x:c>
      <x:c r="R136" s="102" t="str">
        <x:f>IF(Q136=0,"",MAXIFS('11 Training Attendance'!$D$6:$D$155,'11 Training Attendance'!$E$6:$E$155,B136,'11 Training Attendance'!$K$6:$K$155,"Attended",'11 Training Attendance'!$I$6:$I$155,G136))</x:f>
      </x:c>
      <x:c r="S136" s="94" t="str">
        <x:f>IF(OR(B136="",G136=""),"",COUNTIFS('13 Effectiveness Review'!$C$6:$C$155,B136,'13 Effectiveness Review'!$F$6:$F$155,G136,'13 Effectiveness Review'!$X$6:$X$155,"Closed — Effective"))</x:f>
      </x:c>
      <x:c r="T136" s="94" t="str">
        <x:f>IF(B136="","",IF(K136="","Not Assessed",IF(O136="Expired","Renewal Due",IF(L136=0,"Competent","Skill Gap"))))</x:f>
      </x:c>
      <x:c r="U136" s="94" t="str">
        <x:f>IFERROR(VLOOKUP(D136&amp;"|"&amp;E136&amp;"|"&amp;G136,'03 Position Requirements'!$A$6:$R$285,14,FALSE),"")</x:f>
      </x:c>
      <x:c r="V136" s="92"/>
      <x:c r="W136" s="85" t="str">
        <x:f>IF(B136="","",B136&amp;"|"&amp;COUNTIF($B$6:B136,B136))</x:f>
      </x:c>
      <x:c r="X136" s="85" t="str">
        <x:f>IF(B136="","",G136)</x:f>
      </x:c>
      <x:c r="Y136" s="85" t="str">
        <x:f>IF(B136="","",H136)</x:f>
      </x:c>
      <x:c r="Z136" s="85" t="str">
        <x:f>IF(B136="","",I136)</x:f>
      </x:c>
      <x:c r="AA136" s="85" t="str">
        <x:f>IF(B136="","",J136)</x:f>
      </x:c>
      <x:c r="AB136" s="85" t="str">
        <x:f>IF(B136="","",K136)</x:f>
      </x:c>
      <x:c r="AC136" s="85" t="str">
        <x:f>IF(B136="","",L136)</x:f>
      </x:c>
      <x:c r="AD136" s="85" t="str">
        <x:f>IF(B136="","",M136)</x:f>
      </x:c>
      <x:c r="AE136" s="85" t="str">
        <x:f>IF(B136="","",N136)</x:f>
      </x:c>
      <x:c r="AF136" s="85" t="str">
        <x:f>IF(B136="","",O136)</x:f>
      </x:c>
      <x:c r="AG136" s="85" t="str">
        <x:f>IF(B136="","",P136)</x:f>
      </x:c>
      <x:c r="AH136" s="85" t="str">
        <x:f>IF(B136="","",Q136)</x:f>
      </x:c>
      <x:c r="AI136" s="85" t="str">
        <x:f>IF(B136="","",R136)</x:f>
      </x:c>
      <x:c r="AJ136" s="85" t="str">
        <x:f>IF(B136="","",S136)</x:f>
      </x:c>
      <x:c r="AK136" s="85" t="str">
        <x:f>IF(B136="","",T136)</x:f>
      </x:c>
    </x:row>
    <x:row r="137">
      <x:c r="A137" s="94" t="str">
        <x:f>IF(OR(B137="",G137=""),"",B137&amp;"|"&amp;G137)</x:f>
      </x:c>
      <x:c r="B137" s="92"/>
      <x:c r="C137" s="94" t="str">
        <x:f>IFERROR(VLOOKUP(B137,'01 Staff Master'!$A$6:$M$105,2,FALSE),"")</x:f>
      </x:c>
      <x:c r="D137" s="94" t="str">
        <x:f>IFERROR(VLOOKUP(B137,'01 Staff Master'!$A$6:$M$105,3,FALSE),"")</x:f>
      </x:c>
      <x:c r="E137" s="94" t="str">
        <x:f>IFERROR(VLOOKUP(B137,'01 Staff Master'!$A$6:$M$105,5,FALSE),"")</x:f>
      </x:c>
      <x:c r="F137" s="94" t="str">
        <x:f>IFERROR(VLOOKUP(B137,'01 Staff Master'!$A$6:$M$105,4,FALSE),"")</x:f>
      </x:c>
      <x:c r="G137" s="92"/>
      <x:c r="H137" s="94" t="str">
        <x:f>IFERROR(VLOOKUP(G137,'02 Skill Catalogue'!$A$6:$K$95,4,FALSE),"")</x:f>
      </x:c>
      <x:c r="I137" s="94" t="str">
        <x:f>IFERROR(VLOOKUP(D137&amp;"|"&amp;E137&amp;"|"&amp;G137,'03 Position Requirements'!$A$6:$R$285,8,FALSE),"")</x:f>
      </x:c>
      <x:c r="J137" s="94" t="str">
        <x:f>IFERROR(VLOOKUP(D137&amp;"|"&amp;E137&amp;"|"&amp;G137,'03 Position Requirements'!$A$6:$R$285,10,FALSE),"")</x:f>
      </x:c>
      <x:c r="K137" s="94" t="str">
        <x:f>IF(OR(B137="",G137=""),"",IF(COUNTIFS('04 Assessment Log'!$D$6:$D$155,B137,'04 Assessment Log'!$J$6:$J$155,G137,'04 Assessment Log'!$AA$6:$AA$155,"Yes")=0,"",SUMIFS('04 Assessment Log'!$O$6:$O$155,'04 Assessment Log'!$D$6:$D$155,B137,'04 Assessment Log'!$J$6:$J$155,G137,'04 Assessment Log'!$AA$6:$AA$155,"Yes")))</x:f>
      </x:c>
      <x:c r="L137" s="94" t="str">
        <x:f>IF(OR(J137="",K137=""),"",MAX(J137-K137,0))</x:f>
      </x:c>
      <x:c r="M137" s="102" t="str">
        <x:f>IF(COUNTIFS('04 Assessment Log'!$D$6:$D$155,B137,'04 Assessment Log'!$J$6:$J$155,G137,'04 Assessment Log'!$AA$6:$AA$155,"Yes")=0,"",SUMIFS('04 Assessment Log'!$B$6:$B$155,'04 Assessment Log'!$D$6:$D$155,B137,'04 Assessment Log'!$J$6:$J$155,G137,'04 Assessment Log'!$AA$6:$AA$155,"Yes"))</x:f>
      </x:c>
      <x:c r="N137" s="102" t="str">
        <x:f>IF(M137="","",SUMIFS('04 Assessment Log'!$Z$6:$Z$155,'04 Assessment Log'!$D$6:$D$155,B137,'04 Assessment Log'!$J$6:$J$155,G137,'04 Assessment Log'!$AA$6:$AA$155,"Yes"))</x:f>
      </x:c>
      <x:c r="O137" s="94" t="str">
        <x:f>IF(M137="","Not Assessed",IF(N137&lt;TODAY(),"Expired",IF(N137&lt;=TODAY()+30,"Due Soon","Current")))</x:f>
        <x:v>Not Assessed</x:v>
      </x:c>
      <x:c r="P137" s="94" t="str">
        <x:f>IF(OR(B137="",G137=""),"",COUNTIFS('05 Development Actions'!$C$6:$C$105,B137,'05 Development Actions'!$G$6:$G$105,G137,'05 Development Actions'!$A$6:$A$105,"&lt;&gt;",'05 Development Actions'!$AB$6:$AB$105,"&lt;&gt;Closed — Competent",'05 Development Actions'!$AB$6:$AB$105,"&lt;&gt;Cancelled"))</x:f>
      </x:c>
      <x:c r="Q137" s="94" t="str">
        <x:f>IF(OR(B137="",G137=""),"",COUNTIFS('11 Training Attendance'!$E$6:$E$155,B137,'11 Training Attendance'!$K$6:$K$155,"Attended",'11 Training Attendance'!$I$6:$I$155,G137))</x:f>
      </x:c>
      <x:c r="R137" s="102" t="str">
        <x:f>IF(Q137=0,"",MAXIFS('11 Training Attendance'!$D$6:$D$155,'11 Training Attendance'!$E$6:$E$155,B137,'11 Training Attendance'!$K$6:$K$155,"Attended",'11 Training Attendance'!$I$6:$I$155,G137))</x:f>
      </x:c>
      <x:c r="S137" s="94" t="str">
        <x:f>IF(OR(B137="",G137=""),"",COUNTIFS('13 Effectiveness Review'!$C$6:$C$155,B137,'13 Effectiveness Review'!$F$6:$F$155,G137,'13 Effectiveness Review'!$X$6:$X$155,"Closed — Effective"))</x:f>
      </x:c>
      <x:c r="T137" s="94" t="str">
        <x:f>IF(B137="","",IF(K137="","Not Assessed",IF(O137="Expired","Renewal Due",IF(L137=0,"Competent","Skill Gap"))))</x:f>
      </x:c>
      <x:c r="U137" s="94" t="str">
        <x:f>IFERROR(VLOOKUP(D137&amp;"|"&amp;E137&amp;"|"&amp;G137,'03 Position Requirements'!$A$6:$R$285,14,FALSE),"")</x:f>
      </x:c>
      <x:c r="V137" s="92"/>
      <x:c r="W137" s="85" t="str">
        <x:f>IF(B137="","",B137&amp;"|"&amp;COUNTIF($B$6:B137,B137))</x:f>
      </x:c>
      <x:c r="X137" s="85" t="str">
        <x:f>IF(B137="","",G137)</x:f>
      </x:c>
      <x:c r="Y137" s="85" t="str">
        <x:f>IF(B137="","",H137)</x:f>
      </x:c>
      <x:c r="Z137" s="85" t="str">
        <x:f>IF(B137="","",I137)</x:f>
      </x:c>
      <x:c r="AA137" s="85" t="str">
        <x:f>IF(B137="","",J137)</x:f>
      </x:c>
      <x:c r="AB137" s="85" t="str">
        <x:f>IF(B137="","",K137)</x:f>
      </x:c>
      <x:c r="AC137" s="85" t="str">
        <x:f>IF(B137="","",L137)</x:f>
      </x:c>
      <x:c r="AD137" s="85" t="str">
        <x:f>IF(B137="","",M137)</x:f>
      </x:c>
      <x:c r="AE137" s="85" t="str">
        <x:f>IF(B137="","",N137)</x:f>
      </x:c>
      <x:c r="AF137" s="85" t="str">
        <x:f>IF(B137="","",O137)</x:f>
      </x:c>
      <x:c r="AG137" s="85" t="str">
        <x:f>IF(B137="","",P137)</x:f>
      </x:c>
      <x:c r="AH137" s="85" t="str">
        <x:f>IF(B137="","",Q137)</x:f>
      </x:c>
      <x:c r="AI137" s="85" t="str">
        <x:f>IF(B137="","",R137)</x:f>
      </x:c>
      <x:c r="AJ137" s="85" t="str">
        <x:f>IF(B137="","",S137)</x:f>
      </x:c>
      <x:c r="AK137" s="85" t="str">
        <x:f>IF(B137="","",T137)</x:f>
      </x:c>
    </x:row>
    <x:row r="138">
      <x:c r="A138" s="94" t="str">
        <x:f>IF(OR(B138="",G138=""),"",B138&amp;"|"&amp;G138)</x:f>
      </x:c>
      <x:c r="B138" s="92"/>
      <x:c r="C138" s="94" t="str">
        <x:f>IFERROR(VLOOKUP(B138,'01 Staff Master'!$A$6:$M$105,2,FALSE),"")</x:f>
      </x:c>
      <x:c r="D138" s="94" t="str">
        <x:f>IFERROR(VLOOKUP(B138,'01 Staff Master'!$A$6:$M$105,3,FALSE),"")</x:f>
      </x:c>
      <x:c r="E138" s="94" t="str">
        <x:f>IFERROR(VLOOKUP(B138,'01 Staff Master'!$A$6:$M$105,5,FALSE),"")</x:f>
      </x:c>
      <x:c r="F138" s="94" t="str">
        <x:f>IFERROR(VLOOKUP(B138,'01 Staff Master'!$A$6:$M$105,4,FALSE),"")</x:f>
      </x:c>
      <x:c r="G138" s="92"/>
      <x:c r="H138" s="94" t="str">
        <x:f>IFERROR(VLOOKUP(G138,'02 Skill Catalogue'!$A$6:$K$95,4,FALSE),"")</x:f>
      </x:c>
      <x:c r="I138" s="94" t="str">
        <x:f>IFERROR(VLOOKUP(D138&amp;"|"&amp;E138&amp;"|"&amp;G138,'03 Position Requirements'!$A$6:$R$285,8,FALSE),"")</x:f>
      </x:c>
      <x:c r="J138" s="94" t="str">
        <x:f>IFERROR(VLOOKUP(D138&amp;"|"&amp;E138&amp;"|"&amp;G138,'03 Position Requirements'!$A$6:$R$285,10,FALSE),"")</x:f>
      </x:c>
      <x:c r="K138" s="94" t="str">
        <x:f>IF(OR(B138="",G138=""),"",IF(COUNTIFS('04 Assessment Log'!$D$6:$D$155,B138,'04 Assessment Log'!$J$6:$J$155,G138,'04 Assessment Log'!$AA$6:$AA$155,"Yes")=0,"",SUMIFS('04 Assessment Log'!$O$6:$O$155,'04 Assessment Log'!$D$6:$D$155,B138,'04 Assessment Log'!$J$6:$J$155,G138,'04 Assessment Log'!$AA$6:$AA$155,"Yes")))</x:f>
      </x:c>
      <x:c r="L138" s="94" t="str">
        <x:f>IF(OR(J138="",K138=""),"",MAX(J138-K138,0))</x:f>
      </x:c>
      <x:c r="M138" s="102" t="str">
        <x:f>IF(COUNTIFS('04 Assessment Log'!$D$6:$D$155,B138,'04 Assessment Log'!$J$6:$J$155,G138,'04 Assessment Log'!$AA$6:$AA$155,"Yes")=0,"",SUMIFS('04 Assessment Log'!$B$6:$B$155,'04 Assessment Log'!$D$6:$D$155,B138,'04 Assessment Log'!$J$6:$J$155,G138,'04 Assessment Log'!$AA$6:$AA$155,"Yes"))</x:f>
      </x:c>
      <x:c r="N138" s="102" t="str">
        <x:f>IF(M138="","",SUMIFS('04 Assessment Log'!$Z$6:$Z$155,'04 Assessment Log'!$D$6:$D$155,B138,'04 Assessment Log'!$J$6:$J$155,G138,'04 Assessment Log'!$AA$6:$AA$155,"Yes"))</x:f>
      </x:c>
      <x:c r="O138" s="94" t="str">
        <x:f>IF(M138="","Not Assessed",IF(N138&lt;TODAY(),"Expired",IF(N138&lt;=TODAY()+30,"Due Soon","Current")))</x:f>
        <x:v>Not Assessed</x:v>
      </x:c>
      <x:c r="P138" s="94" t="str">
        <x:f>IF(OR(B138="",G138=""),"",COUNTIFS('05 Development Actions'!$C$6:$C$105,B138,'05 Development Actions'!$G$6:$G$105,G138,'05 Development Actions'!$A$6:$A$105,"&lt;&gt;",'05 Development Actions'!$AB$6:$AB$105,"&lt;&gt;Closed — Competent",'05 Development Actions'!$AB$6:$AB$105,"&lt;&gt;Cancelled"))</x:f>
      </x:c>
      <x:c r="Q138" s="94" t="str">
        <x:f>IF(OR(B138="",G138=""),"",COUNTIFS('11 Training Attendance'!$E$6:$E$155,B138,'11 Training Attendance'!$K$6:$K$155,"Attended",'11 Training Attendance'!$I$6:$I$155,G138))</x:f>
      </x:c>
      <x:c r="R138" s="102" t="str">
        <x:f>IF(Q138=0,"",MAXIFS('11 Training Attendance'!$D$6:$D$155,'11 Training Attendance'!$E$6:$E$155,B138,'11 Training Attendance'!$K$6:$K$155,"Attended",'11 Training Attendance'!$I$6:$I$155,G138))</x:f>
      </x:c>
      <x:c r="S138" s="94" t="str">
        <x:f>IF(OR(B138="",G138=""),"",COUNTIFS('13 Effectiveness Review'!$C$6:$C$155,B138,'13 Effectiveness Review'!$F$6:$F$155,G138,'13 Effectiveness Review'!$X$6:$X$155,"Closed — Effective"))</x:f>
      </x:c>
      <x:c r="T138" s="94" t="str">
        <x:f>IF(B138="","",IF(K138="","Not Assessed",IF(O138="Expired","Renewal Due",IF(L138=0,"Competent","Skill Gap"))))</x:f>
      </x:c>
      <x:c r="U138" s="94" t="str">
        <x:f>IFERROR(VLOOKUP(D138&amp;"|"&amp;E138&amp;"|"&amp;G138,'03 Position Requirements'!$A$6:$R$285,14,FALSE),"")</x:f>
      </x:c>
      <x:c r="V138" s="92"/>
      <x:c r="W138" s="85" t="str">
        <x:f>IF(B138="","",B138&amp;"|"&amp;COUNTIF($B$6:B138,B138))</x:f>
      </x:c>
      <x:c r="X138" s="85" t="str">
        <x:f>IF(B138="","",G138)</x:f>
      </x:c>
      <x:c r="Y138" s="85" t="str">
        <x:f>IF(B138="","",H138)</x:f>
      </x:c>
      <x:c r="Z138" s="85" t="str">
        <x:f>IF(B138="","",I138)</x:f>
      </x:c>
      <x:c r="AA138" s="85" t="str">
        <x:f>IF(B138="","",J138)</x:f>
      </x:c>
      <x:c r="AB138" s="85" t="str">
        <x:f>IF(B138="","",K138)</x:f>
      </x:c>
      <x:c r="AC138" s="85" t="str">
        <x:f>IF(B138="","",L138)</x:f>
      </x:c>
      <x:c r="AD138" s="85" t="str">
        <x:f>IF(B138="","",M138)</x:f>
      </x:c>
      <x:c r="AE138" s="85" t="str">
        <x:f>IF(B138="","",N138)</x:f>
      </x:c>
      <x:c r="AF138" s="85" t="str">
        <x:f>IF(B138="","",O138)</x:f>
      </x:c>
      <x:c r="AG138" s="85" t="str">
        <x:f>IF(B138="","",P138)</x:f>
      </x:c>
      <x:c r="AH138" s="85" t="str">
        <x:f>IF(B138="","",Q138)</x:f>
      </x:c>
      <x:c r="AI138" s="85" t="str">
        <x:f>IF(B138="","",R138)</x:f>
      </x:c>
      <x:c r="AJ138" s="85" t="str">
        <x:f>IF(B138="","",S138)</x:f>
      </x:c>
      <x:c r="AK138" s="85" t="str">
        <x:f>IF(B138="","",T138)</x:f>
      </x:c>
    </x:row>
    <x:row r="139">
      <x:c r="A139" s="94" t="str">
        <x:f>IF(OR(B139="",G139=""),"",B139&amp;"|"&amp;G139)</x:f>
      </x:c>
      <x:c r="B139" s="92"/>
      <x:c r="C139" s="94" t="str">
        <x:f>IFERROR(VLOOKUP(B139,'01 Staff Master'!$A$6:$M$105,2,FALSE),"")</x:f>
      </x:c>
      <x:c r="D139" s="94" t="str">
        <x:f>IFERROR(VLOOKUP(B139,'01 Staff Master'!$A$6:$M$105,3,FALSE),"")</x:f>
      </x:c>
      <x:c r="E139" s="94" t="str">
        <x:f>IFERROR(VLOOKUP(B139,'01 Staff Master'!$A$6:$M$105,5,FALSE),"")</x:f>
      </x:c>
      <x:c r="F139" s="94" t="str">
        <x:f>IFERROR(VLOOKUP(B139,'01 Staff Master'!$A$6:$M$105,4,FALSE),"")</x:f>
      </x:c>
      <x:c r="G139" s="92"/>
      <x:c r="H139" s="94" t="str">
        <x:f>IFERROR(VLOOKUP(G139,'02 Skill Catalogue'!$A$6:$K$95,4,FALSE),"")</x:f>
      </x:c>
      <x:c r="I139" s="94" t="str">
        <x:f>IFERROR(VLOOKUP(D139&amp;"|"&amp;E139&amp;"|"&amp;G139,'03 Position Requirements'!$A$6:$R$285,8,FALSE),"")</x:f>
      </x:c>
      <x:c r="J139" s="94" t="str">
        <x:f>IFERROR(VLOOKUP(D139&amp;"|"&amp;E139&amp;"|"&amp;G139,'03 Position Requirements'!$A$6:$R$285,10,FALSE),"")</x:f>
      </x:c>
      <x:c r="K139" s="94" t="str">
        <x:f>IF(OR(B139="",G139=""),"",IF(COUNTIFS('04 Assessment Log'!$D$6:$D$155,B139,'04 Assessment Log'!$J$6:$J$155,G139,'04 Assessment Log'!$AA$6:$AA$155,"Yes")=0,"",SUMIFS('04 Assessment Log'!$O$6:$O$155,'04 Assessment Log'!$D$6:$D$155,B139,'04 Assessment Log'!$J$6:$J$155,G139,'04 Assessment Log'!$AA$6:$AA$155,"Yes")))</x:f>
      </x:c>
      <x:c r="L139" s="94" t="str">
        <x:f>IF(OR(J139="",K139=""),"",MAX(J139-K139,0))</x:f>
      </x:c>
      <x:c r="M139" s="102" t="str">
        <x:f>IF(COUNTIFS('04 Assessment Log'!$D$6:$D$155,B139,'04 Assessment Log'!$J$6:$J$155,G139,'04 Assessment Log'!$AA$6:$AA$155,"Yes")=0,"",SUMIFS('04 Assessment Log'!$B$6:$B$155,'04 Assessment Log'!$D$6:$D$155,B139,'04 Assessment Log'!$J$6:$J$155,G139,'04 Assessment Log'!$AA$6:$AA$155,"Yes"))</x:f>
      </x:c>
      <x:c r="N139" s="102" t="str">
        <x:f>IF(M139="","",SUMIFS('04 Assessment Log'!$Z$6:$Z$155,'04 Assessment Log'!$D$6:$D$155,B139,'04 Assessment Log'!$J$6:$J$155,G139,'04 Assessment Log'!$AA$6:$AA$155,"Yes"))</x:f>
      </x:c>
      <x:c r="O139" s="94" t="str">
        <x:f>IF(M139="","Not Assessed",IF(N139&lt;TODAY(),"Expired",IF(N139&lt;=TODAY()+30,"Due Soon","Current")))</x:f>
        <x:v>Not Assessed</x:v>
      </x:c>
      <x:c r="P139" s="94" t="str">
        <x:f>IF(OR(B139="",G139=""),"",COUNTIFS('05 Development Actions'!$C$6:$C$105,B139,'05 Development Actions'!$G$6:$G$105,G139,'05 Development Actions'!$A$6:$A$105,"&lt;&gt;",'05 Development Actions'!$AB$6:$AB$105,"&lt;&gt;Closed — Competent",'05 Development Actions'!$AB$6:$AB$105,"&lt;&gt;Cancelled"))</x:f>
      </x:c>
      <x:c r="Q139" s="94" t="str">
        <x:f>IF(OR(B139="",G139=""),"",COUNTIFS('11 Training Attendance'!$E$6:$E$155,B139,'11 Training Attendance'!$K$6:$K$155,"Attended",'11 Training Attendance'!$I$6:$I$155,G139))</x:f>
      </x:c>
      <x:c r="R139" s="102" t="str">
        <x:f>IF(Q139=0,"",MAXIFS('11 Training Attendance'!$D$6:$D$155,'11 Training Attendance'!$E$6:$E$155,B139,'11 Training Attendance'!$K$6:$K$155,"Attended",'11 Training Attendance'!$I$6:$I$155,G139))</x:f>
      </x:c>
      <x:c r="S139" s="94" t="str">
        <x:f>IF(OR(B139="",G139=""),"",COUNTIFS('13 Effectiveness Review'!$C$6:$C$155,B139,'13 Effectiveness Review'!$F$6:$F$155,G139,'13 Effectiveness Review'!$X$6:$X$155,"Closed — Effective"))</x:f>
      </x:c>
      <x:c r="T139" s="94" t="str">
        <x:f>IF(B139="","",IF(K139="","Not Assessed",IF(O139="Expired","Renewal Due",IF(L139=0,"Competent","Skill Gap"))))</x:f>
      </x:c>
      <x:c r="U139" s="94" t="str">
        <x:f>IFERROR(VLOOKUP(D139&amp;"|"&amp;E139&amp;"|"&amp;G139,'03 Position Requirements'!$A$6:$R$285,14,FALSE),"")</x:f>
      </x:c>
      <x:c r="V139" s="92"/>
      <x:c r="W139" s="85" t="str">
        <x:f>IF(B139="","",B139&amp;"|"&amp;COUNTIF($B$6:B139,B139))</x:f>
      </x:c>
      <x:c r="X139" s="85" t="str">
        <x:f>IF(B139="","",G139)</x:f>
      </x:c>
      <x:c r="Y139" s="85" t="str">
        <x:f>IF(B139="","",H139)</x:f>
      </x:c>
      <x:c r="Z139" s="85" t="str">
        <x:f>IF(B139="","",I139)</x:f>
      </x:c>
      <x:c r="AA139" s="85" t="str">
        <x:f>IF(B139="","",J139)</x:f>
      </x:c>
      <x:c r="AB139" s="85" t="str">
        <x:f>IF(B139="","",K139)</x:f>
      </x:c>
      <x:c r="AC139" s="85" t="str">
        <x:f>IF(B139="","",L139)</x:f>
      </x:c>
      <x:c r="AD139" s="85" t="str">
        <x:f>IF(B139="","",M139)</x:f>
      </x:c>
      <x:c r="AE139" s="85" t="str">
        <x:f>IF(B139="","",N139)</x:f>
      </x:c>
      <x:c r="AF139" s="85" t="str">
        <x:f>IF(B139="","",O139)</x:f>
      </x:c>
      <x:c r="AG139" s="85" t="str">
        <x:f>IF(B139="","",P139)</x:f>
      </x:c>
      <x:c r="AH139" s="85" t="str">
        <x:f>IF(B139="","",Q139)</x:f>
      </x:c>
      <x:c r="AI139" s="85" t="str">
        <x:f>IF(B139="","",R139)</x:f>
      </x:c>
      <x:c r="AJ139" s="85" t="str">
        <x:f>IF(B139="","",S139)</x:f>
      </x:c>
      <x:c r="AK139" s="85" t="str">
        <x:f>IF(B139="","",T139)</x:f>
      </x:c>
    </x:row>
    <x:row r="140">
      <x:c r="A140" s="94" t="str">
        <x:f>IF(OR(B140="",G140=""),"",B140&amp;"|"&amp;G140)</x:f>
      </x:c>
      <x:c r="B140" s="92"/>
      <x:c r="C140" s="94" t="str">
        <x:f>IFERROR(VLOOKUP(B140,'01 Staff Master'!$A$6:$M$105,2,FALSE),"")</x:f>
      </x:c>
      <x:c r="D140" s="94" t="str">
        <x:f>IFERROR(VLOOKUP(B140,'01 Staff Master'!$A$6:$M$105,3,FALSE),"")</x:f>
      </x:c>
      <x:c r="E140" s="94" t="str">
        <x:f>IFERROR(VLOOKUP(B140,'01 Staff Master'!$A$6:$M$105,5,FALSE),"")</x:f>
      </x:c>
      <x:c r="F140" s="94" t="str">
        <x:f>IFERROR(VLOOKUP(B140,'01 Staff Master'!$A$6:$M$105,4,FALSE),"")</x:f>
      </x:c>
      <x:c r="G140" s="92"/>
      <x:c r="H140" s="94" t="str">
        <x:f>IFERROR(VLOOKUP(G140,'02 Skill Catalogue'!$A$6:$K$95,4,FALSE),"")</x:f>
      </x:c>
      <x:c r="I140" s="94" t="str">
        <x:f>IFERROR(VLOOKUP(D140&amp;"|"&amp;E140&amp;"|"&amp;G140,'03 Position Requirements'!$A$6:$R$285,8,FALSE),"")</x:f>
      </x:c>
      <x:c r="J140" s="94" t="str">
        <x:f>IFERROR(VLOOKUP(D140&amp;"|"&amp;E140&amp;"|"&amp;G140,'03 Position Requirements'!$A$6:$R$285,10,FALSE),"")</x:f>
      </x:c>
      <x:c r="K140" s="94" t="str">
        <x:f>IF(OR(B140="",G140=""),"",IF(COUNTIFS('04 Assessment Log'!$D$6:$D$155,B140,'04 Assessment Log'!$J$6:$J$155,G140,'04 Assessment Log'!$AA$6:$AA$155,"Yes")=0,"",SUMIFS('04 Assessment Log'!$O$6:$O$155,'04 Assessment Log'!$D$6:$D$155,B140,'04 Assessment Log'!$J$6:$J$155,G140,'04 Assessment Log'!$AA$6:$AA$155,"Yes")))</x:f>
      </x:c>
      <x:c r="L140" s="94" t="str">
        <x:f>IF(OR(J140="",K140=""),"",MAX(J140-K140,0))</x:f>
      </x:c>
      <x:c r="M140" s="102" t="str">
        <x:f>IF(COUNTIFS('04 Assessment Log'!$D$6:$D$155,B140,'04 Assessment Log'!$J$6:$J$155,G140,'04 Assessment Log'!$AA$6:$AA$155,"Yes")=0,"",SUMIFS('04 Assessment Log'!$B$6:$B$155,'04 Assessment Log'!$D$6:$D$155,B140,'04 Assessment Log'!$J$6:$J$155,G140,'04 Assessment Log'!$AA$6:$AA$155,"Yes"))</x:f>
      </x:c>
      <x:c r="N140" s="102" t="str">
        <x:f>IF(M140="","",SUMIFS('04 Assessment Log'!$Z$6:$Z$155,'04 Assessment Log'!$D$6:$D$155,B140,'04 Assessment Log'!$J$6:$J$155,G140,'04 Assessment Log'!$AA$6:$AA$155,"Yes"))</x:f>
      </x:c>
      <x:c r="O140" s="94" t="str">
        <x:f>IF(M140="","Not Assessed",IF(N140&lt;TODAY(),"Expired",IF(N140&lt;=TODAY()+30,"Due Soon","Current")))</x:f>
        <x:v>Not Assessed</x:v>
      </x:c>
      <x:c r="P140" s="94" t="str">
        <x:f>IF(OR(B140="",G140=""),"",COUNTIFS('05 Development Actions'!$C$6:$C$105,B140,'05 Development Actions'!$G$6:$G$105,G140,'05 Development Actions'!$A$6:$A$105,"&lt;&gt;",'05 Development Actions'!$AB$6:$AB$105,"&lt;&gt;Closed — Competent",'05 Development Actions'!$AB$6:$AB$105,"&lt;&gt;Cancelled"))</x:f>
      </x:c>
      <x:c r="Q140" s="94" t="str">
        <x:f>IF(OR(B140="",G140=""),"",COUNTIFS('11 Training Attendance'!$E$6:$E$155,B140,'11 Training Attendance'!$K$6:$K$155,"Attended",'11 Training Attendance'!$I$6:$I$155,G140))</x:f>
      </x:c>
      <x:c r="R140" s="102" t="str">
        <x:f>IF(Q140=0,"",MAXIFS('11 Training Attendance'!$D$6:$D$155,'11 Training Attendance'!$E$6:$E$155,B140,'11 Training Attendance'!$K$6:$K$155,"Attended",'11 Training Attendance'!$I$6:$I$155,G140))</x:f>
      </x:c>
      <x:c r="S140" s="94" t="str">
        <x:f>IF(OR(B140="",G140=""),"",COUNTIFS('13 Effectiveness Review'!$C$6:$C$155,B140,'13 Effectiveness Review'!$F$6:$F$155,G140,'13 Effectiveness Review'!$X$6:$X$155,"Closed — Effective"))</x:f>
      </x:c>
      <x:c r="T140" s="94" t="str">
        <x:f>IF(B140="","",IF(K140="","Not Assessed",IF(O140="Expired","Renewal Due",IF(L140=0,"Competent","Skill Gap"))))</x:f>
      </x:c>
      <x:c r="U140" s="94" t="str">
        <x:f>IFERROR(VLOOKUP(D140&amp;"|"&amp;E140&amp;"|"&amp;G140,'03 Position Requirements'!$A$6:$R$285,14,FALSE),"")</x:f>
      </x:c>
      <x:c r="V140" s="92"/>
      <x:c r="W140" s="85" t="str">
        <x:f>IF(B140="","",B140&amp;"|"&amp;COUNTIF($B$6:B140,B140))</x:f>
      </x:c>
      <x:c r="X140" s="85" t="str">
        <x:f>IF(B140="","",G140)</x:f>
      </x:c>
      <x:c r="Y140" s="85" t="str">
        <x:f>IF(B140="","",H140)</x:f>
      </x:c>
      <x:c r="Z140" s="85" t="str">
        <x:f>IF(B140="","",I140)</x:f>
      </x:c>
      <x:c r="AA140" s="85" t="str">
        <x:f>IF(B140="","",J140)</x:f>
      </x:c>
      <x:c r="AB140" s="85" t="str">
        <x:f>IF(B140="","",K140)</x:f>
      </x:c>
      <x:c r="AC140" s="85" t="str">
        <x:f>IF(B140="","",L140)</x:f>
      </x:c>
      <x:c r="AD140" s="85" t="str">
        <x:f>IF(B140="","",M140)</x:f>
      </x:c>
      <x:c r="AE140" s="85" t="str">
        <x:f>IF(B140="","",N140)</x:f>
      </x:c>
      <x:c r="AF140" s="85" t="str">
        <x:f>IF(B140="","",O140)</x:f>
      </x:c>
      <x:c r="AG140" s="85" t="str">
        <x:f>IF(B140="","",P140)</x:f>
      </x:c>
      <x:c r="AH140" s="85" t="str">
        <x:f>IF(B140="","",Q140)</x:f>
      </x:c>
      <x:c r="AI140" s="85" t="str">
        <x:f>IF(B140="","",R140)</x:f>
      </x:c>
      <x:c r="AJ140" s="85" t="str">
        <x:f>IF(B140="","",S140)</x:f>
      </x:c>
      <x:c r="AK140" s="85" t="str">
        <x:f>IF(B140="","",T140)</x:f>
      </x:c>
    </x:row>
    <x:row r="141">
      <x:c r="A141" s="94" t="str">
        <x:f>IF(OR(B141="",G141=""),"",B141&amp;"|"&amp;G141)</x:f>
      </x:c>
      <x:c r="B141" s="92"/>
      <x:c r="C141" s="94" t="str">
        <x:f>IFERROR(VLOOKUP(B141,'01 Staff Master'!$A$6:$M$105,2,FALSE),"")</x:f>
      </x:c>
      <x:c r="D141" s="94" t="str">
        <x:f>IFERROR(VLOOKUP(B141,'01 Staff Master'!$A$6:$M$105,3,FALSE),"")</x:f>
      </x:c>
      <x:c r="E141" s="94" t="str">
        <x:f>IFERROR(VLOOKUP(B141,'01 Staff Master'!$A$6:$M$105,5,FALSE),"")</x:f>
      </x:c>
      <x:c r="F141" s="94" t="str">
        <x:f>IFERROR(VLOOKUP(B141,'01 Staff Master'!$A$6:$M$105,4,FALSE),"")</x:f>
      </x:c>
      <x:c r="G141" s="92"/>
      <x:c r="H141" s="94" t="str">
        <x:f>IFERROR(VLOOKUP(G141,'02 Skill Catalogue'!$A$6:$K$95,4,FALSE),"")</x:f>
      </x:c>
      <x:c r="I141" s="94" t="str">
        <x:f>IFERROR(VLOOKUP(D141&amp;"|"&amp;E141&amp;"|"&amp;G141,'03 Position Requirements'!$A$6:$R$285,8,FALSE),"")</x:f>
      </x:c>
      <x:c r="J141" s="94" t="str">
        <x:f>IFERROR(VLOOKUP(D141&amp;"|"&amp;E141&amp;"|"&amp;G141,'03 Position Requirements'!$A$6:$R$285,10,FALSE),"")</x:f>
      </x:c>
      <x:c r="K141" s="94" t="str">
        <x:f>IF(OR(B141="",G141=""),"",IF(COUNTIFS('04 Assessment Log'!$D$6:$D$155,B141,'04 Assessment Log'!$J$6:$J$155,G141,'04 Assessment Log'!$AA$6:$AA$155,"Yes")=0,"",SUMIFS('04 Assessment Log'!$O$6:$O$155,'04 Assessment Log'!$D$6:$D$155,B141,'04 Assessment Log'!$J$6:$J$155,G141,'04 Assessment Log'!$AA$6:$AA$155,"Yes")))</x:f>
      </x:c>
      <x:c r="L141" s="94" t="str">
        <x:f>IF(OR(J141="",K141=""),"",MAX(J141-K141,0))</x:f>
      </x:c>
      <x:c r="M141" s="102" t="str">
        <x:f>IF(COUNTIFS('04 Assessment Log'!$D$6:$D$155,B141,'04 Assessment Log'!$J$6:$J$155,G141,'04 Assessment Log'!$AA$6:$AA$155,"Yes")=0,"",SUMIFS('04 Assessment Log'!$B$6:$B$155,'04 Assessment Log'!$D$6:$D$155,B141,'04 Assessment Log'!$J$6:$J$155,G141,'04 Assessment Log'!$AA$6:$AA$155,"Yes"))</x:f>
      </x:c>
      <x:c r="N141" s="102" t="str">
        <x:f>IF(M141="","",SUMIFS('04 Assessment Log'!$Z$6:$Z$155,'04 Assessment Log'!$D$6:$D$155,B141,'04 Assessment Log'!$J$6:$J$155,G141,'04 Assessment Log'!$AA$6:$AA$155,"Yes"))</x:f>
      </x:c>
      <x:c r="O141" s="94" t="str">
        <x:f>IF(M141="","Not Assessed",IF(N141&lt;TODAY(),"Expired",IF(N141&lt;=TODAY()+30,"Due Soon","Current")))</x:f>
        <x:v>Not Assessed</x:v>
      </x:c>
      <x:c r="P141" s="94" t="str">
        <x:f>IF(OR(B141="",G141=""),"",COUNTIFS('05 Development Actions'!$C$6:$C$105,B141,'05 Development Actions'!$G$6:$G$105,G141,'05 Development Actions'!$A$6:$A$105,"&lt;&gt;",'05 Development Actions'!$AB$6:$AB$105,"&lt;&gt;Closed — Competent",'05 Development Actions'!$AB$6:$AB$105,"&lt;&gt;Cancelled"))</x:f>
      </x:c>
      <x:c r="Q141" s="94" t="str">
        <x:f>IF(OR(B141="",G141=""),"",COUNTIFS('11 Training Attendance'!$E$6:$E$155,B141,'11 Training Attendance'!$K$6:$K$155,"Attended",'11 Training Attendance'!$I$6:$I$155,G141))</x:f>
      </x:c>
      <x:c r="R141" s="102" t="str">
        <x:f>IF(Q141=0,"",MAXIFS('11 Training Attendance'!$D$6:$D$155,'11 Training Attendance'!$E$6:$E$155,B141,'11 Training Attendance'!$K$6:$K$155,"Attended",'11 Training Attendance'!$I$6:$I$155,G141))</x:f>
      </x:c>
      <x:c r="S141" s="94" t="str">
        <x:f>IF(OR(B141="",G141=""),"",COUNTIFS('13 Effectiveness Review'!$C$6:$C$155,B141,'13 Effectiveness Review'!$F$6:$F$155,G141,'13 Effectiveness Review'!$X$6:$X$155,"Closed — Effective"))</x:f>
      </x:c>
      <x:c r="T141" s="94" t="str">
        <x:f>IF(B141="","",IF(K141="","Not Assessed",IF(O141="Expired","Renewal Due",IF(L141=0,"Competent","Skill Gap"))))</x:f>
      </x:c>
      <x:c r="U141" s="94" t="str">
        <x:f>IFERROR(VLOOKUP(D141&amp;"|"&amp;E141&amp;"|"&amp;G141,'03 Position Requirements'!$A$6:$R$285,14,FALSE),"")</x:f>
      </x:c>
      <x:c r="V141" s="92"/>
      <x:c r="W141" s="85" t="str">
        <x:f>IF(B141="","",B141&amp;"|"&amp;COUNTIF($B$6:B141,B141))</x:f>
      </x:c>
      <x:c r="X141" s="85" t="str">
        <x:f>IF(B141="","",G141)</x:f>
      </x:c>
      <x:c r="Y141" s="85" t="str">
        <x:f>IF(B141="","",H141)</x:f>
      </x:c>
      <x:c r="Z141" s="85" t="str">
        <x:f>IF(B141="","",I141)</x:f>
      </x:c>
      <x:c r="AA141" s="85" t="str">
        <x:f>IF(B141="","",J141)</x:f>
      </x:c>
      <x:c r="AB141" s="85" t="str">
        <x:f>IF(B141="","",K141)</x:f>
      </x:c>
      <x:c r="AC141" s="85" t="str">
        <x:f>IF(B141="","",L141)</x:f>
      </x:c>
      <x:c r="AD141" s="85" t="str">
        <x:f>IF(B141="","",M141)</x:f>
      </x:c>
      <x:c r="AE141" s="85" t="str">
        <x:f>IF(B141="","",N141)</x:f>
      </x:c>
      <x:c r="AF141" s="85" t="str">
        <x:f>IF(B141="","",O141)</x:f>
      </x:c>
      <x:c r="AG141" s="85" t="str">
        <x:f>IF(B141="","",P141)</x:f>
      </x:c>
      <x:c r="AH141" s="85" t="str">
        <x:f>IF(B141="","",Q141)</x:f>
      </x:c>
      <x:c r="AI141" s="85" t="str">
        <x:f>IF(B141="","",R141)</x:f>
      </x:c>
      <x:c r="AJ141" s="85" t="str">
        <x:f>IF(B141="","",S141)</x:f>
      </x:c>
      <x:c r="AK141" s="85" t="str">
        <x:f>IF(B141="","",T141)</x:f>
      </x:c>
    </x:row>
    <x:row r="142">
      <x:c r="A142" s="94" t="str">
        <x:f>IF(OR(B142="",G142=""),"",B142&amp;"|"&amp;G142)</x:f>
      </x:c>
      <x:c r="B142" s="92"/>
      <x:c r="C142" s="94" t="str">
        <x:f>IFERROR(VLOOKUP(B142,'01 Staff Master'!$A$6:$M$105,2,FALSE),"")</x:f>
      </x:c>
      <x:c r="D142" s="94" t="str">
        <x:f>IFERROR(VLOOKUP(B142,'01 Staff Master'!$A$6:$M$105,3,FALSE),"")</x:f>
      </x:c>
      <x:c r="E142" s="94" t="str">
        <x:f>IFERROR(VLOOKUP(B142,'01 Staff Master'!$A$6:$M$105,5,FALSE),"")</x:f>
      </x:c>
      <x:c r="F142" s="94" t="str">
        <x:f>IFERROR(VLOOKUP(B142,'01 Staff Master'!$A$6:$M$105,4,FALSE),"")</x:f>
      </x:c>
      <x:c r="G142" s="92"/>
      <x:c r="H142" s="94" t="str">
        <x:f>IFERROR(VLOOKUP(G142,'02 Skill Catalogue'!$A$6:$K$95,4,FALSE),"")</x:f>
      </x:c>
      <x:c r="I142" s="94" t="str">
        <x:f>IFERROR(VLOOKUP(D142&amp;"|"&amp;E142&amp;"|"&amp;G142,'03 Position Requirements'!$A$6:$R$285,8,FALSE),"")</x:f>
      </x:c>
      <x:c r="J142" s="94" t="str">
        <x:f>IFERROR(VLOOKUP(D142&amp;"|"&amp;E142&amp;"|"&amp;G142,'03 Position Requirements'!$A$6:$R$285,10,FALSE),"")</x:f>
      </x:c>
      <x:c r="K142" s="94" t="str">
        <x:f>IF(OR(B142="",G142=""),"",IF(COUNTIFS('04 Assessment Log'!$D$6:$D$155,B142,'04 Assessment Log'!$J$6:$J$155,G142,'04 Assessment Log'!$AA$6:$AA$155,"Yes")=0,"",SUMIFS('04 Assessment Log'!$O$6:$O$155,'04 Assessment Log'!$D$6:$D$155,B142,'04 Assessment Log'!$J$6:$J$155,G142,'04 Assessment Log'!$AA$6:$AA$155,"Yes")))</x:f>
      </x:c>
      <x:c r="L142" s="94" t="str">
        <x:f>IF(OR(J142="",K142=""),"",MAX(J142-K142,0))</x:f>
      </x:c>
      <x:c r="M142" s="102" t="str">
        <x:f>IF(COUNTIFS('04 Assessment Log'!$D$6:$D$155,B142,'04 Assessment Log'!$J$6:$J$155,G142,'04 Assessment Log'!$AA$6:$AA$155,"Yes")=0,"",SUMIFS('04 Assessment Log'!$B$6:$B$155,'04 Assessment Log'!$D$6:$D$155,B142,'04 Assessment Log'!$J$6:$J$155,G142,'04 Assessment Log'!$AA$6:$AA$155,"Yes"))</x:f>
      </x:c>
      <x:c r="N142" s="102" t="str">
        <x:f>IF(M142="","",SUMIFS('04 Assessment Log'!$Z$6:$Z$155,'04 Assessment Log'!$D$6:$D$155,B142,'04 Assessment Log'!$J$6:$J$155,G142,'04 Assessment Log'!$AA$6:$AA$155,"Yes"))</x:f>
      </x:c>
      <x:c r="O142" s="94" t="str">
        <x:f>IF(M142="","Not Assessed",IF(N142&lt;TODAY(),"Expired",IF(N142&lt;=TODAY()+30,"Due Soon","Current")))</x:f>
        <x:v>Not Assessed</x:v>
      </x:c>
      <x:c r="P142" s="94" t="str">
        <x:f>IF(OR(B142="",G142=""),"",COUNTIFS('05 Development Actions'!$C$6:$C$105,B142,'05 Development Actions'!$G$6:$G$105,G142,'05 Development Actions'!$A$6:$A$105,"&lt;&gt;",'05 Development Actions'!$AB$6:$AB$105,"&lt;&gt;Closed — Competent",'05 Development Actions'!$AB$6:$AB$105,"&lt;&gt;Cancelled"))</x:f>
      </x:c>
      <x:c r="Q142" s="94" t="str">
        <x:f>IF(OR(B142="",G142=""),"",COUNTIFS('11 Training Attendance'!$E$6:$E$155,B142,'11 Training Attendance'!$K$6:$K$155,"Attended",'11 Training Attendance'!$I$6:$I$155,G142))</x:f>
      </x:c>
      <x:c r="R142" s="102" t="str">
        <x:f>IF(Q142=0,"",MAXIFS('11 Training Attendance'!$D$6:$D$155,'11 Training Attendance'!$E$6:$E$155,B142,'11 Training Attendance'!$K$6:$K$155,"Attended",'11 Training Attendance'!$I$6:$I$155,G142))</x:f>
      </x:c>
      <x:c r="S142" s="94" t="str">
        <x:f>IF(OR(B142="",G142=""),"",COUNTIFS('13 Effectiveness Review'!$C$6:$C$155,B142,'13 Effectiveness Review'!$F$6:$F$155,G142,'13 Effectiveness Review'!$X$6:$X$155,"Closed — Effective"))</x:f>
      </x:c>
      <x:c r="T142" s="94" t="str">
        <x:f>IF(B142="","",IF(K142="","Not Assessed",IF(O142="Expired","Renewal Due",IF(L142=0,"Competent","Skill Gap"))))</x:f>
      </x:c>
      <x:c r="U142" s="94" t="str">
        <x:f>IFERROR(VLOOKUP(D142&amp;"|"&amp;E142&amp;"|"&amp;G142,'03 Position Requirements'!$A$6:$R$285,14,FALSE),"")</x:f>
      </x:c>
      <x:c r="V142" s="92"/>
      <x:c r="W142" s="85" t="str">
        <x:f>IF(B142="","",B142&amp;"|"&amp;COUNTIF($B$6:B142,B142))</x:f>
      </x:c>
      <x:c r="X142" s="85" t="str">
        <x:f>IF(B142="","",G142)</x:f>
      </x:c>
      <x:c r="Y142" s="85" t="str">
        <x:f>IF(B142="","",H142)</x:f>
      </x:c>
      <x:c r="Z142" s="85" t="str">
        <x:f>IF(B142="","",I142)</x:f>
      </x:c>
      <x:c r="AA142" s="85" t="str">
        <x:f>IF(B142="","",J142)</x:f>
      </x:c>
      <x:c r="AB142" s="85" t="str">
        <x:f>IF(B142="","",K142)</x:f>
      </x:c>
      <x:c r="AC142" s="85" t="str">
        <x:f>IF(B142="","",L142)</x:f>
      </x:c>
      <x:c r="AD142" s="85" t="str">
        <x:f>IF(B142="","",M142)</x:f>
      </x:c>
      <x:c r="AE142" s="85" t="str">
        <x:f>IF(B142="","",N142)</x:f>
      </x:c>
      <x:c r="AF142" s="85" t="str">
        <x:f>IF(B142="","",O142)</x:f>
      </x:c>
      <x:c r="AG142" s="85" t="str">
        <x:f>IF(B142="","",P142)</x:f>
      </x:c>
      <x:c r="AH142" s="85" t="str">
        <x:f>IF(B142="","",Q142)</x:f>
      </x:c>
      <x:c r="AI142" s="85" t="str">
        <x:f>IF(B142="","",R142)</x:f>
      </x:c>
      <x:c r="AJ142" s="85" t="str">
        <x:f>IF(B142="","",S142)</x:f>
      </x:c>
      <x:c r="AK142" s="85" t="str">
        <x:f>IF(B142="","",T142)</x:f>
      </x:c>
    </x:row>
    <x:row r="143">
      <x:c r="A143" s="94" t="str">
        <x:f>IF(OR(B143="",G143=""),"",B143&amp;"|"&amp;G143)</x:f>
      </x:c>
      <x:c r="B143" s="92"/>
      <x:c r="C143" s="94" t="str">
        <x:f>IFERROR(VLOOKUP(B143,'01 Staff Master'!$A$6:$M$105,2,FALSE),"")</x:f>
      </x:c>
      <x:c r="D143" s="94" t="str">
        <x:f>IFERROR(VLOOKUP(B143,'01 Staff Master'!$A$6:$M$105,3,FALSE),"")</x:f>
      </x:c>
      <x:c r="E143" s="94" t="str">
        <x:f>IFERROR(VLOOKUP(B143,'01 Staff Master'!$A$6:$M$105,5,FALSE),"")</x:f>
      </x:c>
      <x:c r="F143" s="94" t="str">
        <x:f>IFERROR(VLOOKUP(B143,'01 Staff Master'!$A$6:$M$105,4,FALSE),"")</x:f>
      </x:c>
      <x:c r="G143" s="92"/>
      <x:c r="H143" s="94" t="str">
        <x:f>IFERROR(VLOOKUP(G143,'02 Skill Catalogue'!$A$6:$K$95,4,FALSE),"")</x:f>
      </x:c>
      <x:c r="I143" s="94" t="str">
        <x:f>IFERROR(VLOOKUP(D143&amp;"|"&amp;E143&amp;"|"&amp;G143,'03 Position Requirements'!$A$6:$R$285,8,FALSE),"")</x:f>
      </x:c>
      <x:c r="J143" s="94" t="str">
        <x:f>IFERROR(VLOOKUP(D143&amp;"|"&amp;E143&amp;"|"&amp;G143,'03 Position Requirements'!$A$6:$R$285,10,FALSE),"")</x:f>
      </x:c>
      <x:c r="K143" s="94" t="str">
        <x:f>IF(OR(B143="",G143=""),"",IF(COUNTIFS('04 Assessment Log'!$D$6:$D$155,B143,'04 Assessment Log'!$J$6:$J$155,G143,'04 Assessment Log'!$AA$6:$AA$155,"Yes")=0,"",SUMIFS('04 Assessment Log'!$O$6:$O$155,'04 Assessment Log'!$D$6:$D$155,B143,'04 Assessment Log'!$J$6:$J$155,G143,'04 Assessment Log'!$AA$6:$AA$155,"Yes")))</x:f>
      </x:c>
      <x:c r="L143" s="94" t="str">
        <x:f>IF(OR(J143="",K143=""),"",MAX(J143-K143,0))</x:f>
      </x:c>
      <x:c r="M143" s="102" t="str">
        <x:f>IF(COUNTIFS('04 Assessment Log'!$D$6:$D$155,B143,'04 Assessment Log'!$J$6:$J$155,G143,'04 Assessment Log'!$AA$6:$AA$155,"Yes")=0,"",SUMIFS('04 Assessment Log'!$B$6:$B$155,'04 Assessment Log'!$D$6:$D$155,B143,'04 Assessment Log'!$J$6:$J$155,G143,'04 Assessment Log'!$AA$6:$AA$155,"Yes"))</x:f>
      </x:c>
      <x:c r="N143" s="102" t="str">
        <x:f>IF(M143="","",SUMIFS('04 Assessment Log'!$Z$6:$Z$155,'04 Assessment Log'!$D$6:$D$155,B143,'04 Assessment Log'!$J$6:$J$155,G143,'04 Assessment Log'!$AA$6:$AA$155,"Yes"))</x:f>
      </x:c>
      <x:c r="O143" s="94" t="str">
        <x:f>IF(M143="","Not Assessed",IF(N143&lt;TODAY(),"Expired",IF(N143&lt;=TODAY()+30,"Due Soon","Current")))</x:f>
        <x:v>Not Assessed</x:v>
      </x:c>
      <x:c r="P143" s="94" t="str">
        <x:f>IF(OR(B143="",G143=""),"",COUNTIFS('05 Development Actions'!$C$6:$C$105,B143,'05 Development Actions'!$G$6:$G$105,G143,'05 Development Actions'!$A$6:$A$105,"&lt;&gt;",'05 Development Actions'!$AB$6:$AB$105,"&lt;&gt;Closed — Competent",'05 Development Actions'!$AB$6:$AB$105,"&lt;&gt;Cancelled"))</x:f>
      </x:c>
      <x:c r="Q143" s="94" t="str">
        <x:f>IF(OR(B143="",G143=""),"",COUNTIFS('11 Training Attendance'!$E$6:$E$155,B143,'11 Training Attendance'!$K$6:$K$155,"Attended",'11 Training Attendance'!$I$6:$I$155,G143))</x:f>
      </x:c>
      <x:c r="R143" s="102" t="str">
        <x:f>IF(Q143=0,"",MAXIFS('11 Training Attendance'!$D$6:$D$155,'11 Training Attendance'!$E$6:$E$155,B143,'11 Training Attendance'!$K$6:$K$155,"Attended",'11 Training Attendance'!$I$6:$I$155,G143))</x:f>
      </x:c>
      <x:c r="S143" s="94" t="str">
        <x:f>IF(OR(B143="",G143=""),"",COUNTIFS('13 Effectiveness Review'!$C$6:$C$155,B143,'13 Effectiveness Review'!$F$6:$F$155,G143,'13 Effectiveness Review'!$X$6:$X$155,"Closed — Effective"))</x:f>
      </x:c>
      <x:c r="T143" s="94" t="str">
        <x:f>IF(B143="","",IF(K143="","Not Assessed",IF(O143="Expired","Renewal Due",IF(L143=0,"Competent","Skill Gap"))))</x:f>
      </x:c>
      <x:c r="U143" s="94" t="str">
        <x:f>IFERROR(VLOOKUP(D143&amp;"|"&amp;E143&amp;"|"&amp;G143,'03 Position Requirements'!$A$6:$R$285,14,FALSE),"")</x:f>
      </x:c>
      <x:c r="V143" s="92"/>
      <x:c r="W143" s="85" t="str">
        <x:f>IF(B143="","",B143&amp;"|"&amp;COUNTIF($B$6:B143,B143))</x:f>
      </x:c>
      <x:c r="X143" s="85" t="str">
        <x:f>IF(B143="","",G143)</x:f>
      </x:c>
      <x:c r="Y143" s="85" t="str">
        <x:f>IF(B143="","",H143)</x:f>
      </x:c>
      <x:c r="Z143" s="85" t="str">
        <x:f>IF(B143="","",I143)</x:f>
      </x:c>
      <x:c r="AA143" s="85" t="str">
        <x:f>IF(B143="","",J143)</x:f>
      </x:c>
      <x:c r="AB143" s="85" t="str">
        <x:f>IF(B143="","",K143)</x:f>
      </x:c>
      <x:c r="AC143" s="85" t="str">
        <x:f>IF(B143="","",L143)</x:f>
      </x:c>
      <x:c r="AD143" s="85" t="str">
        <x:f>IF(B143="","",M143)</x:f>
      </x:c>
      <x:c r="AE143" s="85" t="str">
        <x:f>IF(B143="","",N143)</x:f>
      </x:c>
      <x:c r="AF143" s="85" t="str">
        <x:f>IF(B143="","",O143)</x:f>
      </x:c>
      <x:c r="AG143" s="85" t="str">
        <x:f>IF(B143="","",P143)</x:f>
      </x:c>
      <x:c r="AH143" s="85" t="str">
        <x:f>IF(B143="","",Q143)</x:f>
      </x:c>
      <x:c r="AI143" s="85" t="str">
        <x:f>IF(B143="","",R143)</x:f>
      </x:c>
      <x:c r="AJ143" s="85" t="str">
        <x:f>IF(B143="","",S143)</x:f>
      </x:c>
      <x:c r="AK143" s="85" t="str">
        <x:f>IF(B143="","",T143)</x:f>
      </x:c>
    </x:row>
    <x:row r="144">
      <x:c r="A144" s="94" t="str">
        <x:f>IF(OR(B144="",G144=""),"",B144&amp;"|"&amp;G144)</x:f>
      </x:c>
      <x:c r="B144" s="92"/>
      <x:c r="C144" s="94" t="str">
        <x:f>IFERROR(VLOOKUP(B144,'01 Staff Master'!$A$6:$M$105,2,FALSE),"")</x:f>
      </x:c>
      <x:c r="D144" s="94" t="str">
        <x:f>IFERROR(VLOOKUP(B144,'01 Staff Master'!$A$6:$M$105,3,FALSE),"")</x:f>
      </x:c>
      <x:c r="E144" s="94" t="str">
        <x:f>IFERROR(VLOOKUP(B144,'01 Staff Master'!$A$6:$M$105,5,FALSE),"")</x:f>
      </x:c>
      <x:c r="F144" s="94" t="str">
        <x:f>IFERROR(VLOOKUP(B144,'01 Staff Master'!$A$6:$M$105,4,FALSE),"")</x:f>
      </x:c>
      <x:c r="G144" s="92"/>
      <x:c r="H144" s="94" t="str">
        <x:f>IFERROR(VLOOKUP(G144,'02 Skill Catalogue'!$A$6:$K$95,4,FALSE),"")</x:f>
      </x:c>
      <x:c r="I144" s="94" t="str">
        <x:f>IFERROR(VLOOKUP(D144&amp;"|"&amp;E144&amp;"|"&amp;G144,'03 Position Requirements'!$A$6:$R$285,8,FALSE),"")</x:f>
      </x:c>
      <x:c r="J144" s="94" t="str">
        <x:f>IFERROR(VLOOKUP(D144&amp;"|"&amp;E144&amp;"|"&amp;G144,'03 Position Requirements'!$A$6:$R$285,10,FALSE),"")</x:f>
      </x:c>
      <x:c r="K144" s="94" t="str">
        <x:f>IF(OR(B144="",G144=""),"",IF(COUNTIFS('04 Assessment Log'!$D$6:$D$155,B144,'04 Assessment Log'!$J$6:$J$155,G144,'04 Assessment Log'!$AA$6:$AA$155,"Yes")=0,"",SUMIFS('04 Assessment Log'!$O$6:$O$155,'04 Assessment Log'!$D$6:$D$155,B144,'04 Assessment Log'!$J$6:$J$155,G144,'04 Assessment Log'!$AA$6:$AA$155,"Yes")))</x:f>
      </x:c>
      <x:c r="L144" s="94" t="str">
        <x:f>IF(OR(J144="",K144=""),"",MAX(J144-K144,0))</x:f>
      </x:c>
      <x:c r="M144" s="102" t="str">
        <x:f>IF(COUNTIFS('04 Assessment Log'!$D$6:$D$155,B144,'04 Assessment Log'!$J$6:$J$155,G144,'04 Assessment Log'!$AA$6:$AA$155,"Yes")=0,"",SUMIFS('04 Assessment Log'!$B$6:$B$155,'04 Assessment Log'!$D$6:$D$155,B144,'04 Assessment Log'!$J$6:$J$155,G144,'04 Assessment Log'!$AA$6:$AA$155,"Yes"))</x:f>
      </x:c>
      <x:c r="N144" s="102" t="str">
        <x:f>IF(M144="","",SUMIFS('04 Assessment Log'!$Z$6:$Z$155,'04 Assessment Log'!$D$6:$D$155,B144,'04 Assessment Log'!$J$6:$J$155,G144,'04 Assessment Log'!$AA$6:$AA$155,"Yes"))</x:f>
      </x:c>
      <x:c r="O144" s="94" t="str">
        <x:f>IF(M144="","Not Assessed",IF(N144&lt;TODAY(),"Expired",IF(N144&lt;=TODAY()+30,"Due Soon","Current")))</x:f>
        <x:v>Not Assessed</x:v>
      </x:c>
      <x:c r="P144" s="94" t="str">
        <x:f>IF(OR(B144="",G144=""),"",COUNTIFS('05 Development Actions'!$C$6:$C$105,B144,'05 Development Actions'!$G$6:$G$105,G144,'05 Development Actions'!$A$6:$A$105,"&lt;&gt;",'05 Development Actions'!$AB$6:$AB$105,"&lt;&gt;Closed — Competent",'05 Development Actions'!$AB$6:$AB$105,"&lt;&gt;Cancelled"))</x:f>
      </x:c>
      <x:c r="Q144" s="94" t="str">
        <x:f>IF(OR(B144="",G144=""),"",COUNTIFS('11 Training Attendance'!$E$6:$E$155,B144,'11 Training Attendance'!$K$6:$K$155,"Attended",'11 Training Attendance'!$I$6:$I$155,G144))</x:f>
      </x:c>
      <x:c r="R144" s="102" t="str">
        <x:f>IF(Q144=0,"",MAXIFS('11 Training Attendance'!$D$6:$D$155,'11 Training Attendance'!$E$6:$E$155,B144,'11 Training Attendance'!$K$6:$K$155,"Attended",'11 Training Attendance'!$I$6:$I$155,G144))</x:f>
      </x:c>
      <x:c r="S144" s="94" t="str">
        <x:f>IF(OR(B144="",G144=""),"",COUNTIFS('13 Effectiveness Review'!$C$6:$C$155,B144,'13 Effectiveness Review'!$F$6:$F$155,G144,'13 Effectiveness Review'!$X$6:$X$155,"Closed — Effective"))</x:f>
      </x:c>
      <x:c r="T144" s="94" t="str">
        <x:f>IF(B144="","",IF(K144="","Not Assessed",IF(O144="Expired","Renewal Due",IF(L144=0,"Competent","Skill Gap"))))</x:f>
      </x:c>
      <x:c r="U144" s="94" t="str">
        <x:f>IFERROR(VLOOKUP(D144&amp;"|"&amp;E144&amp;"|"&amp;G144,'03 Position Requirements'!$A$6:$R$285,14,FALSE),"")</x:f>
      </x:c>
      <x:c r="V144" s="92"/>
      <x:c r="W144" s="85" t="str">
        <x:f>IF(B144="","",B144&amp;"|"&amp;COUNTIF($B$6:B144,B144))</x:f>
      </x:c>
      <x:c r="X144" s="85" t="str">
        <x:f>IF(B144="","",G144)</x:f>
      </x:c>
      <x:c r="Y144" s="85" t="str">
        <x:f>IF(B144="","",H144)</x:f>
      </x:c>
      <x:c r="Z144" s="85" t="str">
        <x:f>IF(B144="","",I144)</x:f>
      </x:c>
      <x:c r="AA144" s="85" t="str">
        <x:f>IF(B144="","",J144)</x:f>
      </x:c>
      <x:c r="AB144" s="85" t="str">
        <x:f>IF(B144="","",K144)</x:f>
      </x:c>
      <x:c r="AC144" s="85" t="str">
        <x:f>IF(B144="","",L144)</x:f>
      </x:c>
      <x:c r="AD144" s="85" t="str">
        <x:f>IF(B144="","",M144)</x:f>
      </x:c>
      <x:c r="AE144" s="85" t="str">
        <x:f>IF(B144="","",N144)</x:f>
      </x:c>
      <x:c r="AF144" s="85" t="str">
        <x:f>IF(B144="","",O144)</x:f>
      </x:c>
      <x:c r="AG144" s="85" t="str">
        <x:f>IF(B144="","",P144)</x:f>
      </x:c>
      <x:c r="AH144" s="85" t="str">
        <x:f>IF(B144="","",Q144)</x:f>
      </x:c>
      <x:c r="AI144" s="85" t="str">
        <x:f>IF(B144="","",R144)</x:f>
      </x:c>
      <x:c r="AJ144" s="85" t="str">
        <x:f>IF(B144="","",S144)</x:f>
      </x:c>
      <x:c r="AK144" s="85" t="str">
        <x:f>IF(B144="","",T144)</x:f>
      </x:c>
    </x:row>
    <x:row r="145">
      <x:c r="A145" s="94" t="str">
        <x:f>IF(OR(B145="",G145=""),"",B145&amp;"|"&amp;G145)</x:f>
      </x:c>
      <x:c r="B145" s="92"/>
      <x:c r="C145" s="94" t="str">
        <x:f>IFERROR(VLOOKUP(B145,'01 Staff Master'!$A$6:$M$105,2,FALSE),"")</x:f>
      </x:c>
      <x:c r="D145" s="94" t="str">
        <x:f>IFERROR(VLOOKUP(B145,'01 Staff Master'!$A$6:$M$105,3,FALSE),"")</x:f>
      </x:c>
      <x:c r="E145" s="94" t="str">
        <x:f>IFERROR(VLOOKUP(B145,'01 Staff Master'!$A$6:$M$105,5,FALSE),"")</x:f>
      </x:c>
      <x:c r="F145" s="94" t="str">
        <x:f>IFERROR(VLOOKUP(B145,'01 Staff Master'!$A$6:$M$105,4,FALSE),"")</x:f>
      </x:c>
      <x:c r="G145" s="92"/>
      <x:c r="H145" s="94" t="str">
        <x:f>IFERROR(VLOOKUP(G145,'02 Skill Catalogue'!$A$6:$K$95,4,FALSE),"")</x:f>
      </x:c>
      <x:c r="I145" s="94" t="str">
        <x:f>IFERROR(VLOOKUP(D145&amp;"|"&amp;E145&amp;"|"&amp;G145,'03 Position Requirements'!$A$6:$R$285,8,FALSE),"")</x:f>
      </x:c>
      <x:c r="J145" s="94" t="str">
        <x:f>IFERROR(VLOOKUP(D145&amp;"|"&amp;E145&amp;"|"&amp;G145,'03 Position Requirements'!$A$6:$R$285,10,FALSE),"")</x:f>
      </x:c>
      <x:c r="K145" s="94" t="str">
        <x:f>IF(OR(B145="",G145=""),"",IF(COUNTIFS('04 Assessment Log'!$D$6:$D$155,B145,'04 Assessment Log'!$J$6:$J$155,G145,'04 Assessment Log'!$AA$6:$AA$155,"Yes")=0,"",SUMIFS('04 Assessment Log'!$O$6:$O$155,'04 Assessment Log'!$D$6:$D$155,B145,'04 Assessment Log'!$J$6:$J$155,G145,'04 Assessment Log'!$AA$6:$AA$155,"Yes")))</x:f>
      </x:c>
      <x:c r="L145" s="94" t="str">
        <x:f>IF(OR(J145="",K145=""),"",MAX(J145-K145,0))</x:f>
      </x:c>
      <x:c r="M145" s="102" t="str">
        <x:f>IF(COUNTIFS('04 Assessment Log'!$D$6:$D$155,B145,'04 Assessment Log'!$J$6:$J$155,G145,'04 Assessment Log'!$AA$6:$AA$155,"Yes")=0,"",SUMIFS('04 Assessment Log'!$B$6:$B$155,'04 Assessment Log'!$D$6:$D$155,B145,'04 Assessment Log'!$J$6:$J$155,G145,'04 Assessment Log'!$AA$6:$AA$155,"Yes"))</x:f>
      </x:c>
      <x:c r="N145" s="102" t="str">
        <x:f>IF(M145="","",SUMIFS('04 Assessment Log'!$Z$6:$Z$155,'04 Assessment Log'!$D$6:$D$155,B145,'04 Assessment Log'!$J$6:$J$155,G145,'04 Assessment Log'!$AA$6:$AA$155,"Yes"))</x:f>
      </x:c>
      <x:c r="O145" s="94" t="str">
        <x:f>IF(M145="","Not Assessed",IF(N145&lt;TODAY(),"Expired",IF(N145&lt;=TODAY()+30,"Due Soon","Current")))</x:f>
        <x:v>Not Assessed</x:v>
      </x:c>
      <x:c r="P145" s="94" t="str">
        <x:f>IF(OR(B145="",G145=""),"",COUNTIFS('05 Development Actions'!$C$6:$C$105,B145,'05 Development Actions'!$G$6:$G$105,G145,'05 Development Actions'!$A$6:$A$105,"&lt;&gt;",'05 Development Actions'!$AB$6:$AB$105,"&lt;&gt;Closed — Competent",'05 Development Actions'!$AB$6:$AB$105,"&lt;&gt;Cancelled"))</x:f>
      </x:c>
      <x:c r="Q145" s="94" t="str">
        <x:f>IF(OR(B145="",G145=""),"",COUNTIFS('11 Training Attendance'!$E$6:$E$155,B145,'11 Training Attendance'!$K$6:$K$155,"Attended",'11 Training Attendance'!$I$6:$I$155,G145))</x:f>
      </x:c>
      <x:c r="R145" s="102" t="str">
        <x:f>IF(Q145=0,"",MAXIFS('11 Training Attendance'!$D$6:$D$155,'11 Training Attendance'!$E$6:$E$155,B145,'11 Training Attendance'!$K$6:$K$155,"Attended",'11 Training Attendance'!$I$6:$I$155,G145))</x:f>
      </x:c>
      <x:c r="S145" s="94" t="str">
        <x:f>IF(OR(B145="",G145=""),"",COUNTIFS('13 Effectiveness Review'!$C$6:$C$155,B145,'13 Effectiveness Review'!$F$6:$F$155,G145,'13 Effectiveness Review'!$X$6:$X$155,"Closed — Effective"))</x:f>
      </x:c>
      <x:c r="T145" s="94" t="str">
        <x:f>IF(B145="","",IF(K145="","Not Assessed",IF(O145="Expired","Renewal Due",IF(L145=0,"Competent","Skill Gap"))))</x:f>
      </x:c>
      <x:c r="U145" s="94" t="str">
        <x:f>IFERROR(VLOOKUP(D145&amp;"|"&amp;E145&amp;"|"&amp;G145,'03 Position Requirements'!$A$6:$R$285,14,FALSE),"")</x:f>
      </x:c>
      <x:c r="V145" s="92"/>
      <x:c r="W145" s="85" t="str">
        <x:f>IF(B145="","",B145&amp;"|"&amp;COUNTIF($B$6:B145,B145))</x:f>
      </x:c>
      <x:c r="X145" s="85" t="str">
        <x:f>IF(B145="","",G145)</x:f>
      </x:c>
      <x:c r="Y145" s="85" t="str">
        <x:f>IF(B145="","",H145)</x:f>
      </x:c>
      <x:c r="Z145" s="85" t="str">
        <x:f>IF(B145="","",I145)</x:f>
      </x:c>
      <x:c r="AA145" s="85" t="str">
        <x:f>IF(B145="","",J145)</x:f>
      </x:c>
      <x:c r="AB145" s="85" t="str">
        <x:f>IF(B145="","",K145)</x:f>
      </x:c>
      <x:c r="AC145" s="85" t="str">
        <x:f>IF(B145="","",L145)</x:f>
      </x:c>
      <x:c r="AD145" s="85" t="str">
        <x:f>IF(B145="","",M145)</x:f>
      </x:c>
      <x:c r="AE145" s="85" t="str">
        <x:f>IF(B145="","",N145)</x:f>
      </x:c>
      <x:c r="AF145" s="85" t="str">
        <x:f>IF(B145="","",O145)</x:f>
      </x:c>
      <x:c r="AG145" s="85" t="str">
        <x:f>IF(B145="","",P145)</x:f>
      </x:c>
      <x:c r="AH145" s="85" t="str">
        <x:f>IF(B145="","",Q145)</x:f>
      </x:c>
      <x:c r="AI145" s="85" t="str">
        <x:f>IF(B145="","",R145)</x:f>
      </x:c>
      <x:c r="AJ145" s="85" t="str">
        <x:f>IF(B145="","",S145)</x:f>
      </x:c>
      <x:c r="AK145" s="85" t="str">
        <x:f>IF(B145="","",T145)</x:f>
      </x:c>
    </x:row>
    <x:row r="146">
      <x:c r="A146" s="94" t="str">
        <x:f>IF(OR(B146="",G146=""),"",B146&amp;"|"&amp;G146)</x:f>
      </x:c>
      <x:c r="B146" s="92"/>
      <x:c r="C146" s="94" t="str">
        <x:f>IFERROR(VLOOKUP(B146,'01 Staff Master'!$A$6:$M$105,2,FALSE),"")</x:f>
      </x:c>
      <x:c r="D146" s="94" t="str">
        <x:f>IFERROR(VLOOKUP(B146,'01 Staff Master'!$A$6:$M$105,3,FALSE),"")</x:f>
      </x:c>
      <x:c r="E146" s="94" t="str">
        <x:f>IFERROR(VLOOKUP(B146,'01 Staff Master'!$A$6:$M$105,5,FALSE),"")</x:f>
      </x:c>
      <x:c r="F146" s="94" t="str">
        <x:f>IFERROR(VLOOKUP(B146,'01 Staff Master'!$A$6:$M$105,4,FALSE),"")</x:f>
      </x:c>
      <x:c r="G146" s="92"/>
      <x:c r="H146" s="94" t="str">
        <x:f>IFERROR(VLOOKUP(G146,'02 Skill Catalogue'!$A$6:$K$95,4,FALSE),"")</x:f>
      </x:c>
      <x:c r="I146" s="94" t="str">
        <x:f>IFERROR(VLOOKUP(D146&amp;"|"&amp;E146&amp;"|"&amp;G146,'03 Position Requirements'!$A$6:$R$285,8,FALSE),"")</x:f>
      </x:c>
      <x:c r="J146" s="94" t="str">
        <x:f>IFERROR(VLOOKUP(D146&amp;"|"&amp;E146&amp;"|"&amp;G146,'03 Position Requirements'!$A$6:$R$285,10,FALSE),"")</x:f>
      </x:c>
      <x:c r="K146" s="94" t="str">
        <x:f>IF(OR(B146="",G146=""),"",IF(COUNTIFS('04 Assessment Log'!$D$6:$D$155,B146,'04 Assessment Log'!$J$6:$J$155,G146,'04 Assessment Log'!$AA$6:$AA$155,"Yes")=0,"",SUMIFS('04 Assessment Log'!$O$6:$O$155,'04 Assessment Log'!$D$6:$D$155,B146,'04 Assessment Log'!$J$6:$J$155,G146,'04 Assessment Log'!$AA$6:$AA$155,"Yes")))</x:f>
      </x:c>
      <x:c r="L146" s="94" t="str">
        <x:f>IF(OR(J146="",K146=""),"",MAX(J146-K146,0))</x:f>
      </x:c>
      <x:c r="M146" s="102" t="str">
        <x:f>IF(COUNTIFS('04 Assessment Log'!$D$6:$D$155,B146,'04 Assessment Log'!$J$6:$J$155,G146,'04 Assessment Log'!$AA$6:$AA$155,"Yes")=0,"",SUMIFS('04 Assessment Log'!$B$6:$B$155,'04 Assessment Log'!$D$6:$D$155,B146,'04 Assessment Log'!$J$6:$J$155,G146,'04 Assessment Log'!$AA$6:$AA$155,"Yes"))</x:f>
      </x:c>
      <x:c r="N146" s="102" t="str">
        <x:f>IF(M146="","",SUMIFS('04 Assessment Log'!$Z$6:$Z$155,'04 Assessment Log'!$D$6:$D$155,B146,'04 Assessment Log'!$J$6:$J$155,G146,'04 Assessment Log'!$AA$6:$AA$155,"Yes"))</x:f>
      </x:c>
      <x:c r="O146" s="94" t="str">
        <x:f>IF(M146="","Not Assessed",IF(N146&lt;TODAY(),"Expired",IF(N146&lt;=TODAY()+30,"Due Soon","Current")))</x:f>
        <x:v>Not Assessed</x:v>
      </x:c>
      <x:c r="P146" s="94" t="str">
        <x:f>IF(OR(B146="",G146=""),"",COUNTIFS('05 Development Actions'!$C$6:$C$105,B146,'05 Development Actions'!$G$6:$G$105,G146,'05 Development Actions'!$A$6:$A$105,"&lt;&gt;",'05 Development Actions'!$AB$6:$AB$105,"&lt;&gt;Closed — Competent",'05 Development Actions'!$AB$6:$AB$105,"&lt;&gt;Cancelled"))</x:f>
      </x:c>
      <x:c r="Q146" s="94" t="str">
        <x:f>IF(OR(B146="",G146=""),"",COUNTIFS('11 Training Attendance'!$E$6:$E$155,B146,'11 Training Attendance'!$K$6:$K$155,"Attended",'11 Training Attendance'!$I$6:$I$155,G146))</x:f>
      </x:c>
      <x:c r="R146" s="102" t="str">
        <x:f>IF(Q146=0,"",MAXIFS('11 Training Attendance'!$D$6:$D$155,'11 Training Attendance'!$E$6:$E$155,B146,'11 Training Attendance'!$K$6:$K$155,"Attended",'11 Training Attendance'!$I$6:$I$155,G146))</x:f>
      </x:c>
      <x:c r="S146" s="94" t="str">
        <x:f>IF(OR(B146="",G146=""),"",COUNTIFS('13 Effectiveness Review'!$C$6:$C$155,B146,'13 Effectiveness Review'!$F$6:$F$155,G146,'13 Effectiveness Review'!$X$6:$X$155,"Closed — Effective"))</x:f>
      </x:c>
      <x:c r="T146" s="94" t="str">
        <x:f>IF(B146="","",IF(K146="","Not Assessed",IF(O146="Expired","Renewal Due",IF(L146=0,"Competent","Skill Gap"))))</x:f>
      </x:c>
      <x:c r="U146" s="94" t="str">
        <x:f>IFERROR(VLOOKUP(D146&amp;"|"&amp;E146&amp;"|"&amp;G146,'03 Position Requirements'!$A$6:$R$285,14,FALSE),"")</x:f>
      </x:c>
      <x:c r="V146" s="92"/>
      <x:c r="W146" s="85" t="str">
        <x:f>IF(B146="","",B146&amp;"|"&amp;COUNTIF($B$6:B146,B146))</x:f>
      </x:c>
      <x:c r="X146" s="85" t="str">
        <x:f>IF(B146="","",G146)</x:f>
      </x:c>
      <x:c r="Y146" s="85" t="str">
        <x:f>IF(B146="","",H146)</x:f>
      </x:c>
      <x:c r="Z146" s="85" t="str">
        <x:f>IF(B146="","",I146)</x:f>
      </x:c>
      <x:c r="AA146" s="85" t="str">
        <x:f>IF(B146="","",J146)</x:f>
      </x:c>
      <x:c r="AB146" s="85" t="str">
        <x:f>IF(B146="","",K146)</x:f>
      </x:c>
      <x:c r="AC146" s="85" t="str">
        <x:f>IF(B146="","",L146)</x:f>
      </x:c>
      <x:c r="AD146" s="85" t="str">
        <x:f>IF(B146="","",M146)</x:f>
      </x:c>
      <x:c r="AE146" s="85" t="str">
        <x:f>IF(B146="","",N146)</x:f>
      </x:c>
      <x:c r="AF146" s="85" t="str">
        <x:f>IF(B146="","",O146)</x:f>
      </x:c>
      <x:c r="AG146" s="85" t="str">
        <x:f>IF(B146="","",P146)</x:f>
      </x:c>
      <x:c r="AH146" s="85" t="str">
        <x:f>IF(B146="","",Q146)</x:f>
      </x:c>
      <x:c r="AI146" s="85" t="str">
        <x:f>IF(B146="","",R146)</x:f>
      </x:c>
      <x:c r="AJ146" s="85" t="str">
        <x:f>IF(B146="","",S146)</x:f>
      </x:c>
      <x:c r="AK146" s="85" t="str">
        <x:f>IF(B146="","",T146)</x:f>
      </x:c>
    </x:row>
    <x:row r="147">
      <x:c r="A147" s="94" t="str">
        <x:f>IF(OR(B147="",G147=""),"",B147&amp;"|"&amp;G147)</x:f>
      </x:c>
      <x:c r="B147" s="92"/>
      <x:c r="C147" s="94" t="str">
        <x:f>IFERROR(VLOOKUP(B147,'01 Staff Master'!$A$6:$M$105,2,FALSE),"")</x:f>
      </x:c>
      <x:c r="D147" s="94" t="str">
        <x:f>IFERROR(VLOOKUP(B147,'01 Staff Master'!$A$6:$M$105,3,FALSE),"")</x:f>
      </x:c>
      <x:c r="E147" s="94" t="str">
        <x:f>IFERROR(VLOOKUP(B147,'01 Staff Master'!$A$6:$M$105,5,FALSE),"")</x:f>
      </x:c>
      <x:c r="F147" s="94" t="str">
        <x:f>IFERROR(VLOOKUP(B147,'01 Staff Master'!$A$6:$M$105,4,FALSE),"")</x:f>
      </x:c>
      <x:c r="G147" s="92"/>
      <x:c r="H147" s="94" t="str">
        <x:f>IFERROR(VLOOKUP(G147,'02 Skill Catalogue'!$A$6:$K$95,4,FALSE),"")</x:f>
      </x:c>
      <x:c r="I147" s="94" t="str">
        <x:f>IFERROR(VLOOKUP(D147&amp;"|"&amp;E147&amp;"|"&amp;G147,'03 Position Requirements'!$A$6:$R$285,8,FALSE),"")</x:f>
      </x:c>
      <x:c r="J147" s="94" t="str">
        <x:f>IFERROR(VLOOKUP(D147&amp;"|"&amp;E147&amp;"|"&amp;G147,'03 Position Requirements'!$A$6:$R$285,10,FALSE),"")</x:f>
      </x:c>
      <x:c r="K147" s="94" t="str">
        <x:f>IF(OR(B147="",G147=""),"",IF(COUNTIFS('04 Assessment Log'!$D$6:$D$155,B147,'04 Assessment Log'!$J$6:$J$155,G147,'04 Assessment Log'!$AA$6:$AA$155,"Yes")=0,"",SUMIFS('04 Assessment Log'!$O$6:$O$155,'04 Assessment Log'!$D$6:$D$155,B147,'04 Assessment Log'!$J$6:$J$155,G147,'04 Assessment Log'!$AA$6:$AA$155,"Yes")))</x:f>
      </x:c>
      <x:c r="L147" s="94" t="str">
        <x:f>IF(OR(J147="",K147=""),"",MAX(J147-K147,0))</x:f>
      </x:c>
      <x:c r="M147" s="102" t="str">
        <x:f>IF(COUNTIFS('04 Assessment Log'!$D$6:$D$155,B147,'04 Assessment Log'!$J$6:$J$155,G147,'04 Assessment Log'!$AA$6:$AA$155,"Yes")=0,"",SUMIFS('04 Assessment Log'!$B$6:$B$155,'04 Assessment Log'!$D$6:$D$155,B147,'04 Assessment Log'!$J$6:$J$155,G147,'04 Assessment Log'!$AA$6:$AA$155,"Yes"))</x:f>
      </x:c>
      <x:c r="N147" s="102" t="str">
        <x:f>IF(M147="","",SUMIFS('04 Assessment Log'!$Z$6:$Z$155,'04 Assessment Log'!$D$6:$D$155,B147,'04 Assessment Log'!$J$6:$J$155,G147,'04 Assessment Log'!$AA$6:$AA$155,"Yes"))</x:f>
      </x:c>
      <x:c r="O147" s="94" t="str">
        <x:f>IF(M147="","Not Assessed",IF(N147&lt;TODAY(),"Expired",IF(N147&lt;=TODAY()+30,"Due Soon","Current")))</x:f>
        <x:v>Not Assessed</x:v>
      </x:c>
      <x:c r="P147" s="94" t="str">
        <x:f>IF(OR(B147="",G147=""),"",COUNTIFS('05 Development Actions'!$C$6:$C$105,B147,'05 Development Actions'!$G$6:$G$105,G147,'05 Development Actions'!$A$6:$A$105,"&lt;&gt;",'05 Development Actions'!$AB$6:$AB$105,"&lt;&gt;Closed — Competent",'05 Development Actions'!$AB$6:$AB$105,"&lt;&gt;Cancelled"))</x:f>
      </x:c>
      <x:c r="Q147" s="94" t="str">
        <x:f>IF(OR(B147="",G147=""),"",COUNTIFS('11 Training Attendance'!$E$6:$E$155,B147,'11 Training Attendance'!$K$6:$K$155,"Attended",'11 Training Attendance'!$I$6:$I$155,G147))</x:f>
      </x:c>
      <x:c r="R147" s="102" t="str">
        <x:f>IF(Q147=0,"",MAXIFS('11 Training Attendance'!$D$6:$D$155,'11 Training Attendance'!$E$6:$E$155,B147,'11 Training Attendance'!$K$6:$K$155,"Attended",'11 Training Attendance'!$I$6:$I$155,G147))</x:f>
      </x:c>
      <x:c r="S147" s="94" t="str">
        <x:f>IF(OR(B147="",G147=""),"",COUNTIFS('13 Effectiveness Review'!$C$6:$C$155,B147,'13 Effectiveness Review'!$F$6:$F$155,G147,'13 Effectiveness Review'!$X$6:$X$155,"Closed — Effective"))</x:f>
      </x:c>
      <x:c r="T147" s="94" t="str">
        <x:f>IF(B147="","",IF(K147="","Not Assessed",IF(O147="Expired","Renewal Due",IF(L147=0,"Competent","Skill Gap"))))</x:f>
      </x:c>
      <x:c r="U147" s="94" t="str">
        <x:f>IFERROR(VLOOKUP(D147&amp;"|"&amp;E147&amp;"|"&amp;G147,'03 Position Requirements'!$A$6:$R$285,14,FALSE),"")</x:f>
      </x:c>
      <x:c r="V147" s="92"/>
      <x:c r="W147" s="85" t="str">
        <x:f>IF(B147="","",B147&amp;"|"&amp;COUNTIF($B$6:B147,B147))</x:f>
      </x:c>
      <x:c r="X147" s="85" t="str">
        <x:f>IF(B147="","",G147)</x:f>
      </x:c>
      <x:c r="Y147" s="85" t="str">
        <x:f>IF(B147="","",H147)</x:f>
      </x:c>
      <x:c r="Z147" s="85" t="str">
        <x:f>IF(B147="","",I147)</x:f>
      </x:c>
      <x:c r="AA147" s="85" t="str">
        <x:f>IF(B147="","",J147)</x:f>
      </x:c>
      <x:c r="AB147" s="85" t="str">
        <x:f>IF(B147="","",K147)</x:f>
      </x:c>
      <x:c r="AC147" s="85" t="str">
        <x:f>IF(B147="","",L147)</x:f>
      </x:c>
      <x:c r="AD147" s="85" t="str">
        <x:f>IF(B147="","",M147)</x:f>
      </x:c>
      <x:c r="AE147" s="85" t="str">
        <x:f>IF(B147="","",N147)</x:f>
      </x:c>
      <x:c r="AF147" s="85" t="str">
        <x:f>IF(B147="","",O147)</x:f>
      </x:c>
      <x:c r="AG147" s="85" t="str">
        <x:f>IF(B147="","",P147)</x:f>
      </x:c>
      <x:c r="AH147" s="85" t="str">
        <x:f>IF(B147="","",Q147)</x:f>
      </x:c>
      <x:c r="AI147" s="85" t="str">
        <x:f>IF(B147="","",R147)</x:f>
      </x:c>
      <x:c r="AJ147" s="85" t="str">
        <x:f>IF(B147="","",S147)</x:f>
      </x:c>
      <x:c r="AK147" s="85" t="str">
        <x:f>IF(B147="","",T147)</x:f>
      </x:c>
    </x:row>
    <x:row r="148">
      <x:c r="A148" s="94" t="str">
        <x:f>IF(OR(B148="",G148=""),"",B148&amp;"|"&amp;G148)</x:f>
      </x:c>
      <x:c r="B148" s="92"/>
      <x:c r="C148" s="94" t="str">
        <x:f>IFERROR(VLOOKUP(B148,'01 Staff Master'!$A$6:$M$105,2,FALSE),"")</x:f>
      </x:c>
      <x:c r="D148" s="94" t="str">
        <x:f>IFERROR(VLOOKUP(B148,'01 Staff Master'!$A$6:$M$105,3,FALSE),"")</x:f>
      </x:c>
      <x:c r="E148" s="94" t="str">
        <x:f>IFERROR(VLOOKUP(B148,'01 Staff Master'!$A$6:$M$105,5,FALSE),"")</x:f>
      </x:c>
      <x:c r="F148" s="94" t="str">
        <x:f>IFERROR(VLOOKUP(B148,'01 Staff Master'!$A$6:$M$105,4,FALSE),"")</x:f>
      </x:c>
      <x:c r="G148" s="92"/>
      <x:c r="H148" s="94" t="str">
        <x:f>IFERROR(VLOOKUP(G148,'02 Skill Catalogue'!$A$6:$K$95,4,FALSE),"")</x:f>
      </x:c>
      <x:c r="I148" s="94" t="str">
        <x:f>IFERROR(VLOOKUP(D148&amp;"|"&amp;E148&amp;"|"&amp;G148,'03 Position Requirements'!$A$6:$R$285,8,FALSE),"")</x:f>
      </x:c>
      <x:c r="J148" s="94" t="str">
        <x:f>IFERROR(VLOOKUP(D148&amp;"|"&amp;E148&amp;"|"&amp;G148,'03 Position Requirements'!$A$6:$R$285,10,FALSE),"")</x:f>
      </x:c>
      <x:c r="K148" s="94" t="str">
        <x:f>IF(OR(B148="",G148=""),"",IF(COUNTIFS('04 Assessment Log'!$D$6:$D$155,B148,'04 Assessment Log'!$J$6:$J$155,G148,'04 Assessment Log'!$AA$6:$AA$155,"Yes")=0,"",SUMIFS('04 Assessment Log'!$O$6:$O$155,'04 Assessment Log'!$D$6:$D$155,B148,'04 Assessment Log'!$J$6:$J$155,G148,'04 Assessment Log'!$AA$6:$AA$155,"Yes")))</x:f>
      </x:c>
      <x:c r="L148" s="94" t="str">
        <x:f>IF(OR(J148="",K148=""),"",MAX(J148-K148,0))</x:f>
      </x:c>
      <x:c r="M148" s="102" t="str">
        <x:f>IF(COUNTIFS('04 Assessment Log'!$D$6:$D$155,B148,'04 Assessment Log'!$J$6:$J$155,G148,'04 Assessment Log'!$AA$6:$AA$155,"Yes")=0,"",SUMIFS('04 Assessment Log'!$B$6:$B$155,'04 Assessment Log'!$D$6:$D$155,B148,'04 Assessment Log'!$J$6:$J$155,G148,'04 Assessment Log'!$AA$6:$AA$155,"Yes"))</x:f>
      </x:c>
      <x:c r="N148" s="102" t="str">
        <x:f>IF(M148="","",SUMIFS('04 Assessment Log'!$Z$6:$Z$155,'04 Assessment Log'!$D$6:$D$155,B148,'04 Assessment Log'!$J$6:$J$155,G148,'04 Assessment Log'!$AA$6:$AA$155,"Yes"))</x:f>
      </x:c>
      <x:c r="O148" s="94" t="str">
        <x:f>IF(M148="","Not Assessed",IF(N148&lt;TODAY(),"Expired",IF(N148&lt;=TODAY()+30,"Due Soon","Current")))</x:f>
        <x:v>Not Assessed</x:v>
      </x:c>
      <x:c r="P148" s="94" t="str">
        <x:f>IF(OR(B148="",G148=""),"",COUNTIFS('05 Development Actions'!$C$6:$C$105,B148,'05 Development Actions'!$G$6:$G$105,G148,'05 Development Actions'!$A$6:$A$105,"&lt;&gt;",'05 Development Actions'!$AB$6:$AB$105,"&lt;&gt;Closed — Competent",'05 Development Actions'!$AB$6:$AB$105,"&lt;&gt;Cancelled"))</x:f>
      </x:c>
      <x:c r="Q148" s="94" t="str">
        <x:f>IF(OR(B148="",G148=""),"",COUNTIFS('11 Training Attendance'!$E$6:$E$155,B148,'11 Training Attendance'!$K$6:$K$155,"Attended",'11 Training Attendance'!$I$6:$I$155,G148))</x:f>
      </x:c>
      <x:c r="R148" s="102" t="str">
        <x:f>IF(Q148=0,"",MAXIFS('11 Training Attendance'!$D$6:$D$155,'11 Training Attendance'!$E$6:$E$155,B148,'11 Training Attendance'!$K$6:$K$155,"Attended",'11 Training Attendance'!$I$6:$I$155,G148))</x:f>
      </x:c>
      <x:c r="S148" s="94" t="str">
        <x:f>IF(OR(B148="",G148=""),"",COUNTIFS('13 Effectiveness Review'!$C$6:$C$155,B148,'13 Effectiveness Review'!$F$6:$F$155,G148,'13 Effectiveness Review'!$X$6:$X$155,"Closed — Effective"))</x:f>
      </x:c>
      <x:c r="T148" s="94" t="str">
        <x:f>IF(B148="","",IF(K148="","Not Assessed",IF(O148="Expired","Renewal Due",IF(L148=0,"Competent","Skill Gap"))))</x:f>
      </x:c>
      <x:c r="U148" s="94" t="str">
        <x:f>IFERROR(VLOOKUP(D148&amp;"|"&amp;E148&amp;"|"&amp;G148,'03 Position Requirements'!$A$6:$R$285,14,FALSE),"")</x:f>
      </x:c>
      <x:c r="V148" s="92"/>
      <x:c r="W148" s="85" t="str">
        <x:f>IF(B148="","",B148&amp;"|"&amp;COUNTIF($B$6:B148,B148))</x:f>
      </x:c>
      <x:c r="X148" s="85" t="str">
        <x:f>IF(B148="","",G148)</x:f>
      </x:c>
      <x:c r="Y148" s="85" t="str">
        <x:f>IF(B148="","",H148)</x:f>
      </x:c>
      <x:c r="Z148" s="85" t="str">
        <x:f>IF(B148="","",I148)</x:f>
      </x:c>
      <x:c r="AA148" s="85" t="str">
        <x:f>IF(B148="","",J148)</x:f>
      </x:c>
      <x:c r="AB148" s="85" t="str">
        <x:f>IF(B148="","",K148)</x:f>
      </x:c>
      <x:c r="AC148" s="85" t="str">
        <x:f>IF(B148="","",L148)</x:f>
      </x:c>
      <x:c r="AD148" s="85" t="str">
        <x:f>IF(B148="","",M148)</x:f>
      </x:c>
      <x:c r="AE148" s="85" t="str">
        <x:f>IF(B148="","",N148)</x:f>
      </x:c>
      <x:c r="AF148" s="85" t="str">
        <x:f>IF(B148="","",O148)</x:f>
      </x:c>
      <x:c r="AG148" s="85" t="str">
        <x:f>IF(B148="","",P148)</x:f>
      </x:c>
      <x:c r="AH148" s="85" t="str">
        <x:f>IF(B148="","",Q148)</x:f>
      </x:c>
      <x:c r="AI148" s="85" t="str">
        <x:f>IF(B148="","",R148)</x:f>
      </x:c>
      <x:c r="AJ148" s="85" t="str">
        <x:f>IF(B148="","",S148)</x:f>
      </x:c>
      <x:c r="AK148" s="85" t="str">
        <x:f>IF(B148="","",T148)</x:f>
      </x:c>
    </x:row>
    <x:row r="149">
      <x:c r="A149" s="94" t="str">
        <x:f>IF(OR(B149="",G149=""),"",B149&amp;"|"&amp;G149)</x:f>
      </x:c>
      <x:c r="B149" s="92"/>
      <x:c r="C149" s="94" t="str">
        <x:f>IFERROR(VLOOKUP(B149,'01 Staff Master'!$A$6:$M$105,2,FALSE),"")</x:f>
      </x:c>
      <x:c r="D149" s="94" t="str">
        <x:f>IFERROR(VLOOKUP(B149,'01 Staff Master'!$A$6:$M$105,3,FALSE),"")</x:f>
      </x:c>
      <x:c r="E149" s="94" t="str">
        <x:f>IFERROR(VLOOKUP(B149,'01 Staff Master'!$A$6:$M$105,5,FALSE),"")</x:f>
      </x:c>
      <x:c r="F149" s="94" t="str">
        <x:f>IFERROR(VLOOKUP(B149,'01 Staff Master'!$A$6:$M$105,4,FALSE),"")</x:f>
      </x:c>
      <x:c r="G149" s="92"/>
      <x:c r="H149" s="94" t="str">
        <x:f>IFERROR(VLOOKUP(G149,'02 Skill Catalogue'!$A$6:$K$95,4,FALSE),"")</x:f>
      </x:c>
      <x:c r="I149" s="94" t="str">
        <x:f>IFERROR(VLOOKUP(D149&amp;"|"&amp;E149&amp;"|"&amp;G149,'03 Position Requirements'!$A$6:$R$285,8,FALSE),"")</x:f>
      </x:c>
      <x:c r="J149" s="94" t="str">
        <x:f>IFERROR(VLOOKUP(D149&amp;"|"&amp;E149&amp;"|"&amp;G149,'03 Position Requirements'!$A$6:$R$285,10,FALSE),"")</x:f>
      </x:c>
      <x:c r="K149" s="94" t="str">
        <x:f>IF(OR(B149="",G149=""),"",IF(COUNTIFS('04 Assessment Log'!$D$6:$D$155,B149,'04 Assessment Log'!$J$6:$J$155,G149,'04 Assessment Log'!$AA$6:$AA$155,"Yes")=0,"",SUMIFS('04 Assessment Log'!$O$6:$O$155,'04 Assessment Log'!$D$6:$D$155,B149,'04 Assessment Log'!$J$6:$J$155,G149,'04 Assessment Log'!$AA$6:$AA$155,"Yes")))</x:f>
      </x:c>
      <x:c r="L149" s="94" t="str">
        <x:f>IF(OR(J149="",K149=""),"",MAX(J149-K149,0))</x:f>
      </x:c>
      <x:c r="M149" s="102" t="str">
        <x:f>IF(COUNTIFS('04 Assessment Log'!$D$6:$D$155,B149,'04 Assessment Log'!$J$6:$J$155,G149,'04 Assessment Log'!$AA$6:$AA$155,"Yes")=0,"",SUMIFS('04 Assessment Log'!$B$6:$B$155,'04 Assessment Log'!$D$6:$D$155,B149,'04 Assessment Log'!$J$6:$J$155,G149,'04 Assessment Log'!$AA$6:$AA$155,"Yes"))</x:f>
      </x:c>
      <x:c r="N149" s="102" t="str">
        <x:f>IF(M149="","",SUMIFS('04 Assessment Log'!$Z$6:$Z$155,'04 Assessment Log'!$D$6:$D$155,B149,'04 Assessment Log'!$J$6:$J$155,G149,'04 Assessment Log'!$AA$6:$AA$155,"Yes"))</x:f>
      </x:c>
      <x:c r="O149" s="94" t="str">
        <x:f>IF(M149="","Not Assessed",IF(N149&lt;TODAY(),"Expired",IF(N149&lt;=TODAY()+30,"Due Soon","Current")))</x:f>
        <x:v>Not Assessed</x:v>
      </x:c>
      <x:c r="P149" s="94" t="str">
        <x:f>IF(OR(B149="",G149=""),"",COUNTIFS('05 Development Actions'!$C$6:$C$105,B149,'05 Development Actions'!$G$6:$G$105,G149,'05 Development Actions'!$A$6:$A$105,"&lt;&gt;",'05 Development Actions'!$AB$6:$AB$105,"&lt;&gt;Closed — Competent",'05 Development Actions'!$AB$6:$AB$105,"&lt;&gt;Cancelled"))</x:f>
      </x:c>
      <x:c r="Q149" s="94" t="str">
        <x:f>IF(OR(B149="",G149=""),"",COUNTIFS('11 Training Attendance'!$E$6:$E$155,B149,'11 Training Attendance'!$K$6:$K$155,"Attended",'11 Training Attendance'!$I$6:$I$155,G149))</x:f>
      </x:c>
      <x:c r="R149" s="102" t="str">
        <x:f>IF(Q149=0,"",MAXIFS('11 Training Attendance'!$D$6:$D$155,'11 Training Attendance'!$E$6:$E$155,B149,'11 Training Attendance'!$K$6:$K$155,"Attended",'11 Training Attendance'!$I$6:$I$155,G149))</x:f>
      </x:c>
      <x:c r="S149" s="94" t="str">
        <x:f>IF(OR(B149="",G149=""),"",COUNTIFS('13 Effectiveness Review'!$C$6:$C$155,B149,'13 Effectiveness Review'!$F$6:$F$155,G149,'13 Effectiveness Review'!$X$6:$X$155,"Closed — Effective"))</x:f>
      </x:c>
      <x:c r="T149" s="94" t="str">
        <x:f>IF(B149="","",IF(K149="","Not Assessed",IF(O149="Expired","Renewal Due",IF(L149=0,"Competent","Skill Gap"))))</x:f>
      </x:c>
      <x:c r="U149" s="94" t="str">
        <x:f>IFERROR(VLOOKUP(D149&amp;"|"&amp;E149&amp;"|"&amp;G149,'03 Position Requirements'!$A$6:$R$285,14,FALSE),"")</x:f>
      </x:c>
      <x:c r="V149" s="92"/>
      <x:c r="W149" s="85" t="str">
        <x:f>IF(B149="","",B149&amp;"|"&amp;COUNTIF($B$6:B149,B149))</x:f>
      </x:c>
      <x:c r="X149" s="85" t="str">
        <x:f>IF(B149="","",G149)</x:f>
      </x:c>
      <x:c r="Y149" s="85" t="str">
        <x:f>IF(B149="","",H149)</x:f>
      </x:c>
      <x:c r="Z149" s="85" t="str">
        <x:f>IF(B149="","",I149)</x:f>
      </x:c>
      <x:c r="AA149" s="85" t="str">
        <x:f>IF(B149="","",J149)</x:f>
      </x:c>
      <x:c r="AB149" s="85" t="str">
        <x:f>IF(B149="","",K149)</x:f>
      </x:c>
      <x:c r="AC149" s="85" t="str">
        <x:f>IF(B149="","",L149)</x:f>
      </x:c>
      <x:c r="AD149" s="85" t="str">
        <x:f>IF(B149="","",M149)</x:f>
      </x:c>
      <x:c r="AE149" s="85" t="str">
        <x:f>IF(B149="","",N149)</x:f>
      </x:c>
      <x:c r="AF149" s="85" t="str">
        <x:f>IF(B149="","",O149)</x:f>
      </x:c>
      <x:c r="AG149" s="85" t="str">
        <x:f>IF(B149="","",P149)</x:f>
      </x:c>
      <x:c r="AH149" s="85" t="str">
        <x:f>IF(B149="","",Q149)</x:f>
      </x:c>
      <x:c r="AI149" s="85" t="str">
        <x:f>IF(B149="","",R149)</x:f>
      </x:c>
      <x:c r="AJ149" s="85" t="str">
        <x:f>IF(B149="","",S149)</x:f>
      </x:c>
      <x:c r="AK149" s="85" t="str">
        <x:f>IF(B149="","",T149)</x:f>
      </x:c>
    </x:row>
    <x:row r="150">
      <x:c r="A150" s="94" t="str">
        <x:f>IF(OR(B150="",G150=""),"",B150&amp;"|"&amp;G150)</x:f>
      </x:c>
      <x:c r="B150" s="92"/>
      <x:c r="C150" s="94" t="str">
        <x:f>IFERROR(VLOOKUP(B150,'01 Staff Master'!$A$6:$M$105,2,FALSE),"")</x:f>
      </x:c>
      <x:c r="D150" s="94" t="str">
        <x:f>IFERROR(VLOOKUP(B150,'01 Staff Master'!$A$6:$M$105,3,FALSE),"")</x:f>
      </x:c>
      <x:c r="E150" s="94" t="str">
        <x:f>IFERROR(VLOOKUP(B150,'01 Staff Master'!$A$6:$M$105,5,FALSE),"")</x:f>
      </x:c>
      <x:c r="F150" s="94" t="str">
        <x:f>IFERROR(VLOOKUP(B150,'01 Staff Master'!$A$6:$M$105,4,FALSE),"")</x:f>
      </x:c>
      <x:c r="G150" s="92"/>
      <x:c r="H150" s="94" t="str">
        <x:f>IFERROR(VLOOKUP(G150,'02 Skill Catalogue'!$A$6:$K$95,4,FALSE),"")</x:f>
      </x:c>
      <x:c r="I150" s="94" t="str">
        <x:f>IFERROR(VLOOKUP(D150&amp;"|"&amp;E150&amp;"|"&amp;G150,'03 Position Requirements'!$A$6:$R$285,8,FALSE),"")</x:f>
      </x:c>
      <x:c r="J150" s="94" t="str">
        <x:f>IFERROR(VLOOKUP(D150&amp;"|"&amp;E150&amp;"|"&amp;G150,'03 Position Requirements'!$A$6:$R$285,10,FALSE),"")</x:f>
      </x:c>
      <x:c r="K150" s="94" t="str">
        <x:f>IF(OR(B150="",G150=""),"",IF(COUNTIFS('04 Assessment Log'!$D$6:$D$155,B150,'04 Assessment Log'!$J$6:$J$155,G150,'04 Assessment Log'!$AA$6:$AA$155,"Yes")=0,"",SUMIFS('04 Assessment Log'!$O$6:$O$155,'04 Assessment Log'!$D$6:$D$155,B150,'04 Assessment Log'!$J$6:$J$155,G150,'04 Assessment Log'!$AA$6:$AA$155,"Yes")))</x:f>
      </x:c>
      <x:c r="L150" s="94" t="str">
        <x:f>IF(OR(J150="",K150=""),"",MAX(J150-K150,0))</x:f>
      </x:c>
      <x:c r="M150" s="102" t="str">
        <x:f>IF(COUNTIFS('04 Assessment Log'!$D$6:$D$155,B150,'04 Assessment Log'!$J$6:$J$155,G150,'04 Assessment Log'!$AA$6:$AA$155,"Yes")=0,"",SUMIFS('04 Assessment Log'!$B$6:$B$155,'04 Assessment Log'!$D$6:$D$155,B150,'04 Assessment Log'!$J$6:$J$155,G150,'04 Assessment Log'!$AA$6:$AA$155,"Yes"))</x:f>
      </x:c>
      <x:c r="N150" s="102" t="str">
        <x:f>IF(M150="","",SUMIFS('04 Assessment Log'!$Z$6:$Z$155,'04 Assessment Log'!$D$6:$D$155,B150,'04 Assessment Log'!$J$6:$J$155,G150,'04 Assessment Log'!$AA$6:$AA$155,"Yes"))</x:f>
      </x:c>
      <x:c r="O150" s="94" t="str">
        <x:f>IF(M150="","Not Assessed",IF(N150&lt;TODAY(),"Expired",IF(N150&lt;=TODAY()+30,"Due Soon","Current")))</x:f>
        <x:v>Not Assessed</x:v>
      </x:c>
      <x:c r="P150" s="94" t="str">
        <x:f>IF(OR(B150="",G150=""),"",COUNTIFS('05 Development Actions'!$C$6:$C$105,B150,'05 Development Actions'!$G$6:$G$105,G150,'05 Development Actions'!$A$6:$A$105,"&lt;&gt;",'05 Development Actions'!$AB$6:$AB$105,"&lt;&gt;Closed — Competent",'05 Development Actions'!$AB$6:$AB$105,"&lt;&gt;Cancelled"))</x:f>
      </x:c>
      <x:c r="Q150" s="94" t="str">
        <x:f>IF(OR(B150="",G150=""),"",COUNTIFS('11 Training Attendance'!$E$6:$E$155,B150,'11 Training Attendance'!$K$6:$K$155,"Attended",'11 Training Attendance'!$I$6:$I$155,G150))</x:f>
      </x:c>
      <x:c r="R150" s="102" t="str">
        <x:f>IF(Q150=0,"",MAXIFS('11 Training Attendance'!$D$6:$D$155,'11 Training Attendance'!$E$6:$E$155,B150,'11 Training Attendance'!$K$6:$K$155,"Attended",'11 Training Attendance'!$I$6:$I$155,G150))</x:f>
      </x:c>
      <x:c r="S150" s="94" t="str">
        <x:f>IF(OR(B150="",G150=""),"",COUNTIFS('13 Effectiveness Review'!$C$6:$C$155,B150,'13 Effectiveness Review'!$F$6:$F$155,G150,'13 Effectiveness Review'!$X$6:$X$155,"Closed — Effective"))</x:f>
      </x:c>
      <x:c r="T150" s="94" t="str">
        <x:f>IF(B150="","",IF(K150="","Not Assessed",IF(O150="Expired","Renewal Due",IF(L150=0,"Competent","Skill Gap"))))</x:f>
      </x:c>
      <x:c r="U150" s="94" t="str">
        <x:f>IFERROR(VLOOKUP(D150&amp;"|"&amp;E150&amp;"|"&amp;G150,'03 Position Requirements'!$A$6:$R$285,14,FALSE),"")</x:f>
      </x:c>
      <x:c r="V150" s="92"/>
      <x:c r="W150" s="85" t="str">
        <x:f>IF(B150="","",B150&amp;"|"&amp;COUNTIF($B$6:B150,B150))</x:f>
      </x:c>
      <x:c r="X150" s="85" t="str">
        <x:f>IF(B150="","",G150)</x:f>
      </x:c>
      <x:c r="Y150" s="85" t="str">
        <x:f>IF(B150="","",H150)</x:f>
      </x:c>
      <x:c r="Z150" s="85" t="str">
        <x:f>IF(B150="","",I150)</x:f>
      </x:c>
      <x:c r="AA150" s="85" t="str">
        <x:f>IF(B150="","",J150)</x:f>
      </x:c>
      <x:c r="AB150" s="85" t="str">
        <x:f>IF(B150="","",K150)</x:f>
      </x:c>
      <x:c r="AC150" s="85" t="str">
        <x:f>IF(B150="","",L150)</x:f>
      </x:c>
      <x:c r="AD150" s="85" t="str">
        <x:f>IF(B150="","",M150)</x:f>
      </x:c>
      <x:c r="AE150" s="85" t="str">
        <x:f>IF(B150="","",N150)</x:f>
      </x:c>
      <x:c r="AF150" s="85" t="str">
        <x:f>IF(B150="","",O150)</x:f>
      </x:c>
      <x:c r="AG150" s="85" t="str">
        <x:f>IF(B150="","",P150)</x:f>
      </x:c>
      <x:c r="AH150" s="85" t="str">
        <x:f>IF(B150="","",Q150)</x:f>
      </x:c>
      <x:c r="AI150" s="85" t="str">
        <x:f>IF(B150="","",R150)</x:f>
      </x:c>
      <x:c r="AJ150" s="85" t="str">
        <x:f>IF(B150="","",S150)</x:f>
      </x:c>
      <x:c r="AK150" s="85" t="str">
        <x:f>IF(B150="","",T150)</x:f>
      </x:c>
    </x:row>
    <x:row r="151">
      <x:c r="A151" s="94" t="str">
        <x:f>IF(OR(B151="",G151=""),"",B151&amp;"|"&amp;G151)</x:f>
      </x:c>
      <x:c r="B151" s="92"/>
      <x:c r="C151" s="94" t="str">
        <x:f>IFERROR(VLOOKUP(B151,'01 Staff Master'!$A$6:$M$105,2,FALSE),"")</x:f>
      </x:c>
      <x:c r="D151" s="94" t="str">
        <x:f>IFERROR(VLOOKUP(B151,'01 Staff Master'!$A$6:$M$105,3,FALSE),"")</x:f>
      </x:c>
      <x:c r="E151" s="94" t="str">
        <x:f>IFERROR(VLOOKUP(B151,'01 Staff Master'!$A$6:$M$105,5,FALSE),"")</x:f>
      </x:c>
      <x:c r="F151" s="94" t="str">
        <x:f>IFERROR(VLOOKUP(B151,'01 Staff Master'!$A$6:$M$105,4,FALSE),"")</x:f>
      </x:c>
      <x:c r="G151" s="92"/>
      <x:c r="H151" s="94" t="str">
        <x:f>IFERROR(VLOOKUP(G151,'02 Skill Catalogue'!$A$6:$K$95,4,FALSE),"")</x:f>
      </x:c>
      <x:c r="I151" s="94" t="str">
        <x:f>IFERROR(VLOOKUP(D151&amp;"|"&amp;E151&amp;"|"&amp;G151,'03 Position Requirements'!$A$6:$R$285,8,FALSE),"")</x:f>
      </x:c>
      <x:c r="J151" s="94" t="str">
        <x:f>IFERROR(VLOOKUP(D151&amp;"|"&amp;E151&amp;"|"&amp;G151,'03 Position Requirements'!$A$6:$R$285,10,FALSE),"")</x:f>
      </x:c>
      <x:c r="K151" s="94" t="str">
        <x:f>IF(OR(B151="",G151=""),"",IF(COUNTIFS('04 Assessment Log'!$D$6:$D$155,B151,'04 Assessment Log'!$J$6:$J$155,G151,'04 Assessment Log'!$AA$6:$AA$155,"Yes")=0,"",SUMIFS('04 Assessment Log'!$O$6:$O$155,'04 Assessment Log'!$D$6:$D$155,B151,'04 Assessment Log'!$J$6:$J$155,G151,'04 Assessment Log'!$AA$6:$AA$155,"Yes")))</x:f>
      </x:c>
      <x:c r="L151" s="94" t="str">
        <x:f>IF(OR(J151="",K151=""),"",MAX(J151-K151,0))</x:f>
      </x:c>
      <x:c r="M151" s="102" t="str">
        <x:f>IF(COUNTIFS('04 Assessment Log'!$D$6:$D$155,B151,'04 Assessment Log'!$J$6:$J$155,G151,'04 Assessment Log'!$AA$6:$AA$155,"Yes")=0,"",SUMIFS('04 Assessment Log'!$B$6:$B$155,'04 Assessment Log'!$D$6:$D$155,B151,'04 Assessment Log'!$J$6:$J$155,G151,'04 Assessment Log'!$AA$6:$AA$155,"Yes"))</x:f>
      </x:c>
      <x:c r="N151" s="102" t="str">
        <x:f>IF(M151="","",SUMIFS('04 Assessment Log'!$Z$6:$Z$155,'04 Assessment Log'!$D$6:$D$155,B151,'04 Assessment Log'!$J$6:$J$155,G151,'04 Assessment Log'!$AA$6:$AA$155,"Yes"))</x:f>
      </x:c>
      <x:c r="O151" s="94" t="str">
        <x:f>IF(M151="","Not Assessed",IF(N151&lt;TODAY(),"Expired",IF(N151&lt;=TODAY()+30,"Due Soon","Current")))</x:f>
        <x:v>Not Assessed</x:v>
      </x:c>
      <x:c r="P151" s="94" t="str">
        <x:f>IF(OR(B151="",G151=""),"",COUNTIFS('05 Development Actions'!$C$6:$C$105,B151,'05 Development Actions'!$G$6:$G$105,G151,'05 Development Actions'!$A$6:$A$105,"&lt;&gt;",'05 Development Actions'!$AB$6:$AB$105,"&lt;&gt;Closed — Competent",'05 Development Actions'!$AB$6:$AB$105,"&lt;&gt;Cancelled"))</x:f>
      </x:c>
      <x:c r="Q151" s="94" t="str">
        <x:f>IF(OR(B151="",G151=""),"",COUNTIFS('11 Training Attendance'!$E$6:$E$155,B151,'11 Training Attendance'!$K$6:$K$155,"Attended",'11 Training Attendance'!$I$6:$I$155,G151))</x:f>
      </x:c>
      <x:c r="R151" s="102" t="str">
        <x:f>IF(Q151=0,"",MAXIFS('11 Training Attendance'!$D$6:$D$155,'11 Training Attendance'!$E$6:$E$155,B151,'11 Training Attendance'!$K$6:$K$155,"Attended",'11 Training Attendance'!$I$6:$I$155,G151))</x:f>
      </x:c>
      <x:c r="S151" s="94" t="str">
        <x:f>IF(OR(B151="",G151=""),"",COUNTIFS('13 Effectiveness Review'!$C$6:$C$155,B151,'13 Effectiveness Review'!$F$6:$F$155,G151,'13 Effectiveness Review'!$X$6:$X$155,"Closed — Effective"))</x:f>
      </x:c>
      <x:c r="T151" s="94" t="str">
        <x:f>IF(B151="","",IF(K151="","Not Assessed",IF(O151="Expired","Renewal Due",IF(L151=0,"Competent","Skill Gap"))))</x:f>
      </x:c>
      <x:c r="U151" s="94" t="str">
        <x:f>IFERROR(VLOOKUP(D151&amp;"|"&amp;E151&amp;"|"&amp;G151,'03 Position Requirements'!$A$6:$R$285,14,FALSE),"")</x:f>
      </x:c>
      <x:c r="V151" s="92"/>
      <x:c r="W151" s="85" t="str">
        <x:f>IF(B151="","",B151&amp;"|"&amp;COUNTIF($B$6:B151,B151))</x:f>
      </x:c>
      <x:c r="X151" s="85" t="str">
        <x:f>IF(B151="","",G151)</x:f>
      </x:c>
      <x:c r="Y151" s="85" t="str">
        <x:f>IF(B151="","",H151)</x:f>
      </x:c>
      <x:c r="Z151" s="85" t="str">
        <x:f>IF(B151="","",I151)</x:f>
      </x:c>
      <x:c r="AA151" s="85" t="str">
        <x:f>IF(B151="","",J151)</x:f>
      </x:c>
      <x:c r="AB151" s="85" t="str">
        <x:f>IF(B151="","",K151)</x:f>
      </x:c>
      <x:c r="AC151" s="85" t="str">
        <x:f>IF(B151="","",L151)</x:f>
      </x:c>
      <x:c r="AD151" s="85" t="str">
        <x:f>IF(B151="","",M151)</x:f>
      </x:c>
      <x:c r="AE151" s="85" t="str">
        <x:f>IF(B151="","",N151)</x:f>
      </x:c>
      <x:c r="AF151" s="85" t="str">
        <x:f>IF(B151="","",O151)</x:f>
      </x:c>
      <x:c r="AG151" s="85" t="str">
        <x:f>IF(B151="","",P151)</x:f>
      </x:c>
      <x:c r="AH151" s="85" t="str">
        <x:f>IF(B151="","",Q151)</x:f>
      </x:c>
      <x:c r="AI151" s="85" t="str">
        <x:f>IF(B151="","",R151)</x:f>
      </x:c>
      <x:c r="AJ151" s="85" t="str">
        <x:f>IF(B151="","",S151)</x:f>
      </x:c>
      <x:c r="AK151" s="85" t="str">
        <x:f>IF(B151="","",T151)</x:f>
      </x:c>
    </x:row>
    <x:row r="152">
      <x:c r="A152" s="94" t="str">
        <x:f>IF(OR(B152="",G152=""),"",B152&amp;"|"&amp;G152)</x:f>
      </x:c>
      <x:c r="B152" s="92"/>
      <x:c r="C152" s="94" t="str">
        <x:f>IFERROR(VLOOKUP(B152,'01 Staff Master'!$A$6:$M$105,2,FALSE),"")</x:f>
      </x:c>
      <x:c r="D152" s="94" t="str">
        <x:f>IFERROR(VLOOKUP(B152,'01 Staff Master'!$A$6:$M$105,3,FALSE),"")</x:f>
      </x:c>
      <x:c r="E152" s="94" t="str">
        <x:f>IFERROR(VLOOKUP(B152,'01 Staff Master'!$A$6:$M$105,5,FALSE),"")</x:f>
      </x:c>
      <x:c r="F152" s="94" t="str">
        <x:f>IFERROR(VLOOKUP(B152,'01 Staff Master'!$A$6:$M$105,4,FALSE),"")</x:f>
      </x:c>
      <x:c r="G152" s="92"/>
      <x:c r="H152" s="94" t="str">
        <x:f>IFERROR(VLOOKUP(G152,'02 Skill Catalogue'!$A$6:$K$95,4,FALSE),"")</x:f>
      </x:c>
      <x:c r="I152" s="94" t="str">
        <x:f>IFERROR(VLOOKUP(D152&amp;"|"&amp;E152&amp;"|"&amp;G152,'03 Position Requirements'!$A$6:$R$285,8,FALSE),"")</x:f>
      </x:c>
      <x:c r="J152" s="94" t="str">
        <x:f>IFERROR(VLOOKUP(D152&amp;"|"&amp;E152&amp;"|"&amp;G152,'03 Position Requirements'!$A$6:$R$285,10,FALSE),"")</x:f>
      </x:c>
      <x:c r="K152" s="94" t="str">
        <x:f>IF(OR(B152="",G152=""),"",IF(COUNTIFS('04 Assessment Log'!$D$6:$D$155,B152,'04 Assessment Log'!$J$6:$J$155,G152,'04 Assessment Log'!$AA$6:$AA$155,"Yes")=0,"",SUMIFS('04 Assessment Log'!$O$6:$O$155,'04 Assessment Log'!$D$6:$D$155,B152,'04 Assessment Log'!$J$6:$J$155,G152,'04 Assessment Log'!$AA$6:$AA$155,"Yes")))</x:f>
      </x:c>
      <x:c r="L152" s="94" t="str">
        <x:f>IF(OR(J152="",K152=""),"",MAX(J152-K152,0))</x:f>
      </x:c>
      <x:c r="M152" s="102" t="str">
        <x:f>IF(COUNTIFS('04 Assessment Log'!$D$6:$D$155,B152,'04 Assessment Log'!$J$6:$J$155,G152,'04 Assessment Log'!$AA$6:$AA$155,"Yes")=0,"",SUMIFS('04 Assessment Log'!$B$6:$B$155,'04 Assessment Log'!$D$6:$D$155,B152,'04 Assessment Log'!$J$6:$J$155,G152,'04 Assessment Log'!$AA$6:$AA$155,"Yes"))</x:f>
      </x:c>
      <x:c r="N152" s="102" t="str">
        <x:f>IF(M152="","",SUMIFS('04 Assessment Log'!$Z$6:$Z$155,'04 Assessment Log'!$D$6:$D$155,B152,'04 Assessment Log'!$J$6:$J$155,G152,'04 Assessment Log'!$AA$6:$AA$155,"Yes"))</x:f>
      </x:c>
      <x:c r="O152" s="94" t="str">
        <x:f>IF(M152="","Not Assessed",IF(N152&lt;TODAY(),"Expired",IF(N152&lt;=TODAY()+30,"Due Soon","Current")))</x:f>
        <x:v>Not Assessed</x:v>
      </x:c>
      <x:c r="P152" s="94" t="str">
        <x:f>IF(OR(B152="",G152=""),"",COUNTIFS('05 Development Actions'!$C$6:$C$105,B152,'05 Development Actions'!$G$6:$G$105,G152,'05 Development Actions'!$A$6:$A$105,"&lt;&gt;",'05 Development Actions'!$AB$6:$AB$105,"&lt;&gt;Closed — Competent",'05 Development Actions'!$AB$6:$AB$105,"&lt;&gt;Cancelled"))</x:f>
      </x:c>
      <x:c r="Q152" s="94" t="str">
        <x:f>IF(OR(B152="",G152=""),"",COUNTIFS('11 Training Attendance'!$E$6:$E$155,B152,'11 Training Attendance'!$K$6:$K$155,"Attended",'11 Training Attendance'!$I$6:$I$155,G152))</x:f>
      </x:c>
      <x:c r="R152" s="102" t="str">
        <x:f>IF(Q152=0,"",MAXIFS('11 Training Attendance'!$D$6:$D$155,'11 Training Attendance'!$E$6:$E$155,B152,'11 Training Attendance'!$K$6:$K$155,"Attended",'11 Training Attendance'!$I$6:$I$155,G152))</x:f>
      </x:c>
      <x:c r="S152" s="94" t="str">
        <x:f>IF(OR(B152="",G152=""),"",COUNTIFS('13 Effectiveness Review'!$C$6:$C$155,B152,'13 Effectiveness Review'!$F$6:$F$155,G152,'13 Effectiveness Review'!$X$6:$X$155,"Closed — Effective"))</x:f>
      </x:c>
      <x:c r="T152" s="94" t="str">
        <x:f>IF(B152="","",IF(K152="","Not Assessed",IF(O152="Expired","Renewal Due",IF(L152=0,"Competent","Skill Gap"))))</x:f>
      </x:c>
      <x:c r="U152" s="94" t="str">
        <x:f>IFERROR(VLOOKUP(D152&amp;"|"&amp;E152&amp;"|"&amp;G152,'03 Position Requirements'!$A$6:$R$285,14,FALSE),"")</x:f>
      </x:c>
      <x:c r="V152" s="92"/>
      <x:c r="W152" s="85" t="str">
        <x:f>IF(B152="","",B152&amp;"|"&amp;COUNTIF($B$6:B152,B152))</x:f>
      </x:c>
      <x:c r="X152" s="85" t="str">
        <x:f>IF(B152="","",G152)</x:f>
      </x:c>
      <x:c r="Y152" s="85" t="str">
        <x:f>IF(B152="","",H152)</x:f>
      </x:c>
      <x:c r="Z152" s="85" t="str">
        <x:f>IF(B152="","",I152)</x:f>
      </x:c>
      <x:c r="AA152" s="85" t="str">
        <x:f>IF(B152="","",J152)</x:f>
      </x:c>
      <x:c r="AB152" s="85" t="str">
        <x:f>IF(B152="","",K152)</x:f>
      </x:c>
      <x:c r="AC152" s="85" t="str">
        <x:f>IF(B152="","",L152)</x:f>
      </x:c>
      <x:c r="AD152" s="85" t="str">
        <x:f>IF(B152="","",M152)</x:f>
      </x:c>
      <x:c r="AE152" s="85" t="str">
        <x:f>IF(B152="","",N152)</x:f>
      </x:c>
      <x:c r="AF152" s="85" t="str">
        <x:f>IF(B152="","",O152)</x:f>
      </x:c>
      <x:c r="AG152" s="85" t="str">
        <x:f>IF(B152="","",P152)</x:f>
      </x:c>
      <x:c r="AH152" s="85" t="str">
        <x:f>IF(B152="","",Q152)</x:f>
      </x:c>
      <x:c r="AI152" s="85" t="str">
        <x:f>IF(B152="","",R152)</x:f>
      </x:c>
      <x:c r="AJ152" s="85" t="str">
        <x:f>IF(B152="","",S152)</x:f>
      </x:c>
      <x:c r="AK152" s="85" t="str">
        <x:f>IF(B152="","",T152)</x:f>
      </x:c>
    </x:row>
    <x:row r="153">
      <x:c r="A153" s="94" t="str">
        <x:f>IF(OR(B153="",G153=""),"",B153&amp;"|"&amp;G153)</x:f>
      </x:c>
      <x:c r="B153" s="92"/>
      <x:c r="C153" s="94" t="str">
        <x:f>IFERROR(VLOOKUP(B153,'01 Staff Master'!$A$6:$M$105,2,FALSE),"")</x:f>
      </x:c>
      <x:c r="D153" s="94" t="str">
        <x:f>IFERROR(VLOOKUP(B153,'01 Staff Master'!$A$6:$M$105,3,FALSE),"")</x:f>
      </x:c>
      <x:c r="E153" s="94" t="str">
        <x:f>IFERROR(VLOOKUP(B153,'01 Staff Master'!$A$6:$M$105,5,FALSE),"")</x:f>
      </x:c>
      <x:c r="F153" s="94" t="str">
        <x:f>IFERROR(VLOOKUP(B153,'01 Staff Master'!$A$6:$M$105,4,FALSE),"")</x:f>
      </x:c>
      <x:c r="G153" s="92"/>
      <x:c r="H153" s="94" t="str">
        <x:f>IFERROR(VLOOKUP(G153,'02 Skill Catalogue'!$A$6:$K$95,4,FALSE),"")</x:f>
      </x:c>
      <x:c r="I153" s="94" t="str">
        <x:f>IFERROR(VLOOKUP(D153&amp;"|"&amp;E153&amp;"|"&amp;G153,'03 Position Requirements'!$A$6:$R$285,8,FALSE),"")</x:f>
      </x:c>
      <x:c r="J153" s="94" t="str">
        <x:f>IFERROR(VLOOKUP(D153&amp;"|"&amp;E153&amp;"|"&amp;G153,'03 Position Requirements'!$A$6:$R$285,10,FALSE),"")</x:f>
      </x:c>
      <x:c r="K153" s="94" t="str">
        <x:f>IF(OR(B153="",G153=""),"",IF(COUNTIFS('04 Assessment Log'!$D$6:$D$155,B153,'04 Assessment Log'!$J$6:$J$155,G153,'04 Assessment Log'!$AA$6:$AA$155,"Yes")=0,"",SUMIFS('04 Assessment Log'!$O$6:$O$155,'04 Assessment Log'!$D$6:$D$155,B153,'04 Assessment Log'!$J$6:$J$155,G153,'04 Assessment Log'!$AA$6:$AA$155,"Yes")))</x:f>
      </x:c>
      <x:c r="L153" s="94" t="str">
        <x:f>IF(OR(J153="",K153=""),"",MAX(J153-K153,0))</x:f>
      </x:c>
      <x:c r="M153" s="102" t="str">
        <x:f>IF(COUNTIFS('04 Assessment Log'!$D$6:$D$155,B153,'04 Assessment Log'!$J$6:$J$155,G153,'04 Assessment Log'!$AA$6:$AA$155,"Yes")=0,"",SUMIFS('04 Assessment Log'!$B$6:$B$155,'04 Assessment Log'!$D$6:$D$155,B153,'04 Assessment Log'!$J$6:$J$155,G153,'04 Assessment Log'!$AA$6:$AA$155,"Yes"))</x:f>
      </x:c>
      <x:c r="N153" s="102" t="str">
        <x:f>IF(M153="","",SUMIFS('04 Assessment Log'!$Z$6:$Z$155,'04 Assessment Log'!$D$6:$D$155,B153,'04 Assessment Log'!$J$6:$J$155,G153,'04 Assessment Log'!$AA$6:$AA$155,"Yes"))</x:f>
      </x:c>
      <x:c r="O153" s="94" t="str">
        <x:f>IF(M153="","Not Assessed",IF(N153&lt;TODAY(),"Expired",IF(N153&lt;=TODAY()+30,"Due Soon","Current")))</x:f>
        <x:v>Not Assessed</x:v>
      </x:c>
      <x:c r="P153" s="94" t="str">
        <x:f>IF(OR(B153="",G153=""),"",COUNTIFS('05 Development Actions'!$C$6:$C$105,B153,'05 Development Actions'!$G$6:$G$105,G153,'05 Development Actions'!$A$6:$A$105,"&lt;&gt;",'05 Development Actions'!$AB$6:$AB$105,"&lt;&gt;Closed — Competent",'05 Development Actions'!$AB$6:$AB$105,"&lt;&gt;Cancelled"))</x:f>
      </x:c>
      <x:c r="Q153" s="94" t="str">
        <x:f>IF(OR(B153="",G153=""),"",COUNTIFS('11 Training Attendance'!$E$6:$E$155,B153,'11 Training Attendance'!$K$6:$K$155,"Attended",'11 Training Attendance'!$I$6:$I$155,G153))</x:f>
      </x:c>
      <x:c r="R153" s="102" t="str">
        <x:f>IF(Q153=0,"",MAXIFS('11 Training Attendance'!$D$6:$D$155,'11 Training Attendance'!$E$6:$E$155,B153,'11 Training Attendance'!$K$6:$K$155,"Attended",'11 Training Attendance'!$I$6:$I$155,G153))</x:f>
      </x:c>
      <x:c r="S153" s="94" t="str">
        <x:f>IF(OR(B153="",G153=""),"",COUNTIFS('13 Effectiveness Review'!$C$6:$C$155,B153,'13 Effectiveness Review'!$F$6:$F$155,G153,'13 Effectiveness Review'!$X$6:$X$155,"Closed — Effective"))</x:f>
      </x:c>
      <x:c r="T153" s="94" t="str">
        <x:f>IF(B153="","",IF(K153="","Not Assessed",IF(O153="Expired","Renewal Due",IF(L153=0,"Competent","Skill Gap"))))</x:f>
      </x:c>
      <x:c r="U153" s="94" t="str">
        <x:f>IFERROR(VLOOKUP(D153&amp;"|"&amp;E153&amp;"|"&amp;G153,'03 Position Requirements'!$A$6:$R$285,14,FALSE),"")</x:f>
      </x:c>
      <x:c r="V153" s="92"/>
      <x:c r="W153" s="85" t="str">
        <x:f>IF(B153="","",B153&amp;"|"&amp;COUNTIF($B$6:B153,B153))</x:f>
      </x:c>
      <x:c r="X153" s="85" t="str">
        <x:f>IF(B153="","",G153)</x:f>
      </x:c>
      <x:c r="Y153" s="85" t="str">
        <x:f>IF(B153="","",H153)</x:f>
      </x:c>
      <x:c r="Z153" s="85" t="str">
        <x:f>IF(B153="","",I153)</x:f>
      </x:c>
      <x:c r="AA153" s="85" t="str">
        <x:f>IF(B153="","",J153)</x:f>
      </x:c>
      <x:c r="AB153" s="85" t="str">
        <x:f>IF(B153="","",K153)</x:f>
      </x:c>
      <x:c r="AC153" s="85" t="str">
        <x:f>IF(B153="","",L153)</x:f>
      </x:c>
      <x:c r="AD153" s="85" t="str">
        <x:f>IF(B153="","",M153)</x:f>
      </x:c>
      <x:c r="AE153" s="85" t="str">
        <x:f>IF(B153="","",N153)</x:f>
      </x:c>
      <x:c r="AF153" s="85" t="str">
        <x:f>IF(B153="","",O153)</x:f>
      </x:c>
      <x:c r="AG153" s="85" t="str">
        <x:f>IF(B153="","",P153)</x:f>
      </x:c>
      <x:c r="AH153" s="85" t="str">
        <x:f>IF(B153="","",Q153)</x:f>
      </x:c>
      <x:c r="AI153" s="85" t="str">
        <x:f>IF(B153="","",R153)</x:f>
      </x:c>
      <x:c r="AJ153" s="85" t="str">
        <x:f>IF(B153="","",S153)</x:f>
      </x:c>
      <x:c r="AK153" s="85" t="str">
        <x:f>IF(B153="","",T153)</x:f>
      </x:c>
    </x:row>
    <x:row r="154">
      <x:c r="A154" s="94" t="str">
        <x:f>IF(OR(B154="",G154=""),"",B154&amp;"|"&amp;G154)</x:f>
      </x:c>
      <x:c r="B154" s="92"/>
      <x:c r="C154" s="94" t="str">
        <x:f>IFERROR(VLOOKUP(B154,'01 Staff Master'!$A$6:$M$105,2,FALSE),"")</x:f>
      </x:c>
      <x:c r="D154" s="94" t="str">
        <x:f>IFERROR(VLOOKUP(B154,'01 Staff Master'!$A$6:$M$105,3,FALSE),"")</x:f>
      </x:c>
      <x:c r="E154" s="94" t="str">
        <x:f>IFERROR(VLOOKUP(B154,'01 Staff Master'!$A$6:$M$105,5,FALSE),"")</x:f>
      </x:c>
      <x:c r="F154" s="94" t="str">
        <x:f>IFERROR(VLOOKUP(B154,'01 Staff Master'!$A$6:$M$105,4,FALSE),"")</x:f>
      </x:c>
      <x:c r="G154" s="92"/>
      <x:c r="H154" s="94" t="str">
        <x:f>IFERROR(VLOOKUP(G154,'02 Skill Catalogue'!$A$6:$K$95,4,FALSE),"")</x:f>
      </x:c>
      <x:c r="I154" s="94" t="str">
        <x:f>IFERROR(VLOOKUP(D154&amp;"|"&amp;E154&amp;"|"&amp;G154,'03 Position Requirements'!$A$6:$R$285,8,FALSE),"")</x:f>
      </x:c>
      <x:c r="J154" s="94" t="str">
        <x:f>IFERROR(VLOOKUP(D154&amp;"|"&amp;E154&amp;"|"&amp;G154,'03 Position Requirements'!$A$6:$R$285,10,FALSE),"")</x:f>
      </x:c>
      <x:c r="K154" s="94" t="str">
        <x:f>IF(OR(B154="",G154=""),"",IF(COUNTIFS('04 Assessment Log'!$D$6:$D$155,B154,'04 Assessment Log'!$J$6:$J$155,G154,'04 Assessment Log'!$AA$6:$AA$155,"Yes")=0,"",SUMIFS('04 Assessment Log'!$O$6:$O$155,'04 Assessment Log'!$D$6:$D$155,B154,'04 Assessment Log'!$J$6:$J$155,G154,'04 Assessment Log'!$AA$6:$AA$155,"Yes")))</x:f>
      </x:c>
      <x:c r="L154" s="94" t="str">
        <x:f>IF(OR(J154="",K154=""),"",MAX(J154-K154,0))</x:f>
      </x:c>
      <x:c r="M154" s="102" t="str">
        <x:f>IF(COUNTIFS('04 Assessment Log'!$D$6:$D$155,B154,'04 Assessment Log'!$J$6:$J$155,G154,'04 Assessment Log'!$AA$6:$AA$155,"Yes")=0,"",SUMIFS('04 Assessment Log'!$B$6:$B$155,'04 Assessment Log'!$D$6:$D$155,B154,'04 Assessment Log'!$J$6:$J$155,G154,'04 Assessment Log'!$AA$6:$AA$155,"Yes"))</x:f>
      </x:c>
      <x:c r="N154" s="102" t="str">
        <x:f>IF(M154="","",SUMIFS('04 Assessment Log'!$Z$6:$Z$155,'04 Assessment Log'!$D$6:$D$155,B154,'04 Assessment Log'!$J$6:$J$155,G154,'04 Assessment Log'!$AA$6:$AA$155,"Yes"))</x:f>
      </x:c>
      <x:c r="O154" s="94" t="str">
        <x:f>IF(M154="","Not Assessed",IF(N154&lt;TODAY(),"Expired",IF(N154&lt;=TODAY()+30,"Due Soon","Current")))</x:f>
        <x:v>Not Assessed</x:v>
      </x:c>
      <x:c r="P154" s="94" t="str">
        <x:f>IF(OR(B154="",G154=""),"",COUNTIFS('05 Development Actions'!$C$6:$C$105,B154,'05 Development Actions'!$G$6:$G$105,G154,'05 Development Actions'!$A$6:$A$105,"&lt;&gt;",'05 Development Actions'!$AB$6:$AB$105,"&lt;&gt;Closed — Competent",'05 Development Actions'!$AB$6:$AB$105,"&lt;&gt;Cancelled"))</x:f>
      </x:c>
      <x:c r="Q154" s="94" t="str">
        <x:f>IF(OR(B154="",G154=""),"",COUNTIFS('11 Training Attendance'!$E$6:$E$155,B154,'11 Training Attendance'!$K$6:$K$155,"Attended",'11 Training Attendance'!$I$6:$I$155,G154))</x:f>
      </x:c>
      <x:c r="R154" s="102" t="str">
        <x:f>IF(Q154=0,"",MAXIFS('11 Training Attendance'!$D$6:$D$155,'11 Training Attendance'!$E$6:$E$155,B154,'11 Training Attendance'!$K$6:$K$155,"Attended",'11 Training Attendance'!$I$6:$I$155,G154))</x:f>
      </x:c>
      <x:c r="S154" s="94" t="str">
        <x:f>IF(OR(B154="",G154=""),"",COUNTIFS('13 Effectiveness Review'!$C$6:$C$155,B154,'13 Effectiveness Review'!$F$6:$F$155,G154,'13 Effectiveness Review'!$X$6:$X$155,"Closed — Effective"))</x:f>
      </x:c>
      <x:c r="T154" s="94" t="str">
        <x:f>IF(B154="","",IF(K154="","Not Assessed",IF(O154="Expired","Renewal Due",IF(L154=0,"Competent","Skill Gap"))))</x:f>
      </x:c>
      <x:c r="U154" s="94" t="str">
        <x:f>IFERROR(VLOOKUP(D154&amp;"|"&amp;E154&amp;"|"&amp;G154,'03 Position Requirements'!$A$6:$R$285,14,FALSE),"")</x:f>
      </x:c>
      <x:c r="V154" s="92"/>
      <x:c r="W154" s="85" t="str">
        <x:f>IF(B154="","",B154&amp;"|"&amp;COUNTIF($B$6:B154,B154))</x:f>
      </x:c>
      <x:c r="X154" s="85" t="str">
        <x:f>IF(B154="","",G154)</x:f>
      </x:c>
      <x:c r="Y154" s="85" t="str">
        <x:f>IF(B154="","",H154)</x:f>
      </x:c>
      <x:c r="Z154" s="85" t="str">
        <x:f>IF(B154="","",I154)</x:f>
      </x:c>
      <x:c r="AA154" s="85" t="str">
        <x:f>IF(B154="","",J154)</x:f>
      </x:c>
      <x:c r="AB154" s="85" t="str">
        <x:f>IF(B154="","",K154)</x:f>
      </x:c>
      <x:c r="AC154" s="85" t="str">
        <x:f>IF(B154="","",L154)</x:f>
      </x:c>
      <x:c r="AD154" s="85" t="str">
        <x:f>IF(B154="","",M154)</x:f>
      </x:c>
      <x:c r="AE154" s="85" t="str">
        <x:f>IF(B154="","",N154)</x:f>
      </x:c>
      <x:c r="AF154" s="85" t="str">
        <x:f>IF(B154="","",O154)</x:f>
      </x:c>
      <x:c r="AG154" s="85" t="str">
        <x:f>IF(B154="","",P154)</x:f>
      </x:c>
      <x:c r="AH154" s="85" t="str">
        <x:f>IF(B154="","",Q154)</x:f>
      </x:c>
      <x:c r="AI154" s="85" t="str">
        <x:f>IF(B154="","",R154)</x:f>
      </x:c>
      <x:c r="AJ154" s="85" t="str">
        <x:f>IF(B154="","",S154)</x:f>
      </x:c>
      <x:c r="AK154" s="85" t="str">
        <x:f>IF(B154="","",T154)</x:f>
      </x:c>
    </x:row>
    <x:row r="155">
      <x:c r="A155" s="94" t="str">
        <x:f>IF(OR(B155="",G155=""),"",B155&amp;"|"&amp;G155)</x:f>
      </x:c>
      <x:c r="B155" s="92"/>
      <x:c r="C155" s="94" t="str">
        <x:f>IFERROR(VLOOKUP(B155,'01 Staff Master'!$A$6:$M$105,2,FALSE),"")</x:f>
      </x:c>
      <x:c r="D155" s="94" t="str">
        <x:f>IFERROR(VLOOKUP(B155,'01 Staff Master'!$A$6:$M$105,3,FALSE),"")</x:f>
      </x:c>
      <x:c r="E155" s="94" t="str">
        <x:f>IFERROR(VLOOKUP(B155,'01 Staff Master'!$A$6:$M$105,5,FALSE),"")</x:f>
      </x:c>
      <x:c r="F155" s="94" t="str">
        <x:f>IFERROR(VLOOKUP(B155,'01 Staff Master'!$A$6:$M$105,4,FALSE),"")</x:f>
      </x:c>
      <x:c r="G155" s="92"/>
      <x:c r="H155" s="94" t="str">
        <x:f>IFERROR(VLOOKUP(G155,'02 Skill Catalogue'!$A$6:$K$95,4,FALSE),"")</x:f>
      </x:c>
      <x:c r="I155" s="94" t="str">
        <x:f>IFERROR(VLOOKUP(D155&amp;"|"&amp;E155&amp;"|"&amp;G155,'03 Position Requirements'!$A$6:$R$285,8,FALSE),"")</x:f>
      </x:c>
      <x:c r="J155" s="94" t="str">
        <x:f>IFERROR(VLOOKUP(D155&amp;"|"&amp;E155&amp;"|"&amp;G155,'03 Position Requirements'!$A$6:$R$285,10,FALSE),"")</x:f>
      </x:c>
      <x:c r="K155" s="94" t="str">
        <x:f>IF(OR(B155="",G155=""),"",IF(COUNTIFS('04 Assessment Log'!$D$6:$D$155,B155,'04 Assessment Log'!$J$6:$J$155,G155,'04 Assessment Log'!$AA$6:$AA$155,"Yes")=0,"",SUMIFS('04 Assessment Log'!$O$6:$O$155,'04 Assessment Log'!$D$6:$D$155,B155,'04 Assessment Log'!$J$6:$J$155,G155,'04 Assessment Log'!$AA$6:$AA$155,"Yes")))</x:f>
      </x:c>
      <x:c r="L155" s="94" t="str">
        <x:f>IF(OR(J155="",K155=""),"",MAX(J155-K155,0))</x:f>
      </x:c>
      <x:c r="M155" s="102" t="str">
        <x:f>IF(COUNTIFS('04 Assessment Log'!$D$6:$D$155,B155,'04 Assessment Log'!$J$6:$J$155,G155,'04 Assessment Log'!$AA$6:$AA$155,"Yes")=0,"",SUMIFS('04 Assessment Log'!$B$6:$B$155,'04 Assessment Log'!$D$6:$D$155,B155,'04 Assessment Log'!$J$6:$J$155,G155,'04 Assessment Log'!$AA$6:$AA$155,"Yes"))</x:f>
      </x:c>
      <x:c r="N155" s="102" t="str">
        <x:f>IF(M155="","",SUMIFS('04 Assessment Log'!$Z$6:$Z$155,'04 Assessment Log'!$D$6:$D$155,B155,'04 Assessment Log'!$J$6:$J$155,G155,'04 Assessment Log'!$AA$6:$AA$155,"Yes"))</x:f>
      </x:c>
      <x:c r="O155" s="94" t="str">
        <x:f>IF(M155="","Not Assessed",IF(N155&lt;TODAY(),"Expired",IF(N155&lt;=TODAY()+30,"Due Soon","Current")))</x:f>
        <x:v>Not Assessed</x:v>
      </x:c>
      <x:c r="P155" s="94" t="str">
        <x:f>IF(OR(B155="",G155=""),"",COUNTIFS('05 Development Actions'!$C$6:$C$105,B155,'05 Development Actions'!$G$6:$G$105,G155,'05 Development Actions'!$A$6:$A$105,"&lt;&gt;",'05 Development Actions'!$AB$6:$AB$105,"&lt;&gt;Closed — Competent",'05 Development Actions'!$AB$6:$AB$105,"&lt;&gt;Cancelled"))</x:f>
      </x:c>
      <x:c r="Q155" s="94" t="str">
        <x:f>IF(OR(B155="",G155=""),"",COUNTIFS('11 Training Attendance'!$E$6:$E$155,B155,'11 Training Attendance'!$K$6:$K$155,"Attended",'11 Training Attendance'!$I$6:$I$155,G155))</x:f>
      </x:c>
      <x:c r="R155" s="102" t="str">
        <x:f>IF(Q155=0,"",MAXIFS('11 Training Attendance'!$D$6:$D$155,'11 Training Attendance'!$E$6:$E$155,B155,'11 Training Attendance'!$K$6:$K$155,"Attended",'11 Training Attendance'!$I$6:$I$155,G155))</x:f>
      </x:c>
      <x:c r="S155" s="94" t="str">
        <x:f>IF(OR(B155="",G155=""),"",COUNTIFS('13 Effectiveness Review'!$C$6:$C$155,B155,'13 Effectiveness Review'!$F$6:$F$155,G155,'13 Effectiveness Review'!$X$6:$X$155,"Closed — Effective"))</x:f>
      </x:c>
      <x:c r="T155" s="94" t="str">
        <x:f>IF(B155="","",IF(K155="","Not Assessed",IF(O155="Expired","Renewal Due",IF(L155=0,"Competent","Skill Gap"))))</x:f>
      </x:c>
      <x:c r="U155" s="94" t="str">
        <x:f>IFERROR(VLOOKUP(D155&amp;"|"&amp;E155&amp;"|"&amp;G155,'03 Position Requirements'!$A$6:$R$285,14,FALSE),"")</x:f>
      </x:c>
      <x:c r="V155" s="92"/>
      <x:c r="W155" s="85" t="str">
        <x:f>IF(B155="","",B155&amp;"|"&amp;COUNTIF($B$6:B155,B155))</x:f>
      </x:c>
      <x:c r="X155" s="85" t="str">
        <x:f>IF(B155="","",G155)</x:f>
      </x:c>
      <x:c r="Y155" s="85" t="str">
        <x:f>IF(B155="","",H155)</x:f>
      </x:c>
      <x:c r="Z155" s="85" t="str">
        <x:f>IF(B155="","",I155)</x:f>
      </x:c>
      <x:c r="AA155" s="85" t="str">
        <x:f>IF(B155="","",J155)</x:f>
      </x:c>
      <x:c r="AB155" s="85" t="str">
        <x:f>IF(B155="","",K155)</x:f>
      </x:c>
      <x:c r="AC155" s="85" t="str">
        <x:f>IF(B155="","",L155)</x:f>
      </x:c>
      <x:c r="AD155" s="85" t="str">
        <x:f>IF(B155="","",M155)</x:f>
      </x:c>
      <x:c r="AE155" s="85" t="str">
        <x:f>IF(B155="","",N155)</x:f>
      </x:c>
      <x:c r="AF155" s="85" t="str">
        <x:f>IF(B155="","",O155)</x:f>
      </x:c>
      <x:c r="AG155" s="85" t="str">
        <x:f>IF(B155="","",P155)</x:f>
      </x:c>
      <x:c r="AH155" s="85" t="str">
        <x:f>IF(B155="","",Q155)</x:f>
      </x:c>
      <x:c r="AI155" s="85" t="str">
        <x:f>IF(B155="","",R155)</x:f>
      </x:c>
      <x:c r="AJ155" s="85" t="str">
        <x:f>IF(B155="","",S155)</x:f>
      </x:c>
      <x:c r="AK155" s="85" t="str">
        <x:f>IF(B155="","",T155)</x:f>
      </x:c>
    </x:row>
    <x:row r="156">
      <x:c r="A156" s="94" t="str">
        <x:f>IF(OR(B156="",G156=""),"",B156&amp;"|"&amp;G156)</x:f>
      </x:c>
      <x:c r="B156" s="92"/>
      <x:c r="C156" s="94" t="str">
        <x:f>IFERROR(VLOOKUP(B156,'01 Staff Master'!$A$6:$M$105,2,FALSE),"")</x:f>
      </x:c>
      <x:c r="D156" s="94" t="str">
        <x:f>IFERROR(VLOOKUP(B156,'01 Staff Master'!$A$6:$M$105,3,FALSE),"")</x:f>
      </x:c>
      <x:c r="E156" s="94" t="str">
        <x:f>IFERROR(VLOOKUP(B156,'01 Staff Master'!$A$6:$M$105,5,FALSE),"")</x:f>
      </x:c>
      <x:c r="F156" s="94" t="str">
        <x:f>IFERROR(VLOOKUP(B156,'01 Staff Master'!$A$6:$M$105,4,FALSE),"")</x:f>
      </x:c>
      <x:c r="G156" s="92"/>
      <x:c r="H156" s="94" t="str">
        <x:f>IFERROR(VLOOKUP(G156,'02 Skill Catalogue'!$A$6:$K$95,4,FALSE),"")</x:f>
      </x:c>
      <x:c r="I156" s="94" t="str">
        <x:f>IFERROR(VLOOKUP(D156&amp;"|"&amp;E156&amp;"|"&amp;G156,'03 Position Requirements'!$A$6:$R$285,8,FALSE),"")</x:f>
      </x:c>
      <x:c r="J156" s="94" t="str">
        <x:f>IFERROR(VLOOKUP(D156&amp;"|"&amp;E156&amp;"|"&amp;G156,'03 Position Requirements'!$A$6:$R$285,10,FALSE),"")</x:f>
      </x:c>
      <x:c r="K156" s="94" t="str">
        <x:f>IF(OR(B156="",G156=""),"",IF(COUNTIFS('04 Assessment Log'!$D$6:$D$155,B156,'04 Assessment Log'!$J$6:$J$155,G156,'04 Assessment Log'!$AA$6:$AA$155,"Yes")=0,"",SUMIFS('04 Assessment Log'!$O$6:$O$155,'04 Assessment Log'!$D$6:$D$155,B156,'04 Assessment Log'!$J$6:$J$155,G156,'04 Assessment Log'!$AA$6:$AA$155,"Yes")))</x:f>
      </x:c>
      <x:c r="L156" s="94" t="str">
        <x:f>IF(OR(J156="",K156=""),"",MAX(J156-K156,0))</x:f>
      </x:c>
      <x:c r="M156" s="102" t="str">
        <x:f>IF(COUNTIFS('04 Assessment Log'!$D$6:$D$155,B156,'04 Assessment Log'!$J$6:$J$155,G156,'04 Assessment Log'!$AA$6:$AA$155,"Yes")=0,"",SUMIFS('04 Assessment Log'!$B$6:$B$155,'04 Assessment Log'!$D$6:$D$155,B156,'04 Assessment Log'!$J$6:$J$155,G156,'04 Assessment Log'!$AA$6:$AA$155,"Yes"))</x:f>
      </x:c>
      <x:c r="N156" s="102" t="str">
        <x:f>IF(M156="","",SUMIFS('04 Assessment Log'!$Z$6:$Z$155,'04 Assessment Log'!$D$6:$D$155,B156,'04 Assessment Log'!$J$6:$J$155,G156,'04 Assessment Log'!$AA$6:$AA$155,"Yes"))</x:f>
      </x:c>
      <x:c r="O156" s="94" t="str">
        <x:f>IF(M156="","Not Assessed",IF(N156&lt;TODAY(),"Expired",IF(N156&lt;=TODAY()+30,"Due Soon","Current")))</x:f>
        <x:v>Not Assessed</x:v>
      </x:c>
      <x:c r="P156" s="94" t="str">
        <x:f>IF(OR(B156="",G156=""),"",COUNTIFS('05 Development Actions'!$C$6:$C$105,B156,'05 Development Actions'!$G$6:$G$105,G156,'05 Development Actions'!$A$6:$A$105,"&lt;&gt;",'05 Development Actions'!$AB$6:$AB$105,"&lt;&gt;Closed — Competent",'05 Development Actions'!$AB$6:$AB$105,"&lt;&gt;Cancelled"))</x:f>
      </x:c>
      <x:c r="Q156" s="94" t="str">
        <x:f>IF(OR(B156="",G156=""),"",COUNTIFS('11 Training Attendance'!$E$6:$E$155,B156,'11 Training Attendance'!$K$6:$K$155,"Attended",'11 Training Attendance'!$I$6:$I$155,G156))</x:f>
      </x:c>
      <x:c r="R156" s="102" t="str">
        <x:f>IF(Q156=0,"",MAXIFS('11 Training Attendance'!$D$6:$D$155,'11 Training Attendance'!$E$6:$E$155,B156,'11 Training Attendance'!$K$6:$K$155,"Attended",'11 Training Attendance'!$I$6:$I$155,G156))</x:f>
      </x:c>
      <x:c r="S156" s="94" t="str">
        <x:f>IF(OR(B156="",G156=""),"",COUNTIFS('13 Effectiveness Review'!$C$6:$C$155,B156,'13 Effectiveness Review'!$F$6:$F$155,G156,'13 Effectiveness Review'!$X$6:$X$155,"Closed — Effective"))</x:f>
      </x:c>
      <x:c r="T156" s="94" t="str">
        <x:f>IF(B156="","",IF(K156="","Not Assessed",IF(O156="Expired","Renewal Due",IF(L156=0,"Competent","Skill Gap"))))</x:f>
      </x:c>
      <x:c r="U156" s="94" t="str">
        <x:f>IFERROR(VLOOKUP(D156&amp;"|"&amp;E156&amp;"|"&amp;G156,'03 Position Requirements'!$A$6:$R$285,14,FALSE),"")</x:f>
      </x:c>
      <x:c r="V156" s="92"/>
      <x:c r="W156" s="85" t="str">
        <x:f>IF(B156="","",B156&amp;"|"&amp;COUNTIF($B$6:B156,B156))</x:f>
      </x:c>
      <x:c r="X156" s="85" t="str">
        <x:f>IF(B156="","",G156)</x:f>
      </x:c>
      <x:c r="Y156" s="85" t="str">
        <x:f>IF(B156="","",H156)</x:f>
      </x:c>
      <x:c r="Z156" s="85" t="str">
        <x:f>IF(B156="","",I156)</x:f>
      </x:c>
      <x:c r="AA156" s="85" t="str">
        <x:f>IF(B156="","",J156)</x:f>
      </x:c>
      <x:c r="AB156" s="85" t="str">
        <x:f>IF(B156="","",K156)</x:f>
      </x:c>
      <x:c r="AC156" s="85" t="str">
        <x:f>IF(B156="","",L156)</x:f>
      </x:c>
      <x:c r="AD156" s="85" t="str">
        <x:f>IF(B156="","",M156)</x:f>
      </x:c>
      <x:c r="AE156" s="85" t="str">
        <x:f>IF(B156="","",N156)</x:f>
      </x:c>
      <x:c r="AF156" s="85" t="str">
        <x:f>IF(B156="","",O156)</x:f>
      </x:c>
      <x:c r="AG156" s="85" t="str">
        <x:f>IF(B156="","",P156)</x:f>
      </x:c>
      <x:c r="AH156" s="85" t="str">
        <x:f>IF(B156="","",Q156)</x:f>
      </x:c>
      <x:c r="AI156" s="85" t="str">
        <x:f>IF(B156="","",R156)</x:f>
      </x:c>
      <x:c r="AJ156" s="85" t="str">
        <x:f>IF(B156="","",S156)</x:f>
      </x:c>
      <x:c r="AK156" s="85" t="str">
        <x:f>IF(B156="","",T156)</x:f>
      </x:c>
    </x:row>
    <x:row r="157">
      <x:c r="A157" s="94" t="str">
        <x:f>IF(OR(B157="",G157=""),"",B157&amp;"|"&amp;G157)</x:f>
      </x:c>
      <x:c r="B157" s="92"/>
      <x:c r="C157" s="94" t="str">
        <x:f>IFERROR(VLOOKUP(B157,'01 Staff Master'!$A$6:$M$105,2,FALSE),"")</x:f>
      </x:c>
      <x:c r="D157" s="94" t="str">
        <x:f>IFERROR(VLOOKUP(B157,'01 Staff Master'!$A$6:$M$105,3,FALSE),"")</x:f>
      </x:c>
      <x:c r="E157" s="94" t="str">
        <x:f>IFERROR(VLOOKUP(B157,'01 Staff Master'!$A$6:$M$105,5,FALSE),"")</x:f>
      </x:c>
      <x:c r="F157" s="94" t="str">
        <x:f>IFERROR(VLOOKUP(B157,'01 Staff Master'!$A$6:$M$105,4,FALSE),"")</x:f>
      </x:c>
      <x:c r="G157" s="92"/>
      <x:c r="H157" s="94" t="str">
        <x:f>IFERROR(VLOOKUP(G157,'02 Skill Catalogue'!$A$6:$K$95,4,FALSE),"")</x:f>
      </x:c>
      <x:c r="I157" s="94" t="str">
        <x:f>IFERROR(VLOOKUP(D157&amp;"|"&amp;E157&amp;"|"&amp;G157,'03 Position Requirements'!$A$6:$R$285,8,FALSE),"")</x:f>
      </x:c>
      <x:c r="J157" s="94" t="str">
        <x:f>IFERROR(VLOOKUP(D157&amp;"|"&amp;E157&amp;"|"&amp;G157,'03 Position Requirements'!$A$6:$R$285,10,FALSE),"")</x:f>
      </x:c>
      <x:c r="K157" s="94" t="str">
        <x:f>IF(OR(B157="",G157=""),"",IF(COUNTIFS('04 Assessment Log'!$D$6:$D$155,B157,'04 Assessment Log'!$J$6:$J$155,G157,'04 Assessment Log'!$AA$6:$AA$155,"Yes")=0,"",SUMIFS('04 Assessment Log'!$O$6:$O$155,'04 Assessment Log'!$D$6:$D$155,B157,'04 Assessment Log'!$J$6:$J$155,G157,'04 Assessment Log'!$AA$6:$AA$155,"Yes")))</x:f>
      </x:c>
      <x:c r="L157" s="94" t="str">
        <x:f>IF(OR(J157="",K157=""),"",MAX(J157-K157,0))</x:f>
      </x:c>
      <x:c r="M157" s="102" t="str">
        <x:f>IF(COUNTIFS('04 Assessment Log'!$D$6:$D$155,B157,'04 Assessment Log'!$J$6:$J$155,G157,'04 Assessment Log'!$AA$6:$AA$155,"Yes")=0,"",SUMIFS('04 Assessment Log'!$B$6:$B$155,'04 Assessment Log'!$D$6:$D$155,B157,'04 Assessment Log'!$J$6:$J$155,G157,'04 Assessment Log'!$AA$6:$AA$155,"Yes"))</x:f>
      </x:c>
      <x:c r="N157" s="102" t="str">
        <x:f>IF(M157="","",SUMIFS('04 Assessment Log'!$Z$6:$Z$155,'04 Assessment Log'!$D$6:$D$155,B157,'04 Assessment Log'!$J$6:$J$155,G157,'04 Assessment Log'!$AA$6:$AA$155,"Yes"))</x:f>
      </x:c>
      <x:c r="O157" s="94" t="str">
        <x:f>IF(M157="","Not Assessed",IF(N157&lt;TODAY(),"Expired",IF(N157&lt;=TODAY()+30,"Due Soon","Current")))</x:f>
        <x:v>Not Assessed</x:v>
      </x:c>
      <x:c r="P157" s="94" t="str">
        <x:f>IF(OR(B157="",G157=""),"",COUNTIFS('05 Development Actions'!$C$6:$C$105,B157,'05 Development Actions'!$G$6:$G$105,G157,'05 Development Actions'!$A$6:$A$105,"&lt;&gt;",'05 Development Actions'!$AB$6:$AB$105,"&lt;&gt;Closed — Competent",'05 Development Actions'!$AB$6:$AB$105,"&lt;&gt;Cancelled"))</x:f>
      </x:c>
      <x:c r="Q157" s="94" t="str">
        <x:f>IF(OR(B157="",G157=""),"",COUNTIFS('11 Training Attendance'!$E$6:$E$155,B157,'11 Training Attendance'!$K$6:$K$155,"Attended",'11 Training Attendance'!$I$6:$I$155,G157))</x:f>
      </x:c>
      <x:c r="R157" s="102" t="str">
        <x:f>IF(Q157=0,"",MAXIFS('11 Training Attendance'!$D$6:$D$155,'11 Training Attendance'!$E$6:$E$155,B157,'11 Training Attendance'!$K$6:$K$155,"Attended",'11 Training Attendance'!$I$6:$I$155,G157))</x:f>
      </x:c>
      <x:c r="S157" s="94" t="str">
        <x:f>IF(OR(B157="",G157=""),"",COUNTIFS('13 Effectiveness Review'!$C$6:$C$155,B157,'13 Effectiveness Review'!$F$6:$F$155,G157,'13 Effectiveness Review'!$X$6:$X$155,"Closed — Effective"))</x:f>
      </x:c>
      <x:c r="T157" s="94" t="str">
        <x:f>IF(B157="","",IF(K157="","Not Assessed",IF(O157="Expired","Renewal Due",IF(L157=0,"Competent","Skill Gap"))))</x:f>
      </x:c>
      <x:c r="U157" s="94" t="str">
        <x:f>IFERROR(VLOOKUP(D157&amp;"|"&amp;E157&amp;"|"&amp;G157,'03 Position Requirements'!$A$6:$R$285,14,FALSE),"")</x:f>
      </x:c>
      <x:c r="V157" s="92"/>
      <x:c r="W157" s="85" t="str">
        <x:f>IF(B157="","",B157&amp;"|"&amp;COUNTIF($B$6:B157,B157))</x:f>
      </x:c>
      <x:c r="X157" s="85" t="str">
        <x:f>IF(B157="","",G157)</x:f>
      </x:c>
      <x:c r="Y157" s="85" t="str">
        <x:f>IF(B157="","",H157)</x:f>
      </x:c>
      <x:c r="Z157" s="85" t="str">
        <x:f>IF(B157="","",I157)</x:f>
      </x:c>
      <x:c r="AA157" s="85" t="str">
        <x:f>IF(B157="","",J157)</x:f>
      </x:c>
      <x:c r="AB157" s="85" t="str">
        <x:f>IF(B157="","",K157)</x:f>
      </x:c>
      <x:c r="AC157" s="85" t="str">
        <x:f>IF(B157="","",L157)</x:f>
      </x:c>
      <x:c r="AD157" s="85" t="str">
        <x:f>IF(B157="","",M157)</x:f>
      </x:c>
      <x:c r="AE157" s="85" t="str">
        <x:f>IF(B157="","",N157)</x:f>
      </x:c>
      <x:c r="AF157" s="85" t="str">
        <x:f>IF(B157="","",O157)</x:f>
      </x:c>
      <x:c r="AG157" s="85" t="str">
        <x:f>IF(B157="","",P157)</x:f>
      </x:c>
      <x:c r="AH157" s="85" t="str">
        <x:f>IF(B157="","",Q157)</x:f>
      </x:c>
      <x:c r="AI157" s="85" t="str">
        <x:f>IF(B157="","",R157)</x:f>
      </x:c>
      <x:c r="AJ157" s="85" t="str">
        <x:f>IF(B157="","",S157)</x:f>
      </x:c>
      <x:c r="AK157" s="85" t="str">
        <x:f>IF(B157="","",T157)</x:f>
      </x:c>
    </x:row>
    <x:row r="158">
      <x:c r="A158" s="94" t="str">
        <x:f>IF(OR(B158="",G158=""),"",B158&amp;"|"&amp;G158)</x:f>
      </x:c>
      <x:c r="B158" s="92"/>
      <x:c r="C158" s="94" t="str">
        <x:f>IFERROR(VLOOKUP(B158,'01 Staff Master'!$A$6:$M$105,2,FALSE),"")</x:f>
      </x:c>
      <x:c r="D158" s="94" t="str">
        <x:f>IFERROR(VLOOKUP(B158,'01 Staff Master'!$A$6:$M$105,3,FALSE),"")</x:f>
      </x:c>
      <x:c r="E158" s="94" t="str">
        <x:f>IFERROR(VLOOKUP(B158,'01 Staff Master'!$A$6:$M$105,5,FALSE),"")</x:f>
      </x:c>
      <x:c r="F158" s="94" t="str">
        <x:f>IFERROR(VLOOKUP(B158,'01 Staff Master'!$A$6:$M$105,4,FALSE),"")</x:f>
      </x:c>
      <x:c r="G158" s="92"/>
      <x:c r="H158" s="94" t="str">
        <x:f>IFERROR(VLOOKUP(G158,'02 Skill Catalogue'!$A$6:$K$95,4,FALSE),"")</x:f>
      </x:c>
      <x:c r="I158" s="94" t="str">
        <x:f>IFERROR(VLOOKUP(D158&amp;"|"&amp;E158&amp;"|"&amp;G158,'03 Position Requirements'!$A$6:$R$285,8,FALSE),"")</x:f>
      </x:c>
      <x:c r="J158" s="94" t="str">
        <x:f>IFERROR(VLOOKUP(D158&amp;"|"&amp;E158&amp;"|"&amp;G158,'03 Position Requirements'!$A$6:$R$285,10,FALSE),"")</x:f>
      </x:c>
      <x:c r="K158" s="94" t="str">
        <x:f>IF(OR(B158="",G158=""),"",IF(COUNTIFS('04 Assessment Log'!$D$6:$D$155,B158,'04 Assessment Log'!$J$6:$J$155,G158,'04 Assessment Log'!$AA$6:$AA$155,"Yes")=0,"",SUMIFS('04 Assessment Log'!$O$6:$O$155,'04 Assessment Log'!$D$6:$D$155,B158,'04 Assessment Log'!$J$6:$J$155,G158,'04 Assessment Log'!$AA$6:$AA$155,"Yes")))</x:f>
      </x:c>
      <x:c r="L158" s="94" t="str">
        <x:f>IF(OR(J158="",K158=""),"",MAX(J158-K158,0))</x:f>
      </x:c>
      <x:c r="M158" s="102" t="str">
        <x:f>IF(COUNTIFS('04 Assessment Log'!$D$6:$D$155,B158,'04 Assessment Log'!$J$6:$J$155,G158,'04 Assessment Log'!$AA$6:$AA$155,"Yes")=0,"",SUMIFS('04 Assessment Log'!$B$6:$B$155,'04 Assessment Log'!$D$6:$D$155,B158,'04 Assessment Log'!$J$6:$J$155,G158,'04 Assessment Log'!$AA$6:$AA$155,"Yes"))</x:f>
      </x:c>
      <x:c r="N158" s="102" t="str">
        <x:f>IF(M158="","",SUMIFS('04 Assessment Log'!$Z$6:$Z$155,'04 Assessment Log'!$D$6:$D$155,B158,'04 Assessment Log'!$J$6:$J$155,G158,'04 Assessment Log'!$AA$6:$AA$155,"Yes"))</x:f>
      </x:c>
      <x:c r="O158" s="94" t="str">
        <x:f>IF(M158="","Not Assessed",IF(N158&lt;TODAY(),"Expired",IF(N158&lt;=TODAY()+30,"Due Soon","Current")))</x:f>
        <x:v>Not Assessed</x:v>
      </x:c>
      <x:c r="P158" s="94" t="str">
        <x:f>IF(OR(B158="",G158=""),"",COUNTIFS('05 Development Actions'!$C$6:$C$105,B158,'05 Development Actions'!$G$6:$G$105,G158,'05 Development Actions'!$A$6:$A$105,"&lt;&gt;",'05 Development Actions'!$AB$6:$AB$105,"&lt;&gt;Closed — Competent",'05 Development Actions'!$AB$6:$AB$105,"&lt;&gt;Cancelled"))</x:f>
      </x:c>
      <x:c r="Q158" s="94" t="str">
        <x:f>IF(OR(B158="",G158=""),"",COUNTIFS('11 Training Attendance'!$E$6:$E$155,B158,'11 Training Attendance'!$K$6:$K$155,"Attended",'11 Training Attendance'!$I$6:$I$155,G158))</x:f>
      </x:c>
      <x:c r="R158" s="102" t="str">
        <x:f>IF(Q158=0,"",MAXIFS('11 Training Attendance'!$D$6:$D$155,'11 Training Attendance'!$E$6:$E$155,B158,'11 Training Attendance'!$K$6:$K$155,"Attended",'11 Training Attendance'!$I$6:$I$155,G158))</x:f>
      </x:c>
      <x:c r="S158" s="94" t="str">
        <x:f>IF(OR(B158="",G158=""),"",COUNTIFS('13 Effectiveness Review'!$C$6:$C$155,B158,'13 Effectiveness Review'!$F$6:$F$155,G158,'13 Effectiveness Review'!$X$6:$X$155,"Closed — Effective"))</x:f>
      </x:c>
      <x:c r="T158" s="94" t="str">
        <x:f>IF(B158="","",IF(K158="","Not Assessed",IF(O158="Expired","Renewal Due",IF(L158=0,"Competent","Skill Gap"))))</x:f>
      </x:c>
      <x:c r="U158" s="94" t="str">
        <x:f>IFERROR(VLOOKUP(D158&amp;"|"&amp;E158&amp;"|"&amp;G158,'03 Position Requirements'!$A$6:$R$285,14,FALSE),"")</x:f>
      </x:c>
      <x:c r="V158" s="92"/>
      <x:c r="W158" s="85" t="str">
        <x:f>IF(B158="","",B158&amp;"|"&amp;COUNTIF($B$6:B158,B158))</x:f>
      </x:c>
      <x:c r="X158" s="85" t="str">
        <x:f>IF(B158="","",G158)</x:f>
      </x:c>
      <x:c r="Y158" s="85" t="str">
        <x:f>IF(B158="","",H158)</x:f>
      </x:c>
      <x:c r="Z158" s="85" t="str">
        <x:f>IF(B158="","",I158)</x:f>
      </x:c>
      <x:c r="AA158" s="85" t="str">
        <x:f>IF(B158="","",J158)</x:f>
      </x:c>
      <x:c r="AB158" s="85" t="str">
        <x:f>IF(B158="","",K158)</x:f>
      </x:c>
      <x:c r="AC158" s="85" t="str">
        <x:f>IF(B158="","",L158)</x:f>
      </x:c>
      <x:c r="AD158" s="85" t="str">
        <x:f>IF(B158="","",M158)</x:f>
      </x:c>
      <x:c r="AE158" s="85" t="str">
        <x:f>IF(B158="","",N158)</x:f>
      </x:c>
      <x:c r="AF158" s="85" t="str">
        <x:f>IF(B158="","",O158)</x:f>
      </x:c>
      <x:c r="AG158" s="85" t="str">
        <x:f>IF(B158="","",P158)</x:f>
      </x:c>
      <x:c r="AH158" s="85" t="str">
        <x:f>IF(B158="","",Q158)</x:f>
      </x:c>
      <x:c r="AI158" s="85" t="str">
        <x:f>IF(B158="","",R158)</x:f>
      </x:c>
      <x:c r="AJ158" s="85" t="str">
        <x:f>IF(B158="","",S158)</x:f>
      </x:c>
      <x:c r="AK158" s="85" t="str">
        <x:f>IF(B158="","",T158)</x:f>
      </x:c>
    </x:row>
    <x:row r="159">
      <x:c r="A159" s="94" t="str">
        <x:f>IF(OR(B159="",G159=""),"",B159&amp;"|"&amp;G159)</x:f>
      </x:c>
      <x:c r="B159" s="92"/>
      <x:c r="C159" s="94" t="str">
        <x:f>IFERROR(VLOOKUP(B159,'01 Staff Master'!$A$6:$M$105,2,FALSE),"")</x:f>
      </x:c>
      <x:c r="D159" s="94" t="str">
        <x:f>IFERROR(VLOOKUP(B159,'01 Staff Master'!$A$6:$M$105,3,FALSE),"")</x:f>
      </x:c>
      <x:c r="E159" s="94" t="str">
        <x:f>IFERROR(VLOOKUP(B159,'01 Staff Master'!$A$6:$M$105,5,FALSE),"")</x:f>
      </x:c>
      <x:c r="F159" s="94" t="str">
        <x:f>IFERROR(VLOOKUP(B159,'01 Staff Master'!$A$6:$M$105,4,FALSE),"")</x:f>
      </x:c>
      <x:c r="G159" s="92"/>
      <x:c r="H159" s="94" t="str">
        <x:f>IFERROR(VLOOKUP(G159,'02 Skill Catalogue'!$A$6:$K$95,4,FALSE),"")</x:f>
      </x:c>
      <x:c r="I159" s="94" t="str">
        <x:f>IFERROR(VLOOKUP(D159&amp;"|"&amp;E159&amp;"|"&amp;G159,'03 Position Requirements'!$A$6:$R$285,8,FALSE),"")</x:f>
      </x:c>
      <x:c r="J159" s="94" t="str">
        <x:f>IFERROR(VLOOKUP(D159&amp;"|"&amp;E159&amp;"|"&amp;G159,'03 Position Requirements'!$A$6:$R$285,10,FALSE),"")</x:f>
      </x:c>
      <x:c r="K159" s="94" t="str">
        <x:f>IF(OR(B159="",G159=""),"",IF(COUNTIFS('04 Assessment Log'!$D$6:$D$155,B159,'04 Assessment Log'!$J$6:$J$155,G159,'04 Assessment Log'!$AA$6:$AA$155,"Yes")=0,"",SUMIFS('04 Assessment Log'!$O$6:$O$155,'04 Assessment Log'!$D$6:$D$155,B159,'04 Assessment Log'!$J$6:$J$155,G159,'04 Assessment Log'!$AA$6:$AA$155,"Yes")))</x:f>
      </x:c>
      <x:c r="L159" s="94" t="str">
        <x:f>IF(OR(J159="",K159=""),"",MAX(J159-K159,0))</x:f>
      </x:c>
      <x:c r="M159" s="102" t="str">
        <x:f>IF(COUNTIFS('04 Assessment Log'!$D$6:$D$155,B159,'04 Assessment Log'!$J$6:$J$155,G159,'04 Assessment Log'!$AA$6:$AA$155,"Yes")=0,"",SUMIFS('04 Assessment Log'!$B$6:$B$155,'04 Assessment Log'!$D$6:$D$155,B159,'04 Assessment Log'!$J$6:$J$155,G159,'04 Assessment Log'!$AA$6:$AA$155,"Yes"))</x:f>
      </x:c>
      <x:c r="N159" s="102" t="str">
        <x:f>IF(M159="","",SUMIFS('04 Assessment Log'!$Z$6:$Z$155,'04 Assessment Log'!$D$6:$D$155,B159,'04 Assessment Log'!$J$6:$J$155,G159,'04 Assessment Log'!$AA$6:$AA$155,"Yes"))</x:f>
      </x:c>
      <x:c r="O159" s="94" t="str">
        <x:f>IF(M159="","Not Assessed",IF(N159&lt;TODAY(),"Expired",IF(N159&lt;=TODAY()+30,"Due Soon","Current")))</x:f>
        <x:v>Not Assessed</x:v>
      </x:c>
      <x:c r="P159" s="94" t="str">
        <x:f>IF(OR(B159="",G159=""),"",COUNTIFS('05 Development Actions'!$C$6:$C$105,B159,'05 Development Actions'!$G$6:$G$105,G159,'05 Development Actions'!$A$6:$A$105,"&lt;&gt;",'05 Development Actions'!$AB$6:$AB$105,"&lt;&gt;Closed — Competent",'05 Development Actions'!$AB$6:$AB$105,"&lt;&gt;Cancelled"))</x:f>
      </x:c>
      <x:c r="Q159" s="94" t="str">
        <x:f>IF(OR(B159="",G159=""),"",COUNTIFS('11 Training Attendance'!$E$6:$E$155,B159,'11 Training Attendance'!$K$6:$K$155,"Attended",'11 Training Attendance'!$I$6:$I$155,G159))</x:f>
      </x:c>
      <x:c r="R159" s="102" t="str">
        <x:f>IF(Q159=0,"",MAXIFS('11 Training Attendance'!$D$6:$D$155,'11 Training Attendance'!$E$6:$E$155,B159,'11 Training Attendance'!$K$6:$K$155,"Attended",'11 Training Attendance'!$I$6:$I$155,G159))</x:f>
      </x:c>
      <x:c r="S159" s="94" t="str">
        <x:f>IF(OR(B159="",G159=""),"",COUNTIFS('13 Effectiveness Review'!$C$6:$C$155,B159,'13 Effectiveness Review'!$F$6:$F$155,G159,'13 Effectiveness Review'!$X$6:$X$155,"Closed — Effective"))</x:f>
      </x:c>
      <x:c r="T159" s="94" t="str">
        <x:f>IF(B159="","",IF(K159="","Not Assessed",IF(O159="Expired","Renewal Due",IF(L159=0,"Competent","Skill Gap"))))</x:f>
      </x:c>
      <x:c r="U159" s="94" t="str">
        <x:f>IFERROR(VLOOKUP(D159&amp;"|"&amp;E159&amp;"|"&amp;G159,'03 Position Requirements'!$A$6:$R$285,14,FALSE),"")</x:f>
      </x:c>
      <x:c r="V159" s="92"/>
      <x:c r="W159" s="85" t="str">
        <x:f>IF(B159="","",B159&amp;"|"&amp;COUNTIF($B$6:B159,B159))</x:f>
      </x:c>
      <x:c r="X159" s="85" t="str">
        <x:f>IF(B159="","",G159)</x:f>
      </x:c>
      <x:c r="Y159" s="85" t="str">
        <x:f>IF(B159="","",H159)</x:f>
      </x:c>
      <x:c r="Z159" s="85" t="str">
        <x:f>IF(B159="","",I159)</x:f>
      </x:c>
      <x:c r="AA159" s="85" t="str">
        <x:f>IF(B159="","",J159)</x:f>
      </x:c>
      <x:c r="AB159" s="85" t="str">
        <x:f>IF(B159="","",K159)</x:f>
      </x:c>
      <x:c r="AC159" s="85" t="str">
        <x:f>IF(B159="","",L159)</x:f>
      </x:c>
      <x:c r="AD159" s="85" t="str">
        <x:f>IF(B159="","",M159)</x:f>
      </x:c>
      <x:c r="AE159" s="85" t="str">
        <x:f>IF(B159="","",N159)</x:f>
      </x:c>
      <x:c r="AF159" s="85" t="str">
        <x:f>IF(B159="","",O159)</x:f>
      </x:c>
      <x:c r="AG159" s="85" t="str">
        <x:f>IF(B159="","",P159)</x:f>
      </x:c>
      <x:c r="AH159" s="85" t="str">
        <x:f>IF(B159="","",Q159)</x:f>
      </x:c>
      <x:c r="AI159" s="85" t="str">
        <x:f>IF(B159="","",R159)</x:f>
      </x:c>
      <x:c r="AJ159" s="85" t="str">
        <x:f>IF(B159="","",S159)</x:f>
      </x:c>
      <x:c r="AK159" s="85" t="str">
        <x:f>IF(B159="","",T159)</x:f>
      </x:c>
    </x:row>
    <x:row r="160">
      <x:c r="A160" s="94" t="str">
        <x:f>IF(OR(B160="",G160=""),"",B160&amp;"|"&amp;G160)</x:f>
      </x:c>
      <x:c r="B160" s="92"/>
      <x:c r="C160" s="94" t="str">
        <x:f>IFERROR(VLOOKUP(B160,'01 Staff Master'!$A$6:$M$105,2,FALSE),"")</x:f>
      </x:c>
      <x:c r="D160" s="94" t="str">
        <x:f>IFERROR(VLOOKUP(B160,'01 Staff Master'!$A$6:$M$105,3,FALSE),"")</x:f>
      </x:c>
      <x:c r="E160" s="94" t="str">
        <x:f>IFERROR(VLOOKUP(B160,'01 Staff Master'!$A$6:$M$105,5,FALSE),"")</x:f>
      </x:c>
      <x:c r="F160" s="94" t="str">
        <x:f>IFERROR(VLOOKUP(B160,'01 Staff Master'!$A$6:$M$105,4,FALSE),"")</x:f>
      </x:c>
      <x:c r="G160" s="92"/>
      <x:c r="H160" s="94" t="str">
        <x:f>IFERROR(VLOOKUP(G160,'02 Skill Catalogue'!$A$6:$K$95,4,FALSE),"")</x:f>
      </x:c>
      <x:c r="I160" s="94" t="str">
        <x:f>IFERROR(VLOOKUP(D160&amp;"|"&amp;E160&amp;"|"&amp;G160,'03 Position Requirements'!$A$6:$R$285,8,FALSE),"")</x:f>
      </x:c>
      <x:c r="J160" s="94" t="str">
        <x:f>IFERROR(VLOOKUP(D160&amp;"|"&amp;E160&amp;"|"&amp;G160,'03 Position Requirements'!$A$6:$R$285,10,FALSE),"")</x:f>
      </x:c>
      <x:c r="K160" s="94" t="str">
        <x:f>IF(OR(B160="",G160=""),"",IF(COUNTIFS('04 Assessment Log'!$D$6:$D$155,B160,'04 Assessment Log'!$J$6:$J$155,G160,'04 Assessment Log'!$AA$6:$AA$155,"Yes")=0,"",SUMIFS('04 Assessment Log'!$O$6:$O$155,'04 Assessment Log'!$D$6:$D$155,B160,'04 Assessment Log'!$J$6:$J$155,G160,'04 Assessment Log'!$AA$6:$AA$155,"Yes")))</x:f>
      </x:c>
      <x:c r="L160" s="94" t="str">
        <x:f>IF(OR(J160="",K160=""),"",MAX(J160-K160,0))</x:f>
      </x:c>
      <x:c r="M160" s="102" t="str">
        <x:f>IF(COUNTIFS('04 Assessment Log'!$D$6:$D$155,B160,'04 Assessment Log'!$J$6:$J$155,G160,'04 Assessment Log'!$AA$6:$AA$155,"Yes")=0,"",SUMIFS('04 Assessment Log'!$B$6:$B$155,'04 Assessment Log'!$D$6:$D$155,B160,'04 Assessment Log'!$J$6:$J$155,G160,'04 Assessment Log'!$AA$6:$AA$155,"Yes"))</x:f>
      </x:c>
      <x:c r="N160" s="102" t="str">
        <x:f>IF(M160="","",SUMIFS('04 Assessment Log'!$Z$6:$Z$155,'04 Assessment Log'!$D$6:$D$155,B160,'04 Assessment Log'!$J$6:$J$155,G160,'04 Assessment Log'!$AA$6:$AA$155,"Yes"))</x:f>
      </x:c>
      <x:c r="O160" s="94" t="str">
        <x:f>IF(M160="","Not Assessed",IF(N160&lt;TODAY(),"Expired",IF(N160&lt;=TODAY()+30,"Due Soon","Current")))</x:f>
        <x:v>Not Assessed</x:v>
      </x:c>
      <x:c r="P160" s="94" t="str">
        <x:f>IF(OR(B160="",G160=""),"",COUNTIFS('05 Development Actions'!$C$6:$C$105,B160,'05 Development Actions'!$G$6:$G$105,G160,'05 Development Actions'!$A$6:$A$105,"&lt;&gt;",'05 Development Actions'!$AB$6:$AB$105,"&lt;&gt;Closed — Competent",'05 Development Actions'!$AB$6:$AB$105,"&lt;&gt;Cancelled"))</x:f>
      </x:c>
      <x:c r="Q160" s="94" t="str">
        <x:f>IF(OR(B160="",G160=""),"",COUNTIFS('11 Training Attendance'!$E$6:$E$155,B160,'11 Training Attendance'!$K$6:$K$155,"Attended",'11 Training Attendance'!$I$6:$I$155,G160))</x:f>
      </x:c>
      <x:c r="R160" s="102" t="str">
        <x:f>IF(Q160=0,"",MAXIFS('11 Training Attendance'!$D$6:$D$155,'11 Training Attendance'!$E$6:$E$155,B160,'11 Training Attendance'!$K$6:$K$155,"Attended",'11 Training Attendance'!$I$6:$I$155,G160))</x:f>
      </x:c>
      <x:c r="S160" s="94" t="str">
        <x:f>IF(OR(B160="",G160=""),"",COUNTIFS('13 Effectiveness Review'!$C$6:$C$155,B160,'13 Effectiveness Review'!$F$6:$F$155,G160,'13 Effectiveness Review'!$X$6:$X$155,"Closed — Effective"))</x:f>
      </x:c>
      <x:c r="T160" s="94" t="str">
        <x:f>IF(B160="","",IF(K160="","Not Assessed",IF(O160="Expired","Renewal Due",IF(L160=0,"Competent","Skill Gap"))))</x:f>
      </x:c>
      <x:c r="U160" s="94" t="str">
        <x:f>IFERROR(VLOOKUP(D160&amp;"|"&amp;E160&amp;"|"&amp;G160,'03 Position Requirements'!$A$6:$R$285,14,FALSE),"")</x:f>
      </x:c>
      <x:c r="V160" s="92"/>
      <x:c r="W160" s="85" t="str">
        <x:f>IF(B160="","",B160&amp;"|"&amp;COUNTIF($B$6:B160,B160))</x:f>
      </x:c>
      <x:c r="X160" s="85" t="str">
        <x:f>IF(B160="","",G160)</x:f>
      </x:c>
      <x:c r="Y160" s="85" t="str">
        <x:f>IF(B160="","",H160)</x:f>
      </x:c>
      <x:c r="Z160" s="85" t="str">
        <x:f>IF(B160="","",I160)</x:f>
      </x:c>
      <x:c r="AA160" s="85" t="str">
        <x:f>IF(B160="","",J160)</x:f>
      </x:c>
      <x:c r="AB160" s="85" t="str">
        <x:f>IF(B160="","",K160)</x:f>
      </x:c>
      <x:c r="AC160" s="85" t="str">
        <x:f>IF(B160="","",L160)</x:f>
      </x:c>
      <x:c r="AD160" s="85" t="str">
        <x:f>IF(B160="","",M160)</x:f>
      </x:c>
      <x:c r="AE160" s="85" t="str">
        <x:f>IF(B160="","",N160)</x:f>
      </x:c>
      <x:c r="AF160" s="85" t="str">
        <x:f>IF(B160="","",O160)</x:f>
      </x:c>
      <x:c r="AG160" s="85" t="str">
        <x:f>IF(B160="","",P160)</x:f>
      </x:c>
      <x:c r="AH160" s="85" t="str">
        <x:f>IF(B160="","",Q160)</x:f>
      </x:c>
      <x:c r="AI160" s="85" t="str">
        <x:f>IF(B160="","",R160)</x:f>
      </x:c>
      <x:c r="AJ160" s="85" t="str">
        <x:f>IF(B160="","",S160)</x:f>
      </x:c>
      <x:c r="AK160" s="85" t="str">
        <x:f>IF(B160="","",T160)</x:f>
      </x:c>
    </x:row>
    <x:row r="161">
      <x:c r="A161" s="94" t="str">
        <x:f>IF(OR(B161="",G161=""),"",B161&amp;"|"&amp;G161)</x:f>
      </x:c>
      <x:c r="B161" s="92"/>
      <x:c r="C161" s="94" t="str">
        <x:f>IFERROR(VLOOKUP(B161,'01 Staff Master'!$A$6:$M$105,2,FALSE),"")</x:f>
      </x:c>
      <x:c r="D161" s="94" t="str">
        <x:f>IFERROR(VLOOKUP(B161,'01 Staff Master'!$A$6:$M$105,3,FALSE),"")</x:f>
      </x:c>
      <x:c r="E161" s="94" t="str">
        <x:f>IFERROR(VLOOKUP(B161,'01 Staff Master'!$A$6:$M$105,5,FALSE),"")</x:f>
      </x:c>
      <x:c r="F161" s="94" t="str">
        <x:f>IFERROR(VLOOKUP(B161,'01 Staff Master'!$A$6:$M$105,4,FALSE),"")</x:f>
      </x:c>
      <x:c r="G161" s="92"/>
      <x:c r="H161" s="94" t="str">
        <x:f>IFERROR(VLOOKUP(G161,'02 Skill Catalogue'!$A$6:$K$95,4,FALSE),"")</x:f>
      </x:c>
      <x:c r="I161" s="94" t="str">
        <x:f>IFERROR(VLOOKUP(D161&amp;"|"&amp;E161&amp;"|"&amp;G161,'03 Position Requirements'!$A$6:$R$285,8,FALSE),"")</x:f>
      </x:c>
      <x:c r="J161" s="94" t="str">
        <x:f>IFERROR(VLOOKUP(D161&amp;"|"&amp;E161&amp;"|"&amp;G161,'03 Position Requirements'!$A$6:$R$285,10,FALSE),"")</x:f>
      </x:c>
      <x:c r="K161" s="94" t="str">
        <x:f>IF(OR(B161="",G161=""),"",IF(COUNTIFS('04 Assessment Log'!$D$6:$D$155,B161,'04 Assessment Log'!$J$6:$J$155,G161,'04 Assessment Log'!$AA$6:$AA$155,"Yes")=0,"",SUMIFS('04 Assessment Log'!$O$6:$O$155,'04 Assessment Log'!$D$6:$D$155,B161,'04 Assessment Log'!$J$6:$J$155,G161,'04 Assessment Log'!$AA$6:$AA$155,"Yes")))</x:f>
      </x:c>
      <x:c r="L161" s="94" t="str">
        <x:f>IF(OR(J161="",K161=""),"",MAX(J161-K161,0))</x:f>
      </x:c>
      <x:c r="M161" s="102" t="str">
        <x:f>IF(COUNTIFS('04 Assessment Log'!$D$6:$D$155,B161,'04 Assessment Log'!$J$6:$J$155,G161,'04 Assessment Log'!$AA$6:$AA$155,"Yes")=0,"",SUMIFS('04 Assessment Log'!$B$6:$B$155,'04 Assessment Log'!$D$6:$D$155,B161,'04 Assessment Log'!$J$6:$J$155,G161,'04 Assessment Log'!$AA$6:$AA$155,"Yes"))</x:f>
      </x:c>
      <x:c r="N161" s="102" t="str">
        <x:f>IF(M161="","",SUMIFS('04 Assessment Log'!$Z$6:$Z$155,'04 Assessment Log'!$D$6:$D$155,B161,'04 Assessment Log'!$J$6:$J$155,G161,'04 Assessment Log'!$AA$6:$AA$155,"Yes"))</x:f>
      </x:c>
      <x:c r="O161" s="94" t="str">
        <x:f>IF(M161="","Not Assessed",IF(N161&lt;TODAY(),"Expired",IF(N161&lt;=TODAY()+30,"Due Soon","Current")))</x:f>
        <x:v>Not Assessed</x:v>
      </x:c>
      <x:c r="P161" s="94" t="str">
        <x:f>IF(OR(B161="",G161=""),"",COUNTIFS('05 Development Actions'!$C$6:$C$105,B161,'05 Development Actions'!$G$6:$G$105,G161,'05 Development Actions'!$A$6:$A$105,"&lt;&gt;",'05 Development Actions'!$AB$6:$AB$105,"&lt;&gt;Closed — Competent",'05 Development Actions'!$AB$6:$AB$105,"&lt;&gt;Cancelled"))</x:f>
      </x:c>
      <x:c r="Q161" s="94" t="str">
        <x:f>IF(OR(B161="",G161=""),"",COUNTIFS('11 Training Attendance'!$E$6:$E$155,B161,'11 Training Attendance'!$K$6:$K$155,"Attended",'11 Training Attendance'!$I$6:$I$155,G161))</x:f>
      </x:c>
      <x:c r="R161" s="102" t="str">
        <x:f>IF(Q161=0,"",MAXIFS('11 Training Attendance'!$D$6:$D$155,'11 Training Attendance'!$E$6:$E$155,B161,'11 Training Attendance'!$K$6:$K$155,"Attended",'11 Training Attendance'!$I$6:$I$155,G161))</x:f>
      </x:c>
      <x:c r="S161" s="94" t="str">
        <x:f>IF(OR(B161="",G161=""),"",COUNTIFS('13 Effectiveness Review'!$C$6:$C$155,B161,'13 Effectiveness Review'!$F$6:$F$155,G161,'13 Effectiveness Review'!$X$6:$X$155,"Closed — Effective"))</x:f>
      </x:c>
      <x:c r="T161" s="94" t="str">
        <x:f>IF(B161="","",IF(K161="","Not Assessed",IF(O161="Expired","Renewal Due",IF(L161=0,"Competent","Skill Gap"))))</x:f>
      </x:c>
      <x:c r="U161" s="94" t="str">
        <x:f>IFERROR(VLOOKUP(D161&amp;"|"&amp;E161&amp;"|"&amp;G161,'03 Position Requirements'!$A$6:$R$285,14,FALSE),"")</x:f>
      </x:c>
      <x:c r="V161" s="92"/>
      <x:c r="W161" s="85" t="str">
        <x:f>IF(B161="","",B161&amp;"|"&amp;COUNTIF($B$6:B161,B161))</x:f>
      </x:c>
      <x:c r="X161" s="85" t="str">
        <x:f>IF(B161="","",G161)</x:f>
      </x:c>
      <x:c r="Y161" s="85" t="str">
        <x:f>IF(B161="","",H161)</x:f>
      </x:c>
      <x:c r="Z161" s="85" t="str">
        <x:f>IF(B161="","",I161)</x:f>
      </x:c>
      <x:c r="AA161" s="85" t="str">
        <x:f>IF(B161="","",J161)</x:f>
      </x:c>
      <x:c r="AB161" s="85" t="str">
        <x:f>IF(B161="","",K161)</x:f>
      </x:c>
      <x:c r="AC161" s="85" t="str">
        <x:f>IF(B161="","",L161)</x:f>
      </x:c>
      <x:c r="AD161" s="85" t="str">
        <x:f>IF(B161="","",M161)</x:f>
      </x:c>
      <x:c r="AE161" s="85" t="str">
        <x:f>IF(B161="","",N161)</x:f>
      </x:c>
      <x:c r="AF161" s="85" t="str">
        <x:f>IF(B161="","",O161)</x:f>
      </x:c>
      <x:c r="AG161" s="85" t="str">
        <x:f>IF(B161="","",P161)</x:f>
      </x:c>
      <x:c r="AH161" s="85" t="str">
        <x:f>IF(B161="","",Q161)</x:f>
      </x:c>
      <x:c r="AI161" s="85" t="str">
        <x:f>IF(B161="","",R161)</x:f>
      </x:c>
      <x:c r="AJ161" s="85" t="str">
        <x:f>IF(B161="","",S161)</x:f>
      </x:c>
      <x:c r="AK161" s="85" t="str">
        <x:f>IF(B161="","",T161)</x:f>
      </x:c>
    </x:row>
    <x:row r="162">
      <x:c r="A162" s="94" t="str">
        <x:f>IF(OR(B162="",G162=""),"",B162&amp;"|"&amp;G162)</x:f>
      </x:c>
      <x:c r="B162" s="92"/>
      <x:c r="C162" s="94" t="str">
        <x:f>IFERROR(VLOOKUP(B162,'01 Staff Master'!$A$6:$M$105,2,FALSE),"")</x:f>
      </x:c>
      <x:c r="D162" s="94" t="str">
        <x:f>IFERROR(VLOOKUP(B162,'01 Staff Master'!$A$6:$M$105,3,FALSE),"")</x:f>
      </x:c>
      <x:c r="E162" s="94" t="str">
        <x:f>IFERROR(VLOOKUP(B162,'01 Staff Master'!$A$6:$M$105,5,FALSE),"")</x:f>
      </x:c>
      <x:c r="F162" s="94" t="str">
        <x:f>IFERROR(VLOOKUP(B162,'01 Staff Master'!$A$6:$M$105,4,FALSE),"")</x:f>
      </x:c>
      <x:c r="G162" s="92"/>
      <x:c r="H162" s="94" t="str">
        <x:f>IFERROR(VLOOKUP(G162,'02 Skill Catalogue'!$A$6:$K$95,4,FALSE),"")</x:f>
      </x:c>
      <x:c r="I162" s="94" t="str">
        <x:f>IFERROR(VLOOKUP(D162&amp;"|"&amp;E162&amp;"|"&amp;G162,'03 Position Requirements'!$A$6:$R$285,8,FALSE),"")</x:f>
      </x:c>
      <x:c r="J162" s="94" t="str">
        <x:f>IFERROR(VLOOKUP(D162&amp;"|"&amp;E162&amp;"|"&amp;G162,'03 Position Requirements'!$A$6:$R$285,10,FALSE),"")</x:f>
      </x:c>
      <x:c r="K162" s="94" t="str">
        <x:f>IF(OR(B162="",G162=""),"",IF(COUNTIFS('04 Assessment Log'!$D$6:$D$155,B162,'04 Assessment Log'!$J$6:$J$155,G162,'04 Assessment Log'!$AA$6:$AA$155,"Yes")=0,"",SUMIFS('04 Assessment Log'!$O$6:$O$155,'04 Assessment Log'!$D$6:$D$155,B162,'04 Assessment Log'!$J$6:$J$155,G162,'04 Assessment Log'!$AA$6:$AA$155,"Yes")))</x:f>
      </x:c>
      <x:c r="L162" s="94" t="str">
        <x:f>IF(OR(J162="",K162=""),"",MAX(J162-K162,0))</x:f>
      </x:c>
      <x:c r="M162" s="102" t="str">
        <x:f>IF(COUNTIFS('04 Assessment Log'!$D$6:$D$155,B162,'04 Assessment Log'!$J$6:$J$155,G162,'04 Assessment Log'!$AA$6:$AA$155,"Yes")=0,"",SUMIFS('04 Assessment Log'!$B$6:$B$155,'04 Assessment Log'!$D$6:$D$155,B162,'04 Assessment Log'!$J$6:$J$155,G162,'04 Assessment Log'!$AA$6:$AA$155,"Yes"))</x:f>
      </x:c>
      <x:c r="N162" s="102" t="str">
        <x:f>IF(M162="","",SUMIFS('04 Assessment Log'!$Z$6:$Z$155,'04 Assessment Log'!$D$6:$D$155,B162,'04 Assessment Log'!$J$6:$J$155,G162,'04 Assessment Log'!$AA$6:$AA$155,"Yes"))</x:f>
      </x:c>
      <x:c r="O162" s="94" t="str">
        <x:f>IF(M162="","Not Assessed",IF(N162&lt;TODAY(),"Expired",IF(N162&lt;=TODAY()+30,"Due Soon","Current")))</x:f>
        <x:v>Not Assessed</x:v>
      </x:c>
      <x:c r="P162" s="94" t="str">
        <x:f>IF(OR(B162="",G162=""),"",COUNTIFS('05 Development Actions'!$C$6:$C$105,B162,'05 Development Actions'!$G$6:$G$105,G162,'05 Development Actions'!$A$6:$A$105,"&lt;&gt;",'05 Development Actions'!$AB$6:$AB$105,"&lt;&gt;Closed — Competent",'05 Development Actions'!$AB$6:$AB$105,"&lt;&gt;Cancelled"))</x:f>
      </x:c>
      <x:c r="Q162" s="94" t="str">
        <x:f>IF(OR(B162="",G162=""),"",COUNTIFS('11 Training Attendance'!$E$6:$E$155,B162,'11 Training Attendance'!$K$6:$K$155,"Attended",'11 Training Attendance'!$I$6:$I$155,G162))</x:f>
      </x:c>
      <x:c r="R162" s="102" t="str">
        <x:f>IF(Q162=0,"",MAXIFS('11 Training Attendance'!$D$6:$D$155,'11 Training Attendance'!$E$6:$E$155,B162,'11 Training Attendance'!$K$6:$K$155,"Attended",'11 Training Attendance'!$I$6:$I$155,G162))</x:f>
      </x:c>
      <x:c r="S162" s="94" t="str">
        <x:f>IF(OR(B162="",G162=""),"",COUNTIFS('13 Effectiveness Review'!$C$6:$C$155,B162,'13 Effectiveness Review'!$F$6:$F$155,G162,'13 Effectiveness Review'!$X$6:$X$155,"Closed — Effective"))</x:f>
      </x:c>
      <x:c r="T162" s="94" t="str">
        <x:f>IF(B162="","",IF(K162="","Not Assessed",IF(O162="Expired","Renewal Due",IF(L162=0,"Competent","Skill Gap"))))</x:f>
      </x:c>
      <x:c r="U162" s="94" t="str">
        <x:f>IFERROR(VLOOKUP(D162&amp;"|"&amp;E162&amp;"|"&amp;G162,'03 Position Requirements'!$A$6:$R$285,14,FALSE),"")</x:f>
      </x:c>
      <x:c r="V162" s="92"/>
      <x:c r="W162" s="85" t="str">
        <x:f>IF(B162="","",B162&amp;"|"&amp;COUNTIF($B$6:B162,B162))</x:f>
      </x:c>
      <x:c r="X162" s="85" t="str">
        <x:f>IF(B162="","",G162)</x:f>
      </x:c>
      <x:c r="Y162" s="85" t="str">
        <x:f>IF(B162="","",H162)</x:f>
      </x:c>
      <x:c r="Z162" s="85" t="str">
        <x:f>IF(B162="","",I162)</x:f>
      </x:c>
      <x:c r="AA162" s="85" t="str">
        <x:f>IF(B162="","",J162)</x:f>
      </x:c>
      <x:c r="AB162" s="85" t="str">
        <x:f>IF(B162="","",K162)</x:f>
      </x:c>
      <x:c r="AC162" s="85" t="str">
        <x:f>IF(B162="","",L162)</x:f>
      </x:c>
      <x:c r="AD162" s="85" t="str">
        <x:f>IF(B162="","",M162)</x:f>
      </x:c>
      <x:c r="AE162" s="85" t="str">
        <x:f>IF(B162="","",N162)</x:f>
      </x:c>
      <x:c r="AF162" s="85" t="str">
        <x:f>IF(B162="","",O162)</x:f>
      </x:c>
      <x:c r="AG162" s="85" t="str">
        <x:f>IF(B162="","",P162)</x:f>
      </x:c>
      <x:c r="AH162" s="85" t="str">
        <x:f>IF(B162="","",Q162)</x:f>
      </x:c>
      <x:c r="AI162" s="85" t="str">
        <x:f>IF(B162="","",R162)</x:f>
      </x:c>
      <x:c r="AJ162" s="85" t="str">
        <x:f>IF(B162="","",S162)</x:f>
      </x:c>
      <x:c r="AK162" s="85" t="str">
        <x:f>IF(B162="","",T162)</x:f>
      </x:c>
    </x:row>
    <x:row r="163">
      <x:c r="A163" s="94" t="str">
        <x:f>IF(OR(B163="",G163=""),"",B163&amp;"|"&amp;G163)</x:f>
      </x:c>
      <x:c r="B163" s="92"/>
      <x:c r="C163" s="94" t="str">
        <x:f>IFERROR(VLOOKUP(B163,'01 Staff Master'!$A$6:$M$105,2,FALSE),"")</x:f>
      </x:c>
      <x:c r="D163" s="94" t="str">
        <x:f>IFERROR(VLOOKUP(B163,'01 Staff Master'!$A$6:$M$105,3,FALSE),"")</x:f>
      </x:c>
      <x:c r="E163" s="94" t="str">
        <x:f>IFERROR(VLOOKUP(B163,'01 Staff Master'!$A$6:$M$105,5,FALSE),"")</x:f>
      </x:c>
      <x:c r="F163" s="94" t="str">
        <x:f>IFERROR(VLOOKUP(B163,'01 Staff Master'!$A$6:$M$105,4,FALSE),"")</x:f>
      </x:c>
      <x:c r="G163" s="92"/>
      <x:c r="H163" s="94" t="str">
        <x:f>IFERROR(VLOOKUP(G163,'02 Skill Catalogue'!$A$6:$K$95,4,FALSE),"")</x:f>
      </x:c>
      <x:c r="I163" s="94" t="str">
        <x:f>IFERROR(VLOOKUP(D163&amp;"|"&amp;E163&amp;"|"&amp;G163,'03 Position Requirements'!$A$6:$R$285,8,FALSE),"")</x:f>
      </x:c>
      <x:c r="J163" s="94" t="str">
        <x:f>IFERROR(VLOOKUP(D163&amp;"|"&amp;E163&amp;"|"&amp;G163,'03 Position Requirements'!$A$6:$R$285,10,FALSE),"")</x:f>
      </x:c>
      <x:c r="K163" s="94" t="str">
        <x:f>IF(OR(B163="",G163=""),"",IF(COUNTIFS('04 Assessment Log'!$D$6:$D$155,B163,'04 Assessment Log'!$J$6:$J$155,G163,'04 Assessment Log'!$AA$6:$AA$155,"Yes")=0,"",SUMIFS('04 Assessment Log'!$O$6:$O$155,'04 Assessment Log'!$D$6:$D$155,B163,'04 Assessment Log'!$J$6:$J$155,G163,'04 Assessment Log'!$AA$6:$AA$155,"Yes")))</x:f>
      </x:c>
      <x:c r="L163" s="94" t="str">
        <x:f>IF(OR(J163="",K163=""),"",MAX(J163-K163,0))</x:f>
      </x:c>
      <x:c r="M163" s="102" t="str">
        <x:f>IF(COUNTIFS('04 Assessment Log'!$D$6:$D$155,B163,'04 Assessment Log'!$J$6:$J$155,G163,'04 Assessment Log'!$AA$6:$AA$155,"Yes")=0,"",SUMIFS('04 Assessment Log'!$B$6:$B$155,'04 Assessment Log'!$D$6:$D$155,B163,'04 Assessment Log'!$J$6:$J$155,G163,'04 Assessment Log'!$AA$6:$AA$155,"Yes"))</x:f>
      </x:c>
      <x:c r="N163" s="102" t="str">
        <x:f>IF(M163="","",SUMIFS('04 Assessment Log'!$Z$6:$Z$155,'04 Assessment Log'!$D$6:$D$155,B163,'04 Assessment Log'!$J$6:$J$155,G163,'04 Assessment Log'!$AA$6:$AA$155,"Yes"))</x:f>
      </x:c>
      <x:c r="O163" s="94" t="str">
        <x:f>IF(M163="","Not Assessed",IF(N163&lt;TODAY(),"Expired",IF(N163&lt;=TODAY()+30,"Due Soon","Current")))</x:f>
        <x:v>Not Assessed</x:v>
      </x:c>
      <x:c r="P163" s="94" t="str">
        <x:f>IF(OR(B163="",G163=""),"",COUNTIFS('05 Development Actions'!$C$6:$C$105,B163,'05 Development Actions'!$G$6:$G$105,G163,'05 Development Actions'!$A$6:$A$105,"&lt;&gt;",'05 Development Actions'!$AB$6:$AB$105,"&lt;&gt;Closed — Competent",'05 Development Actions'!$AB$6:$AB$105,"&lt;&gt;Cancelled"))</x:f>
      </x:c>
      <x:c r="Q163" s="94" t="str">
        <x:f>IF(OR(B163="",G163=""),"",COUNTIFS('11 Training Attendance'!$E$6:$E$155,B163,'11 Training Attendance'!$K$6:$K$155,"Attended",'11 Training Attendance'!$I$6:$I$155,G163))</x:f>
      </x:c>
      <x:c r="R163" s="102" t="str">
        <x:f>IF(Q163=0,"",MAXIFS('11 Training Attendance'!$D$6:$D$155,'11 Training Attendance'!$E$6:$E$155,B163,'11 Training Attendance'!$K$6:$K$155,"Attended",'11 Training Attendance'!$I$6:$I$155,G163))</x:f>
      </x:c>
      <x:c r="S163" s="94" t="str">
        <x:f>IF(OR(B163="",G163=""),"",COUNTIFS('13 Effectiveness Review'!$C$6:$C$155,B163,'13 Effectiveness Review'!$F$6:$F$155,G163,'13 Effectiveness Review'!$X$6:$X$155,"Closed — Effective"))</x:f>
      </x:c>
      <x:c r="T163" s="94" t="str">
        <x:f>IF(B163="","",IF(K163="","Not Assessed",IF(O163="Expired","Renewal Due",IF(L163=0,"Competent","Skill Gap"))))</x:f>
      </x:c>
      <x:c r="U163" s="94" t="str">
        <x:f>IFERROR(VLOOKUP(D163&amp;"|"&amp;E163&amp;"|"&amp;G163,'03 Position Requirements'!$A$6:$R$285,14,FALSE),"")</x:f>
      </x:c>
      <x:c r="V163" s="92"/>
      <x:c r="W163" s="85" t="str">
        <x:f>IF(B163="","",B163&amp;"|"&amp;COUNTIF($B$6:B163,B163))</x:f>
      </x:c>
      <x:c r="X163" s="85" t="str">
        <x:f>IF(B163="","",G163)</x:f>
      </x:c>
      <x:c r="Y163" s="85" t="str">
        <x:f>IF(B163="","",H163)</x:f>
      </x:c>
      <x:c r="Z163" s="85" t="str">
        <x:f>IF(B163="","",I163)</x:f>
      </x:c>
      <x:c r="AA163" s="85" t="str">
        <x:f>IF(B163="","",J163)</x:f>
      </x:c>
      <x:c r="AB163" s="85" t="str">
        <x:f>IF(B163="","",K163)</x:f>
      </x:c>
      <x:c r="AC163" s="85" t="str">
        <x:f>IF(B163="","",L163)</x:f>
      </x:c>
      <x:c r="AD163" s="85" t="str">
        <x:f>IF(B163="","",M163)</x:f>
      </x:c>
      <x:c r="AE163" s="85" t="str">
        <x:f>IF(B163="","",N163)</x:f>
      </x:c>
      <x:c r="AF163" s="85" t="str">
        <x:f>IF(B163="","",O163)</x:f>
      </x:c>
      <x:c r="AG163" s="85" t="str">
        <x:f>IF(B163="","",P163)</x:f>
      </x:c>
      <x:c r="AH163" s="85" t="str">
        <x:f>IF(B163="","",Q163)</x:f>
      </x:c>
      <x:c r="AI163" s="85" t="str">
        <x:f>IF(B163="","",R163)</x:f>
      </x:c>
      <x:c r="AJ163" s="85" t="str">
        <x:f>IF(B163="","",S163)</x:f>
      </x:c>
      <x:c r="AK163" s="85" t="str">
        <x:f>IF(B163="","",T163)</x:f>
      </x:c>
    </x:row>
    <x:row r="164">
      <x:c r="A164" s="94" t="str">
        <x:f>IF(OR(B164="",G164=""),"",B164&amp;"|"&amp;G164)</x:f>
      </x:c>
      <x:c r="B164" s="92"/>
      <x:c r="C164" s="94" t="str">
        <x:f>IFERROR(VLOOKUP(B164,'01 Staff Master'!$A$6:$M$105,2,FALSE),"")</x:f>
      </x:c>
      <x:c r="D164" s="94" t="str">
        <x:f>IFERROR(VLOOKUP(B164,'01 Staff Master'!$A$6:$M$105,3,FALSE),"")</x:f>
      </x:c>
      <x:c r="E164" s="94" t="str">
        <x:f>IFERROR(VLOOKUP(B164,'01 Staff Master'!$A$6:$M$105,5,FALSE),"")</x:f>
      </x:c>
      <x:c r="F164" s="94" t="str">
        <x:f>IFERROR(VLOOKUP(B164,'01 Staff Master'!$A$6:$M$105,4,FALSE),"")</x:f>
      </x:c>
      <x:c r="G164" s="92"/>
      <x:c r="H164" s="94" t="str">
        <x:f>IFERROR(VLOOKUP(G164,'02 Skill Catalogue'!$A$6:$K$95,4,FALSE),"")</x:f>
      </x:c>
      <x:c r="I164" s="94" t="str">
        <x:f>IFERROR(VLOOKUP(D164&amp;"|"&amp;E164&amp;"|"&amp;G164,'03 Position Requirements'!$A$6:$R$285,8,FALSE),"")</x:f>
      </x:c>
      <x:c r="J164" s="94" t="str">
        <x:f>IFERROR(VLOOKUP(D164&amp;"|"&amp;E164&amp;"|"&amp;G164,'03 Position Requirements'!$A$6:$R$285,10,FALSE),"")</x:f>
      </x:c>
      <x:c r="K164" s="94" t="str">
        <x:f>IF(OR(B164="",G164=""),"",IF(COUNTIFS('04 Assessment Log'!$D$6:$D$155,B164,'04 Assessment Log'!$J$6:$J$155,G164,'04 Assessment Log'!$AA$6:$AA$155,"Yes")=0,"",SUMIFS('04 Assessment Log'!$O$6:$O$155,'04 Assessment Log'!$D$6:$D$155,B164,'04 Assessment Log'!$J$6:$J$155,G164,'04 Assessment Log'!$AA$6:$AA$155,"Yes")))</x:f>
      </x:c>
      <x:c r="L164" s="94" t="str">
        <x:f>IF(OR(J164="",K164=""),"",MAX(J164-K164,0))</x:f>
      </x:c>
      <x:c r="M164" s="102" t="str">
        <x:f>IF(COUNTIFS('04 Assessment Log'!$D$6:$D$155,B164,'04 Assessment Log'!$J$6:$J$155,G164,'04 Assessment Log'!$AA$6:$AA$155,"Yes")=0,"",SUMIFS('04 Assessment Log'!$B$6:$B$155,'04 Assessment Log'!$D$6:$D$155,B164,'04 Assessment Log'!$J$6:$J$155,G164,'04 Assessment Log'!$AA$6:$AA$155,"Yes"))</x:f>
      </x:c>
      <x:c r="N164" s="102" t="str">
        <x:f>IF(M164="","",SUMIFS('04 Assessment Log'!$Z$6:$Z$155,'04 Assessment Log'!$D$6:$D$155,B164,'04 Assessment Log'!$J$6:$J$155,G164,'04 Assessment Log'!$AA$6:$AA$155,"Yes"))</x:f>
      </x:c>
      <x:c r="O164" s="94" t="str">
        <x:f>IF(M164="","Not Assessed",IF(N164&lt;TODAY(),"Expired",IF(N164&lt;=TODAY()+30,"Due Soon","Current")))</x:f>
        <x:v>Not Assessed</x:v>
      </x:c>
      <x:c r="P164" s="94" t="str">
        <x:f>IF(OR(B164="",G164=""),"",COUNTIFS('05 Development Actions'!$C$6:$C$105,B164,'05 Development Actions'!$G$6:$G$105,G164,'05 Development Actions'!$A$6:$A$105,"&lt;&gt;",'05 Development Actions'!$AB$6:$AB$105,"&lt;&gt;Closed — Competent",'05 Development Actions'!$AB$6:$AB$105,"&lt;&gt;Cancelled"))</x:f>
      </x:c>
      <x:c r="Q164" s="94" t="str">
        <x:f>IF(OR(B164="",G164=""),"",COUNTIFS('11 Training Attendance'!$E$6:$E$155,B164,'11 Training Attendance'!$K$6:$K$155,"Attended",'11 Training Attendance'!$I$6:$I$155,G164))</x:f>
      </x:c>
      <x:c r="R164" s="102" t="str">
        <x:f>IF(Q164=0,"",MAXIFS('11 Training Attendance'!$D$6:$D$155,'11 Training Attendance'!$E$6:$E$155,B164,'11 Training Attendance'!$K$6:$K$155,"Attended",'11 Training Attendance'!$I$6:$I$155,G164))</x:f>
      </x:c>
      <x:c r="S164" s="94" t="str">
        <x:f>IF(OR(B164="",G164=""),"",COUNTIFS('13 Effectiveness Review'!$C$6:$C$155,B164,'13 Effectiveness Review'!$F$6:$F$155,G164,'13 Effectiveness Review'!$X$6:$X$155,"Closed — Effective"))</x:f>
      </x:c>
      <x:c r="T164" s="94" t="str">
        <x:f>IF(B164="","",IF(K164="","Not Assessed",IF(O164="Expired","Renewal Due",IF(L164=0,"Competent","Skill Gap"))))</x:f>
      </x:c>
      <x:c r="U164" s="94" t="str">
        <x:f>IFERROR(VLOOKUP(D164&amp;"|"&amp;E164&amp;"|"&amp;G164,'03 Position Requirements'!$A$6:$R$285,14,FALSE),"")</x:f>
      </x:c>
      <x:c r="V164" s="92"/>
      <x:c r="W164" s="85" t="str">
        <x:f>IF(B164="","",B164&amp;"|"&amp;COUNTIF($B$6:B164,B164))</x:f>
      </x:c>
      <x:c r="X164" s="85" t="str">
        <x:f>IF(B164="","",G164)</x:f>
      </x:c>
      <x:c r="Y164" s="85" t="str">
        <x:f>IF(B164="","",H164)</x:f>
      </x:c>
      <x:c r="Z164" s="85" t="str">
        <x:f>IF(B164="","",I164)</x:f>
      </x:c>
      <x:c r="AA164" s="85" t="str">
        <x:f>IF(B164="","",J164)</x:f>
      </x:c>
      <x:c r="AB164" s="85" t="str">
        <x:f>IF(B164="","",K164)</x:f>
      </x:c>
      <x:c r="AC164" s="85" t="str">
        <x:f>IF(B164="","",L164)</x:f>
      </x:c>
      <x:c r="AD164" s="85" t="str">
        <x:f>IF(B164="","",M164)</x:f>
      </x:c>
      <x:c r="AE164" s="85" t="str">
        <x:f>IF(B164="","",N164)</x:f>
      </x:c>
      <x:c r="AF164" s="85" t="str">
        <x:f>IF(B164="","",O164)</x:f>
      </x:c>
      <x:c r="AG164" s="85" t="str">
        <x:f>IF(B164="","",P164)</x:f>
      </x:c>
      <x:c r="AH164" s="85" t="str">
        <x:f>IF(B164="","",Q164)</x:f>
      </x:c>
      <x:c r="AI164" s="85" t="str">
        <x:f>IF(B164="","",R164)</x:f>
      </x:c>
      <x:c r="AJ164" s="85" t="str">
        <x:f>IF(B164="","",S164)</x:f>
      </x:c>
      <x:c r="AK164" s="85" t="str">
        <x:f>IF(B164="","",T164)</x:f>
      </x:c>
    </x:row>
    <x:row r="165">
      <x:c r="A165" s="94" t="str">
        <x:f>IF(OR(B165="",G165=""),"",B165&amp;"|"&amp;G165)</x:f>
      </x:c>
      <x:c r="B165" s="92"/>
      <x:c r="C165" s="94" t="str">
        <x:f>IFERROR(VLOOKUP(B165,'01 Staff Master'!$A$6:$M$105,2,FALSE),"")</x:f>
      </x:c>
      <x:c r="D165" s="94" t="str">
        <x:f>IFERROR(VLOOKUP(B165,'01 Staff Master'!$A$6:$M$105,3,FALSE),"")</x:f>
      </x:c>
      <x:c r="E165" s="94" t="str">
        <x:f>IFERROR(VLOOKUP(B165,'01 Staff Master'!$A$6:$M$105,5,FALSE),"")</x:f>
      </x:c>
      <x:c r="F165" s="94" t="str">
        <x:f>IFERROR(VLOOKUP(B165,'01 Staff Master'!$A$6:$M$105,4,FALSE),"")</x:f>
      </x:c>
      <x:c r="G165" s="92"/>
      <x:c r="H165" s="94" t="str">
        <x:f>IFERROR(VLOOKUP(G165,'02 Skill Catalogue'!$A$6:$K$95,4,FALSE),"")</x:f>
      </x:c>
      <x:c r="I165" s="94" t="str">
        <x:f>IFERROR(VLOOKUP(D165&amp;"|"&amp;E165&amp;"|"&amp;G165,'03 Position Requirements'!$A$6:$R$285,8,FALSE),"")</x:f>
      </x:c>
      <x:c r="J165" s="94" t="str">
        <x:f>IFERROR(VLOOKUP(D165&amp;"|"&amp;E165&amp;"|"&amp;G165,'03 Position Requirements'!$A$6:$R$285,10,FALSE),"")</x:f>
      </x:c>
      <x:c r="K165" s="94" t="str">
        <x:f>IF(OR(B165="",G165=""),"",IF(COUNTIFS('04 Assessment Log'!$D$6:$D$155,B165,'04 Assessment Log'!$J$6:$J$155,G165,'04 Assessment Log'!$AA$6:$AA$155,"Yes")=0,"",SUMIFS('04 Assessment Log'!$O$6:$O$155,'04 Assessment Log'!$D$6:$D$155,B165,'04 Assessment Log'!$J$6:$J$155,G165,'04 Assessment Log'!$AA$6:$AA$155,"Yes")))</x:f>
      </x:c>
      <x:c r="L165" s="94" t="str">
        <x:f>IF(OR(J165="",K165=""),"",MAX(J165-K165,0))</x:f>
      </x:c>
      <x:c r="M165" s="102" t="str">
        <x:f>IF(COUNTIFS('04 Assessment Log'!$D$6:$D$155,B165,'04 Assessment Log'!$J$6:$J$155,G165,'04 Assessment Log'!$AA$6:$AA$155,"Yes")=0,"",SUMIFS('04 Assessment Log'!$B$6:$B$155,'04 Assessment Log'!$D$6:$D$155,B165,'04 Assessment Log'!$J$6:$J$155,G165,'04 Assessment Log'!$AA$6:$AA$155,"Yes"))</x:f>
      </x:c>
      <x:c r="N165" s="102" t="str">
        <x:f>IF(M165="","",SUMIFS('04 Assessment Log'!$Z$6:$Z$155,'04 Assessment Log'!$D$6:$D$155,B165,'04 Assessment Log'!$J$6:$J$155,G165,'04 Assessment Log'!$AA$6:$AA$155,"Yes"))</x:f>
      </x:c>
      <x:c r="O165" s="94" t="str">
        <x:f>IF(M165="","Not Assessed",IF(N165&lt;TODAY(),"Expired",IF(N165&lt;=TODAY()+30,"Due Soon","Current")))</x:f>
        <x:v>Not Assessed</x:v>
      </x:c>
      <x:c r="P165" s="94" t="str">
        <x:f>IF(OR(B165="",G165=""),"",COUNTIFS('05 Development Actions'!$C$6:$C$105,B165,'05 Development Actions'!$G$6:$G$105,G165,'05 Development Actions'!$A$6:$A$105,"&lt;&gt;",'05 Development Actions'!$AB$6:$AB$105,"&lt;&gt;Closed — Competent",'05 Development Actions'!$AB$6:$AB$105,"&lt;&gt;Cancelled"))</x:f>
      </x:c>
      <x:c r="Q165" s="94" t="str">
        <x:f>IF(OR(B165="",G165=""),"",COUNTIFS('11 Training Attendance'!$E$6:$E$155,B165,'11 Training Attendance'!$K$6:$K$155,"Attended",'11 Training Attendance'!$I$6:$I$155,G165))</x:f>
      </x:c>
      <x:c r="R165" s="102" t="str">
        <x:f>IF(Q165=0,"",MAXIFS('11 Training Attendance'!$D$6:$D$155,'11 Training Attendance'!$E$6:$E$155,B165,'11 Training Attendance'!$K$6:$K$155,"Attended",'11 Training Attendance'!$I$6:$I$155,G165))</x:f>
      </x:c>
      <x:c r="S165" s="94" t="str">
        <x:f>IF(OR(B165="",G165=""),"",COUNTIFS('13 Effectiveness Review'!$C$6:$C$155,B165,'13 Effectiveness Review'!$F$6:$F$155,G165,'13 Effectiveness Review'!$X$6:$X$155,"Closed — Effective"))</x:f>
      </x:c>
      <x:c r="T165" s="94" t="str">
        <x:f>IF(B165="","",IF(K165="","Not Assessed",IF(O165="Expired","Renewal Due",IF(L165=0,"Competent","Skill Gap"))))</x:f>
      </x:c>
      <x:c r="U165" s="94" t="str">
        <x:f>IFERROR(VLOOKUP(D165&amp;"|"&amp;E165&amp;"|"&amp;G165,'03 Position Requirements'!$A$6:$R$285,14,FALSE),"")</x:f>
      </x:c>
      <x:c r="V165" s="92"/>
      <x:c r="W165" s="85" t="str">
        <x:f>IF(B165="","",B165&amp;"|"&amp;COUNTIF($B$6:B165,B165))</x:f>
      </x:c>
      <x:c r="X165" s="85" t="str">
        <x:f>IF(B165="","",G165)</x:f>
      </x:c>
      <x:c r="Y165" s="85" t="str">
        <x:f>IF(B165="","",H165)</x:f>
      </x:c>
      <x:c r="Z165" s="85" t="str">
        <x:f>IF(B165="","",I165)</x:f>
      </x:c>
      <x:c r="AA165" s="85" t="str">
        <x:f>IF(B165="","",J165)</x:f>
      </x:c>
      <x:c r="AB165" s="85" t="str">
        <x:f>IF(B165="","",K165)</x:f>
      </x:c>
      <x:c r="AC165" s="85" t="str">
        <x:f>IF(B165="","",L165)</x:f>
      </x:c>
      <x:c r="AD165" s="85" t="str">
        <x:f>IF(B165="","",M165)</x:f>
      </x:c>
      <x:c r="AE165" s="85" t="str">
        <x:f>IF(B165="","",N165)</x:f>
      </x:c>
      <x:c r="AF165" s="85" t="str">
        <x:f>IF(B165="","",O165)</x:f>
      </x:c>
      <x:c r="AG165" s="85" t="str">
        <x:f>IF(B165="","",P165)</x:f>
      </x:c>
      <x:c r="AH165" s="85" t="str">
        <x:f>IF(B165="","",Q165)</x:f>
      </x:c>
      <x:c r="AI165" s="85" t="str">
        <x:f>IF(B165="","",R165)</x:f>
      </x:c>
      <x:c r="AJ165" s="85" t="str">
        <x:f>IF(B165="","",S165)</x:f>
      </x:c>
      <x:c r="AK165" s="85" t="str">
        <x:f>IF(B165="","",T165)</x:f>
      </x:c>
    </x:row>
    <x:row r="166">
      <x:c r="A166" s="94" t="str">
        <x:f>IF(OR(B166="",G166=""),"",B166&amp;"|"&amp;G166)</x:f>
      </x:c>
      <x:c r="B166" s="92"/>
      <x:c r="C166" s="94" t="str">
        <x:f>IFERROR(VLOOKUP(B166,'01 Staff Master'!$A$6:$M$105,2,FALSE),"")</x:f>
      </x:c>
      <x:c r="D166" s="94" t="str">
        <x:f>IFERROR(VLOOKUP(B166,'01 Staff Master'!$A$6:$M$105,3,FALSE),"")</x:f>
      </x:c>
      <x:c r="E166" s="94" t="str">
        <x:f>IFERROR(VLOOKUP(B166,'01 Staff Master'!$A$6:$M$105,5,FALSE),"")</x:f>
      </x:c>
      <x:c r="F166" s="94" t="str">
        <x:f>IFERROR(VLOOKUP(B166,'01 Staff Master'!$A$6:$M$105,4,FALSE),"")</x:f>
      </x:c>
      <x:c r="G166" s="92"/>
      <x:c r="H166" s="94" t="str">
        <x:f>IFERROR(VLOOKUP(G166,'02 Skill Catalogue'!$A$6:$K$95,4,FALSE),"")</x:f>
      </x:c>
      <x:c r="I166" s="94" t="str">
        <x:f>IFERROR(VLOOKUP(D166&amp;"|"&amp;E166&amp;"|"&amp;G166,'03 Position Requirements'!$A$6:$R$285,8,FALSE),"")</x:f>
      </x:c>
      <x:c r="J166" s="94" t="str">
        <x:f>IFERROR(VLOOKUP(D166&amp;"|"&amp;E166&amp;"|"&amp;G166,'03 Position Requirements'!$A$6:$R$285,10,FALSE),"")</x:f>
      </x:c>
      <x:c r="K166" s="94" t="str">
        <x:f>IF(OR(B166="",G166=""),"",IF(COUNTIFS('04 Assessment Log'!$D$6:$D$155,B166,'04 Assessment Log'!$J$6:$J$155,G166,'04 Assessment Log'!$AA$6:$AA$155,"Yes")=0,"",SUMIFS('04 Assessment Log'!$O$6:$O$155,'04 Assessment Log'!$D$6:$D$155,B166,'04 Assessment Log'!$J$6:$J$155,G166,'04 Assessment Log'!$AA$6:$AA$155,"Yes")))</x:f>
      </x:c>
      <x:c r="L166" s="94" t="str">
        <x:f>IF(OR(J166="",K166=""),"",MAX(J166-K166,0))</x:f>
      </x:c>
      <x:c r="M166" s="102" t="str">
        <x:f>IF(COUNTIFS('04 Assessment Log'!$D$6:$D$155,B166,'04 Assessment Log'!$J$6:$J$155,G166,'04 Assessment Log'!$AA$6:$AA$155,"Yes")=0,"",SUMIFS('04 Assessment Log'!$B$6:$B$155,'04 Assessment Log'!$D$6:$D$155,B166,'04 Assessment Log'!$J$6:$J$155,G166,'04 Assessment Log'!$AA$6:$AA$155,"Yes"))</x:f>
      </x:c>
      <x:c r="N166" s="102" t="str">
        <x:f>IF(M166="","",SUMIFS('04 Assessment Log'!$Z$6:$Z$155,'04 Assessment Log'!$D$6:$D$155,B166,'04 Assessment Log'!$J$6:$J$155,G166,'04 Assessment Log'!$AA$6:$AA$155,"Yes"))</x:f>
      </x:c>
      <x:c r="O166" s="94" t="str">
        <x:f>IF(M166="","Not Assessed",IF(N166&lt;TODAY(),"Expired",IF(N166&lt;=TODAY()+30,"Due Soon","Current")))</x:f>
        <x:v>Not Assessed</x:v>
      </x:c>
      <x:c r="P166" s="94" t="str">
        <x:f>IF(OR(B166="",G166=""),"",COUNTIFS('05 Development Actions'!$C$6:$C$105,B166,'05 Development Actions'!$G$6:$G$105,G166,'05 Development Actions'!$A$6:$A$105,"&lt;&gt;",'05 Development Actions'!$AB$6:$AB$105,"&lt;&gt;Closed — Competent",'05 Development Actions'!$AB$6:$AB$105,"&lt;&gt;Cancelled"))</x:f>
      </x:c>
      <x:c r="Q166" s="94" t="str">
        <x:f>IF(OR(B166="",G166=""),"",COUNTIFS('11 Training Attendance'!$E$6:$E$155,B166,'11 Training Attendance'!$K$6:$K$155,"Attended",'11 Training Attendance'!$I$6:$I$155,G166))</x:f>
      </x:c>
      <x:c r="R166" s="102" t="str">
        <x:f>IF(Q166=0,"",MAXIFS('11 Training Attendance'!$D$6:$D$155,'11 Training Attendance'!$E$6:$E$155,B166,'11 Training Attendance'!$K$6:$K$155,"Attended",'11 Training Attendance'!$I$6:$I$155,G166))</x:f>
      </x:c>
      <x:c r="S166" s="94" t="str">
        <x:f>IF(OR(B166="",G166=""),"",COUNTIFS('13 Effectiveness Review'!$C$6:$C$155,B166,'13 Effectiveness Review'!$F$6:$F$155,G166,'13 Effectiveness Review'!$X$6:$X$155,"Closed — Effective"))</x:f>
      </x:c>
      <x:c r="T166" s="94" t="str">
        <x:f>IF(B166="","",IF(K166="","Not Assessed",IF(O166="Expired","Renewal Due",IF(L166=0,"Competent","Skill Gap"))))</x:f>
      </x:c>
      <x:c r="U166" s="94" t="str">
        <x:f>IFERROR(VLOOKUP(D166&amp;"|"&amp;E166&amp;"|"&amp;G166,'03 Position Requirements'!$A$6:$R$285,14,FALSE),"")</x:f>
      </x:c>
      <x:c r="V166" s="92"/>
      <x:c r="W166" s="85" t="str">
        <x:f>IF(B166="","",B166&amp;"|"&amp;COUNTIF($B$6:B166,B166))</x:f>
      </x:c>
      <x:c r="X166" s="85" t="str">
        <x:f>IF(B166="","",G166)</x:f>
      </x:c>
      <x:c r="Y166" s="85" t="str">
        <x:f>IF(B166="","",H166)</x:f>
      </x:c>
      <x:c r="Z166" s="85" t="str">
        <x:f>IF(B166="","",I166)</x:f>
      </x:c>
      <x:c r="AA166" s="85" t="str">
        <x:f>IF(B166="","",J166)</x:f>
      </x:c>
      <x:c r="AB166" s="85" t="str">
        <x:f>IF(B166="","",K166)</x:f>
      </x:c>
      <x:c r="AC166" s="85" t="str">
        <x:f>IF(B166="","",L166)</x:f>
      </x:c>
      <x:c r="AD166" s="85" t="str">
        <x:f>IF(B166="","",M166)</x:f>
      </x:c>
      <x:c r="AE166" s="85" t="str">
        <x:f>IF(B166="","",N166)</x:f>
      </x:c>
      <x:c r="AF166" s="85" t="str">
        <x:f>IF(B166="","",O166)</x:f>
      </x:c>
      <x:c r="AG166" s="85" t="str">
        <x:f>IF(B166="","",P166)</x:f>
      </x:c>
      <x:c r="AH166" s="85" t="str">
        <x:f>IF(B166="","",Q166)</x:f>
      </x:c>
      <x:c r="AI166" s="85" t="str">
        <x:f>IF(B166="","",R166)</x:f>
      </x:c>
      <x:c r="AJ166" s="85" t="str">
        <x:f>IF(B166="","",S166)</x:f>
      </x:c>
      <x:c r="AK166" s="85" t="str">
        <x:f>IF(B166="","",T166)</x:f>
      </x:c>
    </x:row>
    <x:row r="167">
      <x:c r="A167" s="94" t="str">
        <x:f>IF(OR(B167="",G167=""),"",B167&amp;"|"&amp;G167)</x:f>
      </x:c>
      <x:c r="B167" s="92"/>
      <x:c r="C167" s="94" t="str">
        <x:f>IFERROR(VLOOKUP(B167,'01 Staff Master'!$A$6:$M$105,2,FALSE),"")</x:f>
      </x:c>
      <x:c r="D167" s="94" t="str">
        <x:f>IFERROR(VLOOKUP(B167,'01 Staff Master'!$A$6:$M$105,3,FALSE),"")</x:f>
      </x:c>
      <x:c r="E167" s="94" t="str">
        <x:f>IFERROR(VLOOKUP(B167,'01 Staff Master'!$A$6:$M$105,5,FALSE),"")</x:f>
      </x:c>
      <x:c r="F167" s="94" t="str">
        <x:f>IFERROR(VLOOKUP(B167,'01 Staff Master'!$A$6:$M$105,4,FALSE),"")</x:f>
      </x:c>
      <x:c r="G167" s="92"/>
      <x:c r="H167" s="94" t="str">
        <x:f>IFERROR(VLOOKUP(G167,'02 Skill Catalogue'!$A$6:$K$95,4,FALSE),"")</x:f>
      </x:c>
      <x:c r="I167" s="94" t="str">
        <x:f>IFERROR(VLOOKUP(D167&amp;"|"&amp;E167&amp;"|"&amp;G167,'03 Position Requirements'!$A$6:$R$285,8,FALSE),"")</x:f>
      </x:c>
      <x:c r="J167" s="94" t="str">
        <x:f>IFERROR(VLOOKUP(D167&amp;"|"&amp;E167&amp;"|"&amp;G167,'03 Position Requirements'!$A$6:$R$285,10,FALSE),"")</x:f>
      </x:c>
      <x:c r="K167" s="94" t="str">
        <x:f>IF(OR(B167="",G167=""),"",IF(COUNTIFS('04 Assessment Log'!$D$6:$D$155,B167,'04 Assessment Log'!$J$6:$J$155,G167,'04 Assessment Log'!$AA$6:$AA$155,"Yes")=0,"",SUMIFS('04 Assessment Log'!$O$6:$O$155,'04 Assessment Log'!$D$6:$D$155,B167,'04 Assessment Log'!$J$6:$J$155,G167,'04 Assessment Log'!$AA$6:$AA$155,"Yes")))</x:f>
      </x:c>
      <x:c r="L167" s="94" t="str">
        <x:f>IF(OR(J167="",K167=""),"",MAX(J167-K167,0))</x:f>
      </x:c>
      <x:c r="M167" s="102" t="str">
        <x:f>IF(COUNTIFS('04 Assessment Log'!$D$6:$D$155,B167,'04 Assessment Log'!$J$6:$J$155,G167,'04 Assessment Log'!$AA$6:$AA$155,"Yes")=0,"",SUMIFS('04 Assessment Log'!$B$6:$B$155,'04 Assessment Log'!$D$6:$D$155,B167,'04 Assessment Log'!$J$6:$J$155,G167,'04 Assessment Log'!$AA$6:$AA$155,"Yes"))</x:f>
      </x:c>
      <x:c r="N167" s="102" t="str">
        <x:f>IF(M167="","",SUMIFS('04 Assessment Log'!$Z$6:$Z$155,'04 Assessment Log'!$D$6:$D$155,B167,'04 Assessment Log'!$J$6:$J$155,G167,'04 Assessment Log'!$AA$6:$AA$155,"Yes"))</x:f>
      </x:c>
      <x:c r="O167" s="94" t="str">
        <x:f>IF(M167="","Not Assessed",IF(N167&lt;TODAY(),"Expired",IF(N167&lt;=TODAY()+30,"Due Soon","Current")))</x:f>
        <x:v>Not Assessed</x:v>
      </x:c>
      <x:c r="P167" s="94" t="str">
        <x:f>IF(OR(B167="",G167=""),"",COUNTIFS('05 Development Actions'!$C$6:$C$105,B167,'05 Development Actions'!$G$6:$G$105,G167,'05 Development Actions'!$A$6:$A$105,"&lt;&gt;",'05 Development Actions'!$AB$6:$AB$105,"&lt;&gt;Closed — Competent",'05 Development Actions'!$AB$6:$AB$105,"&lt;&gt;Cancelled"))</x:f>
      </x:c>
      <x:c r="Q167" s="94" t="str">
        <x:f>IF(OR(B167="",G167=""),"",COUNTIFS('11 Training Attendance'!$E$6:$E$155,B167,'11 Training Attendance'!$K$6:$K$155,"Attended",'11 Training Attendance'!$I$6:$I$155,G167))</x:f>
      </x:c>
      <x:c r="R167" s="102" t="str">
        <x:f>IF(Q167=0,"",MAXIFS('11 Training Attendance'!$D$6:$D$155,'11 Training Attendance'!$E$6:$E$155,B167,'11 Training Attendance'!$K$6:$K$155,"Attended",'11 Training Attendance'!$I$6:$I$155,G167))</x:f>
      </x:c>
      <x:c r="S167" s="94" t="str">
        <x:f>IF(OR(B167="",G167=""),"",COUNTIFS('13 Effectiveness Review'!$C$6:$C$155,B167,'13 Effectiveness Review'!$F$6:$F$155,G167,'13 Effectiveness Review'!$X$6:$X$155,"Closed — Effective"))</x:f>
      </x:c>
      <x:c r="T167" s="94" t="str">
        <x:f>IF(B167="","",IF(K167="","Not Assessed",IF(O167="Expired","Renewal Due",IF(L167=0,"Competent","Skill Gap"))))</x:f>
      </x:c>
      <x:c r="U167" s="94" t="str">
        <x:f>IFERROR(VLOOKUP(D167&amp;"|"&amp;E167&amp;"|"&amp;G167,'03 Position Requirements'!$A$6:$R$285,14,FALSE),"")</x:f>
      </x:c>
      <x:c r="V167" s="92"/>
      <x:c r="W167" s="85" t="str">
        <x:f>IF(B167="","",B167&amp;"|"&amp;COUNTIF($B$6:B167,B167))</x:f>
      </x:c>
      <x:c r="X167" s="85" t="str">
        <x:f>IF(B167="","",G167)</x:f>
      </x:c>
      <x:c r="Y167" s="85" t="str">
        <x:f>IF(B167="","",H167)</x:f>
      </x:c>
      <x:c r="Z167" s="85" t="str">
        <x:f>IF(B167="","",I167)</x:f>
      </x:c>
      <x:c r="AA167" s="85" t="str">
        <x:f>IF(B167="","",J167)</x:f>
      </x:c>
      <x:c r="AB167" s="85" t="str">
        <x:f>IF(B167="","",K167)</x:f>
      </x:c>
      <x:c r="AC167" s="85" t="str">
        <x:f>IF(B167="","",L167)</x:f>
      </x:c>
      <x:c r="AD167" s="85" t="str">
        <x:f>IF(B167="","",M167)</x:f>
      </x:c>
      <x:c r="AE167" s="85" t="str">
        <x:f>IF(B167="","",N167)</x:f>
      </x:c>
      <x:c r="AF167" s="85" t="str">
        <x:f>IF(B167="","",O167)</x:f>
      </x:c>
      <x:c r="AG167" s="85" t="str">
        <x:f>IF(B167="","",P167)</x:f>
      </x:c>
      <x:c r="AH167" s="85" t="str">
        <x:f>IF(B167="","",Q167)</x:f>
      </x:c>
      <x:c r="AI167" s="85" t="str">
        <x:f>IF(B167="","",R167)</x:f>
      </x:c>
      <x:c r="AJ167" s="85" t="str">
        <x:f>IF(B167="","",S167)</x:f>
      </x:c>
      <x:c r="AK167" s="85" t="str">
        <x:f>IF(B167="","",T167)</x:f>
      </x:c>
    </x:row>
    <x:row r="168">
      <x:c r="A168" s="94" t="str">
        <x:f>IF(OR(B168="",G168=""),"",B168&amp;"|"&amp;G168)</x:f>
      </x:c>
      <x:c r="B168" s="92"/>
      <x:c r="C168" s="94" t="str">
        <x:f>IFERROR(VLOOKUP(B168,'01 Staff Master'!$A$6:$M$105,2,FALSE),"")</x:f>
      </x:c>
      <x:c r="D168" s="94" t="str">
        <x:f>IFERROR(VLOOKUP(B168,'01 Staff Master'!$A$6:$M$105,3,FALSE),"")</x:f>
      </x:c>
      <x:c r="E168" s="94" t="str">
        <x:f>IFERROR(VLOOKUP(B168,'01 Staff Master'!$A$6:$M$105,5,FALSE),"")</x:f>
      </x:c>
      <x:c r="F168" s="94" t="str">
        <x:f>IFERROR(VLOOKUP(B168,'01 Staff Master'!$A$6:$M$105,4,FALSE),"")</x:f>
      </x:c>
      <x:c r="G168" s="92"/>
      <x:c r="H168" s="94" t="str">
        <x:f>IFERROR(VLOOKUP(G168,'02 Skill Catalogue'!$A$6:$K$95,4,FALSE),"")</x:f>
      </x:c>
      <x:c r="I168" s="94" t="str">
        <x:f>IFERROR(VLOOKUP(D168&amp;"|"&amp;E168&amp;"|"&amp;G168,'03 Position Requirements'!$A$6:$R$285,8,FALSE),"")</x:f>
      </x:c>
      <x:c r="J168" s="94" t="str">
        <x:f>IFERROR(VLOOKUP(D168&amp;"|"&amp;E168&amp;"|"&amp;G168,'03 Position Requirements'!$A$6:$R$285,10,FALSE),"")</x:f>
      </x:c>
      <x:c r="K168" s="94" t="str">
        <x:f>IF(OR(B168="",G168=""),"",IF(COUNTIFS('04 Assessment Log'!$D$6:$D$155,B168,'04 Assessment Log'!$J$6:$J$155,G168,'04 Assessment Log'!$AA$6:$AA$155,"Yes")=0,"",SUMIFS('04 Assessment Log'!$O$6:$O$155,'04 Assessment Log'!$D$6:$D$155,B168,'04 Assessment Log'!$J$6:$J$155,G168,'04 Assessment Log'!$AA$6:$AA$155,"Yes")))</x:f>
      </x:c>
      <x:c r="L168" s="94" t="str">
        <x:f>IF(OR(J168="",K168=""),"",MAX(J168-K168,0))</x:f>
      </x:c>
      <x:c r="M168" s="102" t="str">
        <x:f>IF(COUNTIFS('04 Assessment Log'!$D$6:$D$155,B168,'04 Assessment Log'!$J$6:$J$155,G168,'04 Assessment Log'!$AA$6:$AA$155,"Yes")=0,"",SUMIFS('04 Assessment Log'!$B$6:$B$155,'04 Assessment Log'!$D$6:$D$155,B168,'04 Assessment Log'!$J$6:$J$155,G168,'04 Assessment Log'!$AA$6:$AA$155,"Yes"))</x:f>
      </x:c>
      <x:c r="N168" s="102" t="str">
        <x:f>IF(M168="","",SUMIFS('04 Assessment Log'!$Z$6:$Z$155,'04 Assessment Log'!$D$6:$D$155,B168,'04 Assessment Log'!$J$6:$J$155,G168,'04 Assessment Log'!$AA$6:$AA$155,"Yes"))</x:f>
      </x:c>
      <x:c r="O168" s="94" t="str">
        <x:f>IF(M168="","Not Assessed",IF(N168&lt;TODAY(),"Expired",IF(N168&lt;=TODAY()+30,"Due Soon","Current")))</x:f>
        <x:v>Not Assessed</x:v>
      </x:c>
      <x:c r="P168" s="94" t="str">
        <x:f>IF(OR(B168="",G168=""),"",COUNTIFS('05 Development Actions'!$C$6:$C$105,B168,'05 Development Actions'!$G$6:$G$105,G168,'05 Development Actions'!$A$6:$A$105,"&lt;&gt;",'05 Development Actions'!$AB$6:$AB$105,"&lt;&gt;Closed — Competent",'05 Development Actions'!$AB$6:$AB$105,"&lt;&gt;Cancelled"))</x:f>
      </x:c>
      <x:c r="Q168" s="94" t="str">
        <x:f>IF(OR(B168="",G168=""),"",COUNTIFS('11 Training Attendance'!$E$6:$E$155,B168,'11 Training Attendance'!$K$6:$K$155,"Attended",'11 Training Attendance'!$I$6:$I$155,G168))</x:f>
      </x:c>
      <x:c r="R168" s="102" t="str">
        <x:f>IF(Q168=0,"",MAXIFS('11 Training Attendance'!$D$6:$D$155,'11 Training Attendance'!$E$6:$E$155,B168,'11 Training Attendance'!$K$6:$K$155,"Attended",'11 Training Attendance'!$I$6:$I$155,G168))</x:f>
      </x:c>
      <x:c r="S168" s="94" t="str">
        <x:f>IF(OR(B168="",G168=""),"",COUNTIFS('13 Effectiveness Review'!$C$6:$C$155,B168,'13 Effectiveness Review'!$F$6:$F$155,G168,'13 Effectiveness Review'!$X$6:$X$155,"Closed — Effective"))</x:f>
      </x:c>
      <x:c r="T168" s="94" t="str">
        <x:f>IF(B168="","",IF(K168="","Not Assessed",IF(O168="Expired","Renewal Due",IF(L168=0,"Competent","Skill Gap"))))</x:f>
      </x:c>
      <x:c r="U168" s="94" t="str">
        <x:f>IFERROR(VLOOKUP(D168&amp;"|"&amp;E168&amp;"|"&amp;G168,'03 Position Requirements'!$A$6:$R$285,14,FALSE),"")</x:f>
      </x:c>
      <x:c r="V168" s="92"/>
      <x:c r="W168" s="85" t="str">
        <x:f>IF(B168="","",B168&amp;"|"&amp;COUNTIF($B$6:B168,B168))</x:f>
      </x:c>
      <x:c r="X168" s="85" t="str">
        <x:f>IF(B168="","",G168)</x:f>
      </x:c>
      <x:c r="Y168" s="85" t="str">
        <x:f>IF(B168="","",H168)</x:f>
      </x:c>
      <x:c r="Z168" s="85" t="str">
        <x:f>IF(B168="","",I168)</x:f>
      </x:c>
      <x:c r="AA168" s="85" t="str">
        <x:f>IF(B168="","",J168)</x:f>
      </x:c>
      <x:c r="AB168" s="85" t="str">
        <x:f>IF(B168="","",K168)</x:f>
      </x:c>
      <x:c r="AC168" s="85" t="str">
        <x:f>IF(B168="","",L168)</x:f>
      </x:c>
      <x:c r="AD168" s="85" t="str">
        <x:f>IF(B168="","",M168)</x:f>
      </x:c>
      <x:c r="AE168" s="85" t="str">
        <x:f>IF(B168="","",N168)</x:f>
      </x:c>
      <x:c r="AF168" s="85" t="str">
        <x:f>IF(B168="","",O168)</x:f>
      </x:c>
      <x:c r="AG168" s="85" t="str">
        <x:f>IF(B168="","",P168)</x:f>
      </x:c>
      <x:c r="AH168" s="85" t="str">
        <x:f>IF(B168="","",Q168)</x:f>
      </x:c>
      <x:c r="AI168" s="85" t="str">
        <x:f>IF(B168="","",R168)</x:f>
      </x:c>
      <x:c r="AJ168" s="85" t="str">
        <x:f>IF(B168="","",S168)</x:f>
      </x:c>
      <x:c r="AK168" s="85" t="str">
        <x:f>IF(B168="","",T168)</x:f>
      </x:c>
    </x:row>
    <x:row r="169">
      <x:c r="A169" s="94" t="str">
        <x:f>IF(OR(B169="",G169=""),"",B169&amp;"|"&amp;G169)</x:f>
      </x:c>
      <x:c r="B169" s="92"/>
      <x:c r="C169" s="94" t="str">
        <x:f>IFERROR(VLOOKUP(B169,'01 Staff Master'!$A$6:$M$105,2,FALSE),"")</x:f>
      </x:c>
      <x:c r="D169" s="94" t="str">
        <x:f>IFERROR(VLOOKUP(B169,'01 Staff Master'!$A$6:$M$105,3,FALSE),"")</x:f>
      </x:c>
      <x:c r="E169" s="94" t="str">
        <x:f>IFERROR(VLOOKUP(B169,'01 Staff Master'!$A$6:$M$105,5,FALSE),"")</x:f>
      </x:c>
      <x:c r="F169" s="94" t="str">
        <x:f>IFERROR(VLOOKUP(B169,'01 Staff Master'!$A$6:$M$105,4,FALSE),"")</x:f>
      </x:c>
      <x:c r="G169" s="92"/>
      <x:c r="H169" s="94" t="str">
        <x:f>IFERROR(VLOOKUP(G169,'02 Skill Catalogue'!$A$6:$K$95,4,FALSE),"")</x:f>
      </x:c>
      <x:c r="I169" s="94" t="str">
        <x:f>IFERROR(VLOOKUP(D169&amp;"|"&amp;E169&amp;"|"&amp;G169,'03 Position Requirements'!$A$6:$R$285,8,FALSE),"")</x:f>
      </x:c>
      <x:c r="J169" s="94" t="str">
        <x:f>IFERROR(VLOOKUP(D169&amp;"|"&amp;E169&amp;"|"&amp;G169,'03 Position Requirements'!$A$6:$R$285,10,FALSE),"")</x:f>
      </x:c>
      <x:c r="K169" s="94" t="str">
        <x:f>IF(OR(B169="",G169=""),"",IF(COUNTIFS('04 Assessment Log'!$D$6:$D$155,B169,'04 Assessment Log'!$J$6:$J$155,G169,'04 Assessment Log'!$AA$6:$AA$155,"Yes")=0,"",SUMIFS('04 Assessment Log'!$O$6:$O$155,'04 Assessment Log'!$D$6:$D$155,B169,'04 Assessment Log'!$J$6:$J$155,G169,'04 Assessment Log'!$AA$6:$AA$155,"Yes")))</x:f>
      </x:c>
      <x:c r="L169" s="94" t="str">
        <x:f>IF(OR(J169="",K169=""),"",MAX(J169-K169,0))</x:f>
      </x:c>
      <x:c r="M169" s="102" t="str">
        <x:f>IF(COUNTIFS('04 Assessment Log'!$D$6:$D$155,B169,'04 Assessment Log'!$J$6:$J$155,G169,'04 Assessment Log'!$AA$6:$AA$155,"Yes")=0,"",SUMIFS('04 Assessment Log'!$B$6:$B$155,'04 Assessment Log'!$D$6:$D$155,B169,'04 Assessment Log'!$J$6:$J$155,G169,'04 Assessment Log'!$AA$6:$AA$155,"Yes"))</x:f>
      </x:c>
      <x:c r="N169" s="102" t="str">
        <x:f>IF(M169="","",SUMIFS('04 Assessment Log'!$Z$6:$Z$155,'04 Assessment Log'!$D$6:$D$155,B169,'04 Assessment Log'!$J$6:$J$155,G169,'04 Assessment Log'!$AA$6:$AA$155,"Yes"))</x:f>
      </x:c>
      <x:c r="O169" s="94" t="str">
        <x:f>IF(M169="","Not Assessed",IF(N169&lt;TODAY(),"Expired",IF(N169&lt;=TODAY()+30,"Due Soon","Current")))</x:f>
        <x:v>Not Assessed</x:v>
      </x:c>
      <x:c r="P169" s="94" t="str">
        <x:f>IF(OR(B169="",G169=""),"",COUNTIFS('05 Development Actions'!$C$6:$C$105,B169,'05 Development Actions'!$G$6:$G$105,G169,'05 Development Actions'!$A$6:$A$105,"&lt;&gt;",'05 Development Actions'!$AB$6:$AB$105,"&lt;&gt;Closed — Competent",'05 Development Actions'!$AB$6:$AB$105,"&lt;&gt;Cancelled"))</x:f>
      </x:c>
      <x:c r="Q169" s="94" t="str">
        <x:f>IF(OR(B169="",G169=""),"",COUNTIFS('11 Training Attendance'!$E$6:$E$155,B169,'11 Training Attendance'!$K$6:$K$155,"Attended",'11 Training Attendance'!$I$6:$I$155,G169))</x:f>
      </x:c>
      <x:c r="R169" s="102" t="str">
        <x:f>IF(Q169=0,"",MAXIFS('11 Training Attendance'!$D$6:$D$155,'11 Training Attendance'!$E$6:$E$155,B169,'11 Training Attendance'!$K$6:$K$155,"Attended",'11 Training Attendance'!$I$6:$I$155,G169))</x:f>
      </x:c>
      <x:c r="S169" s="94" t="str">
        <x:f>IF(OR(B169="",G169=""),"",COUNTIFS('13 Effectiveness Review'!$C$6:$C$155,B169,'13 Effectiveness Review'!$F$6:$F$155,G169,'13 Effectiveness Review'!$X$6:$X$155,"Closed — Effective"))</x:f>
      </x:c>
      <x:c r="T169" s="94" t="str">
        <x:f>IF(B169="","",IF(K169="","Not Assessed",IF(O169="Expired","Renewal Due",IF(L169=0,"Competent","Skill Gap"))))</x:f>
      </x:c>
      <x:c r="U169" s="94" t="str">
        <x:f>IFERROR(VLOOKUP(D169&amp;"|"&amp;E169&amp;"|"&amp;G169,'03 Position Requirements'!$A$6:$R$285,14,FALSE),"")</x:f>
      </x:c>
      <x:c r="V169" s="92"/>
      <x:c r="W169" s="85" t="str">
        <x:f>IF(B169="","",B169&amp;"|"&amp;COUNTIF($B$6:B169,B169))</x:f>
      </x:c>
      <x:c r="X169" s="85" t="str">
        <x:f>IF(B169="","",G169)</x:f>
      </x:c>
      <x:c r="Y169" s="85" t="str">
        <x:f>IF(B169="","",H169)</x:f>
      </x:c>
      <x:c r="Z169" s="85" t="str">
        <x:f>IF(B169="","",I169)</x:f>
      </x:c>
      <x:c r="AA169" s="85" t="str">
        <x:f>IF(B169="","",J169)</x:f>
      </x:c>
      <x:c r="AB169" s="85" t="str">
        <x:f>IF(B169="","",K169)</x:f>
      </x:c>
      <x:c r="AC169" s="85" t="str">
        <x:f>IF(B169="","",L169)</x:f>
      </x:c>
      <x:c r="AD169" s="85" t="str">
        <x:f>IF(B169="","",M169)</x:f>
      </x:c>
      <x:c r="AE169" s="85" t="str">
        <x:f>IF(B169="","",N169)</x:f>
      </x:c>
      <x:c r="AF169" s="85" t="str">
        <x:f>IF(B169="","",O169)</x:f>
      </x:c>
      <x:c r="AG169" s="85" t="str">
        <x:f>IF(B169="","",P169)</x:f>
      </x:c>
      <x:c r="AH169" s="85" t="str">
        <x:f>IF(B169="","",Q169)</x:f>
      </x:c>
      <x:c r="AI169" s="85" t="str">
        <x:f>IF(B169="","",R169)</x:f>
      </x:c>
      <x:c r="AJ169" s="85" t="str">
        <x:f>IF(B169="","",S169)</x:f>
      </x:c>
      <x:c r="AK169" s="85" t="str">
        <x:f>IF(B169="","",T169)</x:f>
      </x:c>
    </x:row>
    <x:row r="170">
      <x:c r="A170" s="94" t="str">
        <x:f>IF(OR(B170="",G170=""),"",B170&amp;"|"&amp;G170)</x:f>
      </x:c>
      <x:c r="B170" s="92"/>
      <x:c r="C170" s="94" t="str">
        <x:f>IFERROR(VLOOKUP(B170,'01 Staff Master'!$A$6:$M$105,2,FALSE),"")</x:f>
      </x:c>
      <x:c r="D170" s="94" t="str">
        <x:f>IFERROR(VLOOKUP(B170,'01 Staff Master'!$A$6:$M$105,3,FALSE),"")</x:f>
      </x:c>
      <x:c r="E170" s="94" t="str">
        <x:f>IFERROR(VLOOKUP(B170,'01 Staff Master'!$A$6:$M$105,5,FALSE),"")</x:f>
      </x:c>
      <x:c r="F170" s="94" t="str">
        <x:f>IFERROR(VLOOKUP(B170,'01 Staff Master'!$A$6:$M$105,4,FALSE),"")</x:f>
      </x:c>
      <x:c r="G170" s="92"/>
      <x:c r="H170" s="94" t="str">
        <x:f>IFERROR(VLOOKUP(G170,'02 Skill Catalogue'!$A$6:$K$95,4,FALSE),"")</x:f>
      </x:c>
      <x:c r="I170" s="94" t="str">
        <x:f>IFERROR(VLOOKUP(D170&amp;"|"&amp;E170&amp;"|"&amp;G170,'03 Position Requirements'!$A$6:$R$285,8,FALSE),"")</x:f>
      </x:c>
      <x:c r="J170" s="94" t="str">
        <x:f>IFERROR(VLOOKUP(D170&amp;"|"&amp;E170&amp;"|"&amp;G170,'03 Position Requirements'!$A$6:$R$285,10,FALSE),"")</x:f>
      </x:c>
      <x:c r="K170" s="94" t="str">
        <x:f>IF(OR(B170="",G170=""),"",IF(COUNTIFS('04 Assessment Log'!$D$6:$D$155,B170,'04 Assessment Log'!$J$6:$J$155,G170,'04 Assessment Log'!$AA$6:$AA$155,"Yes")=0,"",SUMIFS('04 Assessment Log'!$O$6:$O$155,'04 Assessment Log'!$D$6:$D$155,B170,'04 Assessment Log'!$J$6:$J$155,G170,'04 Assessment Log'!$AA$6:$AA$155,"Yes")))</x:f>
      </x:c>
      <x:c r="L170" s="94" t="str">
        <x:f>IF(OR(J170="",K170=""),"",MAX(J170-K170,0))</x:f>
      </x:c>
      <x:c r="M170" s="102" t="str">
        <x:f>IF(COUNTIFS('04 Assessment Log'!$D$6:$D$155,B170,'04 Assessment Log'!$J$6:$J$155,G170,'04 Assessment Log'!$AA$6:$AA$155,"Yes")=0,"",SUMIFS('04 Assessment Log'!$B$6:$B$155,'04 Assessment Log'!$D$6:$D$155,B170,'04 Assessment Log'!$J$6:$J$155,G170,'04 Assessment Log'!$AA$6:$AA$155,"Yes"))</x:f>
      </x:c>
      <x:c r="N170" s="102" t="str">
        <x:f>IF(M170="","",SUMIFS('04 Assessment Log'!$Z$6:$Z$155,'04 Assessment Log'!$D$6:$D$155,B170,'04 Assessment Log'!$J$6:$J$155,G170,'04 Assessment Log'!$AA$6:$AA$155,"Yes"))</x:f>
      </x:c>
      <x:c r="O170" s="94" t="str">
        <x:f>IF(M170="","Not Assessed",IF(N170&lt;TODAY(),"Expired",IF(N170&lt;=TODAY()+30,"Due Soon","Current")))</x:f>
        <x:v>Not Assessed</x:v>
      </x:c>
      <x:c r="P170" s="94" t="str">
        <x:f>IF(OR(B170="",G170=""),"",COUNTIFS('05 Development Actions'!$C$6:$C$105,B170,'05 Development Actions'!$G$6:$G$105,G170,'05 Development Actions'!$A$6:$A$105,"&lt;&gt;",'05 Development Actions'!$AB$6:$AB$105,"&lt;&gt;Closed — Competent",'05 Development Actions'!$AB$6:$AB$105,"&lt;&gt;Cancelled"))</x:f>
      </x:c>
      <x:c r="Q170" s="94" t="str">
        <x:f>IF(OR(B170="",G170=""),"",COUNTIFS('11 Training Attendance'!$E$6:$E$155,B170,'11 Training Attendance'!$K$6:$K$155,"Attended",'11 Training Attendance'!$I$6:$I$155,G170))</x:f>
      </x:c>
      <x:c r="R170" s="102" t="str">
        <x:f>IF(Q170=0,"",MAXIFS('11 Training Attendance'!$D$6:$D$155,'11 Training Attendance'!$E$6:$E$155,B170,'11 Training Attendance'!$K$6:$K$155,"Attended",'11 Training Attendance'!$I$6:$I$155,G170))</x:f>
      </x:c>
      <x:c r="S170" s="94" t="str">
        <x:f>IF(OR(B170="",G170=""),"",COUNTIFS('13 Effectiveness Review'!$C$6:$C$155,B170,'13 Effectiveness Review'!$F$6:$F$155,G170,'13 Effectiveness Review'!$X$6:$X$155,"Closed — Effective"))</x:f>
      </x:c>
      <x:c r="T170" s="94" t="str">
        <x:f>IF(B170="","",IF(K170="","Not Assessed",IF(O170="Expired","Renewal Due",IF(L170=0,"Competent","Skill Gap"))))</x:f>
      </x:c>
      <x:c r="U170" s="94" t="str">
        <x:f>IFERROR(VLOOKUP(D170&amp;"|"&amp;E170&amp;"|"&amp;G170,'03 Position Requirements'!$A$6:$R$285,14,FALSE),"")</x:f>
      </x:c>
      <x:c r="V170" s="92"/>
      <x:c r="W170" s="85" t="str">
        <x:f>IF(B170="","",B170&amp;"|"&amp;COUNTIF($B$6:B170,B170))</x:f>
      </x:c>
      <x:c r="X170" s="85" t="str">
        <x:f>IF(B170="","",G170)</x:f>
      </x:c>
      <x:c r="Y170" s="85" t="str">
        <x:f>IF(B170="","",H170)</x:f>
      </x:c>
      <x:c r="Z170" s="85" t="str">
        <x:f>IF(B170="","",I170)</x:f>
      </x:c>
      <x:c r="AA170" s="85" t="str">
        <x:f>IF(B170="","",J170)</x:f>
      </x:c>
      <x:c r="AB170" s="85" t="str">
        <x:f>IF(B170="","",K170)</x:f>
      </x:c>
      <x:c r="AC170" s="85" t="str">
        <x:f>IF(B170="","",L170)</x:f>
      </x:c>
      <x:c r="AD170" s="85" t="str">
        <x:f>IF(B170="","",M170)</x:f>
      </x:c>
      <x:c r="AE170" s="85" t="str">
        <x:f>IF(B170="","",N170)</x:f>
      </x:c>
      <x:c r="AF170" s="85" t="str">
        <x:f>IF(B170="","",O170)</x:f>
      </x:c>
      <x:c r="AG170" s="85" t="str">
        <x:f>IF(B170="","",P170)</x:f>
      </x:c>
      <x:c r="AH170" s="85" t="str">
        <x:f>IF(B170="","",Q170)</x:f>
      </x:c>
      <x:c r="AI170" s="85" t="str">
        <x:f>IF(B170="","",R170)</x:f>
      </x:c>
      <x:c r="AJ170" s="85" t="str">
        <x:f>IF(B170="","",S170)</x:f>
      </x:c>
      <x:c r="AK170" s="85" t="str">
        <x:f>IF(B170="","",T170)</x:f>
      </x:c>
    </x:row>
    <x:row r="171">
      <x:c r="A171" s="94" t="str">
        <x:f>IF(OR(B171="",G171=""),"",B171&amp;"|"&amp;G171)</x:f>
      </x:c>
      <x:c r="B171" s="92"/>
      <x:c r="C171" s="94" t="str">
        <x:f>IFERROR(VLOOKUP(B171,'01 Staff Master'!$A$6:$M$105,2,FALSE),"")</x:f>
      </x:c>
      <x:c r="D171" s="94" t="str">
        <x:f>IFERROR(VLOOKUP(B171,'01 Staff Master'!$A$6:$M$105,3,FALSE),"")</x:f>
      </x:c>
      <x:c r="E171" s="94" t="str">
        <x:f>IFERROR(VLOOKUP(B171,'01 Staff Master'!$A$6:$M$105,5,FALSE),"")</x:f>
      </x:c>
      <x:c r="F171" s="94" t="str">
        <x:f>IFERROR(VLOOKUP(B171,'01 Staff Master'!$A$6:$M$105,4,FALSE),"")</x:f>
      </x:c>
      <x:c r="G171" s="92"/>
      <x:c r="H171" s="94" t="str">
        <x:f>IFERROR(VLOOKUP(G171,'02 Skill Catalogue'!$A$6:$K$95,4,FALSE),"")</x:f>
      </x:c>
      <x:c r="I171" s="94" t="str">
        <x:f>IFERROR(VLOOKUP(D171&amp;"|"&amp;E171&amp;"|"&amp;G171,'03 Position Requirements'!$A$6:$R$285,8,FALSE),"")</x:f>
      </x:c>
      <x:c r="J171" s="94" t="str">
        <x:f>IFERROR(VLOOKUP(D171&amp;"|"&amp;E171&amp;"|"&amp;G171,'03 Position Requirements'!$A$6:$R$285,10,FALSE),"")</x:f>
      </x:c>
      <x:c r="K171" s="94" t="str">
        <x:f>IF(OR(B171="",G171=""),"",IF(COUNTIFS('04 Assessment Log'!$D$6:$D$155,B171,'04 Assessment Log'!$J$6:$J$155,G171,'04 Assessment Log'!$AA$6:$AA$155,"Yes")=0,"",SUMIFS('04 Assessment Log'!$O$6:$O$155,'04 Assessment Log'!$D$6:$D$155,B171,'04 Assessment Log'!$J$6:$J$155,G171,'04 Assessment Log'!$AA$6:$AA$155,"Yes")))</x:f>
      </x:c>
      <x:c r="L171" s="94" t="str">
        <x:f>IF(OR(J171="",K171=""),"",MAX(J171-K171,0))</x:f>
      </x:c>
      <x:c r="M171" s="102" t="str">
        <x:f>IF(COUNTIFS('04 Assessment Log'!$D$6:$D$155,B171,'04 Assessment Log'!$J$6:$J$155,G171,'04 Assessment Log'!$AA$6:$AA$155,"Yes")=0,"",SUMIFS('04 Assessment Log'!$B$6:$B$155,'04 Assessment Log'!$D$6:$D$155,B171,'04 Assessment Log'!$J$6:$J$155,G171,'04 Assessment Log'!$AA$6:$AA$155,"Yes"))</x:f>
      </x:c>
      <x:c r="N171" s="102" t="str">
        <x:f>IF(M171="","",SUMIFS('04 Assessment Log'!$Z$6:$Z$155,'04 Assessment Log'!$D$6:$D$155,B171,'04 Assessment Log'!$J$6:$J$155,G171,'04 Assessment Log'!$AA$6:$AA$155,"Yes"))</x:f>
      </x:c>
      <x:c r="O171" s="94" t="str">
        <x:f>IF(M171="","Not Assessed",IF(N171&lt;TODAY(),"Expired",IF(N171&lt;=TODAY()+30,"Due Soon","Current")))</x:f>
        <x:v>Not Assessed</x:v>
      </x:c>
      <x:c r="P171" s="94" t="str">
        <x:f>IF(OR(B171="",G171=""),"",COUNTIFS('05 Development Actions'!$C$6:$C$105,B171,'05 Development Actions'!$G$6:$G$105,G171,'05 Development Actions'!$A$6:$A$105,"&lt;&gt;",'05 Development Actions'!$AB$6:$AB$105,"&lt;&gt;Closed — Competent",'05 Development Actions'!$AB$6:$AB$105,"&lt;&gt;Cancelled"))</x:f>
      </x:c>
      <x:c r="Q171" s="94" t="str">
        <x:f>IF(OR(B171="",G171=""),"",COUNTIFS('11 Training Attendance'!$E$6:$E$155,B171,'11 Training Attendance'!$K$6:$K$155,"Attended",'11 Training Attendance'!$I$6:$I$155,G171))</x:f>
      </x:c>
      <x:c r="R171" s="102" t="str">
        <x:f>IF(Q171=0,"",MAXIFS('11 Training Attendance'!$D$6:$D$155,'11 Training Attendance'!$E$6:$E$155,B171,'11 Training Attendance'!$K$6:$K$155,"Attended",'11 Training Attendance'!$I$6:$I$155,G171))</x:f>
      </x:c>
      <x:c r="S171" s="94" t="str">
        <x:f>IF(OR(B171="",G171=""),"",COUNTIFS('13 Effectiveness Review'!$C$6:$C$155,B171,'13 Effectiveness Review'!$F$6:$F$155,G171,'13 Effectiveness Review'!$X$6:$X$155,"Closed — Effective"))</x:f>
      </x:c>
      <x:c r="T171" s="94" t="str">
        <x:f>IF(B171="","",IF(K171="","Not Assessed",IF(O171="Expired","Renewal Due",IF(L171=0,"Competent","Skill Gap"))))</x:f>
      </x:c>
      <x:c r="U171" s="94" t="str">
        <x:f>IFERROR(VLOOKUP(D171&amp;"|"&amp;E171&amp;"|"&amp;G171,'03 Position Requirements'!$A$6:$R$285,14,FALSE),"")</x:f>
      </x:c>
      <x:c r="V171" s="92"/>
      <x:c r="W171" s="85" t="str">
        <x:f>IF(B171="","",B171&amp;"|"&amp;COUNTIF($B$6:B171,B171))</x:f>
      </x:c>
      <x:c r="X171" s="85" t="str">
        <x:f>IF(B171="","",G171)</x:f>
      </x:c>
      <x:c r="Y171" s="85" t="str">
        <x:f>IF(B171="","",H171)</x:f>
      </x:c>
      <x:c r="Z171" s="85" t="str">
        <x:f>IF(B171="","",I171)</x:f>
      </x:c>
      <x:c r="AA171" s="85" t="str">
        <x:f>IF(B171="","",J171)</x:f>
      </x:c>
      <x:c r="AB171" s="85" t="str">
        <x:f>IF(B171="","",K171)</x:f>
      </x:c>
      <x:c r="AC171" s="85" t="str">
        <x:f>IF(B171="","",L171)</x:f>
      </x:c>
      <x:c r="AD171" s="85" t="str">
        <x:f>IF(B171="","",M171)</x:f>
      </x:c>
      <x:c r="AE171" s="85" t="str">
        <x:f>IF(B171="","",N171)</x:f>
      </x:c>
      <x:c r="AF171" s="85" t="str">
        <x:f>IF(B171="","",O171)</x:f>
      </x:c>
      <x:c r="AG171" s="85" t="str">
        <x:f>IF(B171="","",P171)</x:f>
      </x:c>
      <x:c r="AH171" s="85" t="str">
        <x:f>IF(B171="","",Q171)</x:f>
      </x:c>
      <x:c r="AI171" s="85" t="str">
        <x:f>IF(B171="","",R171)</x:f>
      </x:c>
      <x:c r="AJ171" s="85" t="str">
        <x:f>IF(B171="","",S171)</x:f>
      </x:c>
      <x:c r="AK171" s="85" t="str">
        <x:f>IF(B171="","",T171)</x:f>
      </x:c>
    </x:row>
    <x:row r="172">
      <x:c r="A172" s="94" t="str">
        <x:f>IF(OR(B172="",G172=""),"",B172&amp;"|"&amp;G172)</x:f>
      </x:c>
      <x:c r="B172" s="92"/>
      <x:c r="C172" s="94" t="str">
        <x:f>IFERROR(VLOOKUP(B172,'01 Staff Master'!$A$6:$M$105,2,FALSE),"")</x:f>
      </x:c>
      <x:c r="D172" s="94" t="str">
        <x:f>IFERROR(VLOOKUP(B172,'01 Staff Master'!$A$6:$M$105,3,FALSE),"")</x:f>
      </x:c>
      <x:c r="E172" s="94" t="str">
        <x:f>IFERROR(VLOOKUP(B172,'01 Staff Master'!$A$6:$M$105,5,FALSE),"")</x:f>
      </x:c>
      <x:c r="F172" s="94" t="str">
        <x:f>IFERROR(VLOOKUP(B172,'01 Staff Master'!$A$6:$M$105,4,FALSE),"")</x:f>
      </x:c>
      <x:c r="G172" s="92"/>
      <x:c r="H172" s="94" t="str">
        <x:f>IFERROR(VLOOKUP(G172,'02 Skill Catalogue'!$A$6:$K$95,4,FALSE),"")</x:f>
      </x:c>
      <x:c r="I172" s="94" t="str">
        <x:f>IFERROR(VLOOKUP(D172&amp;"|"&amp;E172&amp;"|"&amp;G172,'03 Position Requirements'!$A$6:$R$285,8,FALSE),"")</x:f>
      </x:c>
      <x:c r="J172" s="94" t="str">
        <x:f>IFERROR(VLOOKUP(D172&amp;"|"&amp;E172&amp;"|"&amp;G172,'03 Position Requirements'!$A$6:$R$285,10,FALSE),"")</x:f>
      </x:c>
      <x:c r="K172" s="94" t="str">
        <x:f>IF(OR(B172="",G172=""),"",IF(COUNTIFS('04 Assessment Log'!$D$6:$D$155,B172,'04 Assessment Log'!$J$6:$J$155,G172,'04 Assessment Log'!$AA$6:$AA$155,"Yes")=0,"",SUMIFS('04 Assessment Log'!$O$6:$O$155,'04 Assessment Log'!$D$6:$D$155,B172,'04 Assessment Log'!$J$6:$J$155,G172,'04 Assessment Log'!$AA$6:$AA$155,"Yes")))</x:f>
      </x:c>
      <x:c r="L172" s="94" t="str">
        <x:f>IF(OR(J172="",K172=""),"",MAX(J172-K172,0))</x:f>
      </x:c>
      <x:c r="M172" s="102" t="str">
        <x:f>IF(COUNTIFS('04 Assessment Log'!$D$6:$D$155,B172,'04 Assessment Log'!$J$6:$J$155,G172,'04 Assessment Log'!$AA$6:$AA$155,"Yes")=0,"",SUMIFS('04 Assessment Log'!$B$6:$B$155,'04 Assessment Log'!$D$6:$D$155,B172,'04 Assessment Log'!$J$6:$J$155,G172,'04 Assessment Log'!$AA$6:$AA$155,"Yes"))</x:f>
      </x:c>
      <x:c r="N172" s="102" t="str">
        <x:f>IF(M172="","",SUMIFS('04 Assessment Log'!$Z$6:$Z$155,'04 Assessment Log'!$D$6:$D$155,B172,'04 Assessment Log'!$J$6:$J$155,G172,'04 Assessment Log'!$AA$6:$AA$155,"Yes"))</x:f>
      </x:c>
      <x:c r="O172" s="94" t="str">
        <x:f>IF(M172="","Not Assessed",IF(N172&lt;TODAY(),"Expired",IF(N172&lt;=TODAY()+30,"Due Soon","Current")))</x:f>
        <x:v>Not Assessed</x:v>
      </x:c>
      <x:c r="P172" s="94" t="str">
        <x:f>IF(OR(B172="",G172=""),"",COUNTIFS('05 Development Actions'!$C$6:$C$105,B172,'05 Development Actions'!$G$6:$G$105,G172,'05 Development Actions'!$A$6:$A$105,"&lt;&gt;",'05 Development Actions'!$AB$6:$AB$105,"&lt;&gt;Closed — Competent",'05 Development Actions'!$AB$6:$AB$105,"&lt;&gt;Cancelled"))</x:f>
      </x:c>
      <x:c r="Q172" s="94" t="str">
        <x:f>IF(OR(B172="",G172=""),"",COUNTIFS('11 Training Attendance'!$E$6:$E$155,B172,'11 Training Attendance'!$K$6:$K$155,"Attended",'11 Training Attendance'!$I$6:$I$155,G172))</x:f>
      </x:c>
      <x:c r="R172" s="102" t="str">
        <x:f>IF(Q172=0,"",MAXIFS('11 Training Attendance'!$D$6:$D$155,'11 Training Attendance'!$E$6:$E$155,B172,'11 Training Attendance'!$K$6:$K$155,"Attended",'11 Training Attendance'!$I$6:$I$155,G172))</x:f>
      </x:c>
      <x:c r="S172" s="94" t="str">
        <x:f>IF(OR(B172="",G172=""),"",COUNTIFS('13 Effectiveness Review'!$C$6:$C$155,B172,'13 Effectiveness Review'!$F$6:$F$155,G172,'13 Effectiveness Review'!$X$6:$X$155,"Closed — Effective"))</x:f>
      </x:c>
      <x:c r="T172" s="94" t="str">
        <x:f>IF(B172="","",IF(K172="","Not Assessed",IF(O172="Expired","Renewal Due",IF(L172=0,"Competent","Skill Gap"))))</x:f>
      </x:c>
      <x:c r="U172" s="94" t="str">
        <x:f>IFERROR(VLOOKUP(D172&amp;"|"&amp;E172&amp;"|"&amp;G172,'03 Position Requirements'!$A$6:$R$285,14,FALSE),"")</x:f>
      </x:c>
      <x:c r="V172" s="92"/>
      <x:c r="W172" s="85" t="str">
        <x:f>IF(B172="","",B172&amp;"|"&amp;COUNTIF($B$6:B172,B172))</x:f>
      </x:c>
      <x:c r="X172" s="85" t="str">
        <x:f>IF(B172="","",G172)</x:f>
      </x:c>
      <x:c r="Y172" s="85" t="str">
        <x:f>IF(B172="","",H172)</x:f>
      </x:c>
      <x:c r="Z172" s="85" t="str">
        <x:f>IF(B172="","",I172)</x:f>
      </x:c>
      <x:c r="AA172" s="85" t="str">
        <x:f>IF(B172="","",J172)</x:f>
      </x:c>
      <x:c r="AB172" s="85" t="str">
        <x:f>IF(B172="","",K172)</x:f>
      </x:c>
      <x:c r="AC172" s="85" t="str">
        <x:f>IF(B172="","",L172)</x:f>
      </x:c>
      <x:c r="AD172" s="85" t="str">
        <x:f>IF(B172="","",M172)</x:f>
      </x:c>
      <x:c r="AE172" s="85" t="str">
        <x:f>IF(B172="","",N172)</x:f>
      </x:c>
      <x:c r="AF172" s="85" t="str">
        <x:f>IF(B172="","",O172)</x:f>
      </x:c>
      <x:c r="AG172" s="85" t="str">
        <x:f>IF(B172="","",P172)</x:f>
      </x:c>
      <x:c r="AH172" s="85" t="str">
        <x:f>IF(B172="","",Q172)</x:f>
      </x:c>
      <x:c r="AI172" s="85" t="str">
        <x:f>IF(B172="","",R172)</x:f>
      </x:c>
      <x:c r="AJ172" s="85" t="str">
        <x:f>IF(B172="","",S172)</x:f>
      </x:c>
      <x:c r="AK172" s="85" t="str">
        <x:f>IF(B172="","",T172)</x:f>
      </x:c>
    </x:row>
    <x:row r="173">
      <x:c r="A173" s="94" t="str">
        <x:f>IF(OR(B173="",G173=""),"",B173&amp;"|"&amp;G173)</x:f>
      </x:c>
      <x:c r="B173" s="92"/>
      <x:c r="C173" s="94" t="str">
        <x:f>IFERROR(VLOOKUP(B173,'01 Staff Master'!$A$6:$M$105,2,FALSE),"")</x:f>
      </x:c>
      <x:c r="D173" s="94" t="str">
        <x:f>IFERROR(VLOOKUP(B173,'01 Staff Master'!$A$6:$M$105,3,FALSE),"")</x:f>
      </x:c>
      <x:c r="E173" s="94" t="str">
        <x:f>IFERROR(VLOOKUP(B173,'01 Staff Master'!$A$6:$M$105,5,FALSE),"")</x:f>
      </x:c>
      <x:c r="F173" s="94" t="str">
        <x:f>IFERROR(VLOOKUP(B173,'01 Staff Master'!$A$6:$M$105,4,FALSE),"")</x:f>
      </x:c>
      <x:c r="G173" s="92"/>
      <x:c r="H173" s="94" t="str">
        <x:f>IFERROR(VLOOKUP(G173,'02 Skill Catalogue'!$A$6:$K$95,4,FALSE),"")</x:f>
      </x:c>
      <x:c r="I173" s="94" t="str">
        <x:f>IFERROR(VLOOKUP(D173&amp;"|"&amp;E173&amp;"|"&amp;G173,'03 Position Requirements'!$A$6:$R$285,8,FALSE),"")</x:f>
      </x:c>
      <x:c r="J173" s="94" t="str">
        <x:f>IFERROR(VLOOKUP(D173&amp;"|"&amp;E173&amp;"|"&amp;G173,'03 Position Requirements'!$A$6:$R$285,10,FALSE),"")</x:f>
      </x:c>
      <x:c r="K173" s="94" t="str">
        <x:f>IF(OR(B173="",G173=""),"",IF(COUNTIFS('04 Assessment Log'!$D$6:$D$155,B173,'04 Assessment Log'!$J$6:$J$155,G173,'04 Assessment Log'!$AA$6:$AA$155,"Yes")=0,"",SUMIFS('04 Assessment Log'!$O$6:$O$155,'04 Assessment Log'!$D$6:$D$155,B173,'04 Assessment Log'!$J$6:$J$155,G173,'04 Assessment Log'!$AA$6:$AA$155,"Yes")))</x:f>
      </x:c>
      <x:c r="L173" s="94" t="str">
        <x:f>IF(OR(J173="",K173=""),"",MAX(J173-K173,0))</x:f>
      </x:c>
      <x:c r="M173" s="102" t="str">
        <x:f>IF(COUNTIFS('04 Assessment Log'!$D$6:$D$155,B173,'04 Assessment Log'!$J$6:$J$155,G173,'04 Assessment Log'!$AA$6:$AA$155,"Yes")=0,"",SUMIFS('04 Assessment Log'!$B$6:$B$155,'04 Assessment Log'!$D$6:$D$155,B173,'04 Assessment Log'!$J$6:$J$155,G173,'04 Assessment Log'!$AA$6:$AA$155,"Yes"))</x:f>
      </x:c>
      <x:c r="N173" s="102" t="str">
        <x:f>IF(M173="","",SUMIFS('04 Assessment Log'!$Z$6:$Z$155,'04 Assessment Log'!$D$6:$D$155,B173,'04 Assessment Log'!$J$6:$J$155,G173,'04 Assessment Log'!$AA$6:$AA$155,"Yes"))</x:f>
      </x:c>
      <x:c r="O173" s="94" t="str">
        <x:f>IF(M173="","Not Assessed",IF(N173&lt;TODAY(),"Expired",IF(N173&lt;=TODAY()+30,"Due Soon","Current")))</x:f>
        <x:v>Not Assessed</x:v>
      </x:c>
      <x:c r="P173" s="94" t="str">
        <x:f>IF(OR(B173="",G173=""),"",COUNTIFS('05 Development Actions'!$C$6:$C$105,B173,'05 Development Actions'!$G$6:$G$105,G173,'05 Development Actions'!$A$6:$A$105,"&lt;&gt;",'05 Development Actions'!$AB$6:$AB$105,"&lt;&gt;Closed — Competent",'05 Development Actions'!$AB$6:$AB$105,"&lt;&gt;Cancelled"))</x:f>
      </x:c>
      <x:c r="Q173" s="94" t="str">
        <x:f>IF(OR(B173="",G173=""),"",COUNTIFS('11 Training Attendance'!$E$6:$E$155,B173,'11 Training Attendance'!$K$6:$K$155,"Attended",'11 Training Attendance'!$I$6:$I$155,G173))</x:f>
      </x:c>
      <x:c r="R173" s="102" t="str">
        <x:f>IF(Q173=0,"",MAXIFS('11 Training Attendance'!$D$6:$D$155,'11 Training Attendance'!$E$6:$E$155,B173,'11 Training Attendance'!$K$6:$K$155,"Attended",'11 Training Attendance'!$I$6:$I$155,G173))</x:f>
      </x:c>
      <x:c r="S173" s="94" t="str">
        <x:f>IF(OR(B173="",G173=""),"",COUNTIFS('13 Effectiveness Review'!$C$6:$C$155,B173,'13 Effectiveness Review'!$F$6:$F$155,G173,'13 Effectiveness Review'!$X$6:$X$155,"Closed — Effective"))</x:f>
      </x:c>
      <x:c r="T173" s="94" t="str">
        <x:f>IF(B173="","",IF(K173="","Not Assessed",IF(O173="Expired","Renewal Due",IF(L173=0,"Competent","Skill Gap"))))</x:f>
      </x:c>
      <x:c r="U173" s="94" t="str">
        <x:f>IFERROR(VLOOKUP(D173&amp;"|"&amp;E173&amp;"|"&amp;G173,'03 Position Requirements'!$A$6:$R$285,14,FALSE),"")</x:f>
      </x:c>
      <x:c r="V173" s="92"/>
      <x:c r="W173" s="85" t="str">
        <x:f>IF(B173="","",B173&amp;"|"&amp;COUNTIF($B$6:B173,B173))</x:f>
      </x:c>
      <x:c r="X173" s="85" t="str">
        <x:f>IF(B173="","",G173)</x:f>
      </x:c>
      <x:c r="Y173" s="85" t="str">
        <x:f>IF(B173="","",H173)</x:f>
      </x:c>
      <x:c r="Z173" s="85" t="str">
        <x:f>IF(B173="","",I173)</x:f>
      </x:c>
      <x:c r="AA173" s="85" t="str">
        <x:f>IF(B173="","",J173)</x:f>
      </x:c>
      <x:c r="AB173" s="85" t="str">
        <x:f>IF(B173="","",K173)</x:f>
      </x:c>
      <x:c r="AC173" s="85" t="str">
        <x:f>IF(B173="","",L173)</x:f>
      </x:c>
      <x:c r="AD173" s="85" t="str">
        <x:f>IF(B173="","",M173)</x:f>
      </x:c>
      <x:c r="AE173" s="85" t="str">
        <x:f>IF(B173="","",N173)</x:f>
      </x:c>
      <x:c r="AF173" s="85" t="str">
        <x:f>IF(B173="","",O173)</x:f>
      </x:c>
      <x:c r="AG173" s="85" t="str">
        <x:f>IF(B173="","",P173)</x:f>
      </x:c>
      <x:c r="AH173" s="85" t="str">
        <x:f>IF(B173="","",Q173)</x:f>
      </x:c>
      <x:c r="AI173" s="85" t="str">
        <x:f>IF(B173="","",R173)</x:f>
      </x:c>
      <x:c r="AJ173" s="85" t="str">
        <x:f>IF(B173="","",S173)</x:f>
      </x:c>
      <x:c r="AK173" s="85" t="str">
        <x:f>IF(B173="","",T173)</x:f>
      </x:c>
    </x:row>
    <x:row r="174">
      <x:c r="A174" s="94" t="str">
        <x:f>IF(OR(B174="",G174=""),"",B174&amp;"|"&amp;G174)</x:f>
      </x:c>
      <x:c r="B174" s="92"/>
      <x:c r="C174" s="94" t="str">
        <x:f>IFERROR(VLOOKUP(B174,'01 Staff Master'!$A$6:$M$105,2,FALSE),"")</x:f>
      </x:c>
      <x:c r="D174" s="94" t="str">
        <x:f>IFERROR(VLOOKUP(B174,'01 Staff Master'!$A$6:$M$105,3,FALSE),"")</x:f>
      </x:c>
      <x:c r="E174" s="94" t="str">
        <x:f>IFERROR(VLOOKUP(B174,'01 Staff Master'!$A$6:$M$105,5,FALSE),"")</x:f>
      </x:c>
      <x:c r="F174" s="94" t="str">
        <x:f>IFERROR(VLOOKUP(B174,'01 Staff Master'!$A$6:$M$105,4,FALSE),"")</x:f>
      </x:c>
      <x:c r="G174" s="92"/>
      <x:c r="H174" s="94" t="str">
        <x:f>IFERROR(VLOOKUP(G174,'02 Skill Catalogue'!$A$6:$K$95,4,FALSE),"")</x:f>
      </x:c>
      <x:c r="I174" s="94" t="str">
        <x:f>IFERROR(VLOOKUP(D174&amp;"|"&amp;E174&amp;"|"&amp;G174,'03 Position Requirements'!$A$6:$R$285,8,FALSE),"")</x:f>
      </x:c>
      <x:c r="J174" s="94" t="str">
        <x:f>IFERROR(VLOOKUP(D174&amp;"|"&amp;E174&amp;"|"&amp;G174,'03 Position Requirements'!$A$6:$R$285,10,FALSE),"")</x:f>
      </x:c>
      <x:c r="K174" s="94" t="str">
        <x:f>IF(OR(B174="",G174=""),"",IF(COUNTIFS('04 Assessment Log'!$D$6:$D$155,B174,'04 Assessment Log'!$J$6:$J$155,G174,'04 Assessment Log'!$AA$6:$AA$155,"Yes")=0,"",SUMIFS('04 Assessment Log'!$O$6:$O$155,'04 Assessment Log'!$D$6:$D$155,B174,'04 Assessment Log'!$J$6:$J$155,G174,'04 Assessment Log'!$AA$6:$AA$155,"Yes")))</x:f>
      </x:c>
      <x:c r="L174" s="94" t="str">
        <x:f>IF(OR(J174="",K174=""),"",MAX(J174-K174,0))</x:f>
      </x:c>
      <x:c r="M174" s="102" t="str">
        <x:f>IF(COUNTIFS('04 Assessment Log'!$D$6:$D$155,B174,'04 Assessment Log'!$J$6:$J$155,G174,'04 Assessment Log'!$AA$6:$AA$155,"Yes")=0,"",SUMIFS('04 Assessment Log'!$B$6:$B$155,'04 Assessment Log'!$D$6:$D$155,B174,'04 Assessment Log'!$J$6:$J$155,G174,'04 Assessment Log'!$AA$6:$AA$155,"Yes"))</x:f>
      </x:c>
      <x:c r="N174" s="102" t="str">
        <x:f>IF(M174="","",SUMIFS('04 Assessment Log'!$Z$6:$Z$155,'04 Assessment Log'!$D$6:$D$155,B174,'04 Assessment Log'!$J$6:$J$155,G174,'04 Assessment Log'!$AA$6:$AA$155,"Yes"))</x:f>
      </x:c>
      <x:c r="O174" s="94" t="str">
        <x:f>IF(M174="","Not Assessed",IF(N174&lt;TODAY(),"Expired",IF(N174&lt;=TODAY()+30,"Due Soon","Current")))</x:f>
        <x:v>Not Assessed</x:v>
      </x:c>
      <x:c r="P174" s="94" t="str">
        <x:f>IF(OR(B174="",G174=""),"",COUNTIFS('05 Development Actions'!$C$6:$C$105,B174,'05 Development Actions'!$G$6:$G$105,G174,'05 Development Actions'!$A$6:$A$105,"&lt;&gt;",'05 Development Actions'!$AB$6:$AB$105,"&lt;&gt;Closed — Competent",'05 Development Actions'!$AB$6:$AB$105,"&lt;&gt;Cancelled"))</x:f>
      </x:c>
      <x:c r="Q174" s="94" t="str">
        <x:f>IF(OR(B174="",G174=""),"",COUNTIFS('11 Training Attendance'!$E$6:$E$155,B174,'11 Training Attendance'!$K$6:$K$155,"Attended",'11 Training Attendance'!$I$6:$I$155,G174))</x:f>
      </x:c>
      <x:c r="R174" s="102" t="str">
        <x:f>IF(Q174=0,"",MAXIFS('11 Training Attendance'!$D$6:$D$155,'11 Training Attendance'!$E$6:$E$155,B174,'11 Training Attendance'!$K$6:$K$155,"Attended",'11 Training Attendance'!$I$6:$I$155,G174))</x:f>
      </x:c>
      <x:c r="S174" s="94" t="str">
        <x:f>IF(OR(B174="",G174=""),"",COUNTIFS('13 Effectiveness Review'!$C$6:$C$155,B174,'13 Effectiveness Review'!$F$6:$F$155,G174,'13 Effectiveness Review'!$X$6:$X$155,"Closed — Effective"))</x:f>
      </x:c>
      <x:c r="T174" s="94" t="str">
        <x:f>IF(B174="","",IF(K174="","Not Assessed",IF(O174="Expired","Renewal Due",IF(L174=0,"Competent","Skill Gap"))))</x:f>
      </x:c>
      <x:c r="U174" s="94" t="str">
        <x:f>IFERROR(VLOOKUP(D174&amp;"|"&amp;E174&amp;"|"&amp;G174,'03 Position Requirements'!$A$6:$R$285,14,FALSE),"")</x:f>
      </x:c>
      <x:c r="V174" s="92"/>
      <x:c r="W174" s="85" t="str">
        <x:f>IF(B174="","",B174&amp;"|"&amp;COUNTIF($B$6:B174,B174))</x:f>
      </x:c>
      <x:c r="X174" s="85" t="str">
        <x:f>IF(B174="","",G174)</x:f>
      </x:c>
      <x:c r="Y174" s="85" t="str">
        <x:f>IF(B174="","",H174)</x:f>
      </x:c>
      <x:c r="Z174" s="85" t="str">
        <x:f>IF(B174="","",I174)</x:f>
      </x:c>
      <x:c r="AA174" s="85" t="str">
        <x:f>IF(B174="","",J174)</x:f>
      </x:c>
      <x:c r="AB174" s="85" t="str">
        <x:f>IF(B174="","",K174)</x:f>
      </x:c>
      <x:c r="AC174" s="85" t="str">
        <x:f>IF(B174="","",L174)</x:f>
      </x:c>
      <x:c r="AD174" s="85" t="str">
        <x:f>IF(B174="","",M174)</x:f>
      </x:c>
      <x:c r="AE174" s="85" t="str">
        <x:f>IF(B174="","",N174)</x:f>
      </x:c>
      <x:c r="AF174" s="85" t="str">
        <x:f>IF(B174="","",O174)</x:f>
      </x:c>
      <x:c r="AG174" s="85" t="str">
        <x:f>IF(B174="","",P174)</x:f>
      </x:c>
      <x:c r="AH174" s="85" t="str">
        <x:f>IF(B174="","",Q174)</x:f>
      </x:c>
      <x:c r="AI174" s="85" t="str">
        <x:f>IF(B174="","",R174)</x:f>
      </x:c>
      <x:c r="AJ174" s="85" t="str">
        <x:f>IF(B174="","",S174)</x:f>
      </x:c>
      <x:c r="AK174" s="85" t="str">
        <x:f>IF(B174="","",T174)</x:f>
      </x:c>
    </x:row>
    <x:row r="175">
      <x:c r="A175" s="94" t="str">
        <x:f>IF(OR(B175="",G175=""),"",B175&amp;"|"&amp;G175)</x:f>
      </x:c>
      <x:c r="B175" s="92"/>
      <x:c r="C175" s="94" t="str">
        <x:f>IFERROR(VLOOKUP(B175,'01 Staff Master'!$A$6:$M$105,2,FALSE),"")</x:f>
      </x:c>
      <x:c r="D175" s="94" t="str">
        <x:f>IFERROR(VLOOKUP(B175,'01 Staff Master'!$A$6:$M$105,3,FALSE),"")</x:f>
      </x:c>
      <x:c r="E175" s="94" t="str">
        <x:f>IFERROR(VLOOKUP(B175,'01 Staff Master'!$A$6:$M$105,5,FALSE),"")</x:f>
      </x:c>
      <x:c r="F175" s="94" t="str">
        <x:f>IFERROR(VLOOKUP(B175,'01 Staff Master'!$A$6:$M$105,4,FALSE),"")</x:f>
      </x:c>
      <x:c r="G175" s="92"/>
      <x:c r="H175" s="94" t="str">
        <x:f>IFERROR(VLOOKUP(G175,'02 Skill Catalogue'!$A$6:$K$95,4,FALSE),"")</x:f>
      </x:c>
      <x:c r="I175" s="94" t="str">
        <x:f>IFERROR(VLOOKUP(D175&amp;"|"&amp;E175&amp;"|"&amp;G175,'03 Position Requirements'!$A$6:$R$285,8,FALSE),"")</x:f>
      </x:c>
      <x:c r="J175" s="94" t="str">
        <x:f>IFERROR(VLOOKUP(D175&amp;"|"&amp;E175&amp;"|"&amp;G175,'03 Position Requirements'!$A$6:$R$285,10,FALSE),"")</x:f>
      </x:c>
      <x:c r="K175" s="94" t="str">
        <x:f>IF(OR(B175="",G175=""),"",IF(COUNTIFS('04 Assessment Log'!$D$6:$D$155,B175,'04 Assessment Log'!$J$6:$J$155,G175,'04 Assessment Log'!$AA$6:$AA$155,"Yes")=0,"",SUMIFS('04 Assessment Log'!$O$6:$O$155,'04 Assessment Log'!$D$6:$D$155,B175,'04 Assessment Log'!$J$6:$J$155,G175,'04 Assessment Log'!$AA$6:$AA$155,"Yes")))</x:f>
      </x:c>
      <x:c r="L175" s="94" t="str">
        <x:f>IF(OR(J175="",K175=""),"",MAX(J175-K175,0))</x:f>
      </x:c>
      <x:c r="M175" s="102" t="str">
        <x:f>IF(COUNTIFS('04 Assessment Log'!$D$6:$D$155,B175,'04 Assessment Log'!$J$6:$J$155,G175,'04 Assessment Log'!$AA$6:$AA$155,"Yes")=0,"",SUMIFS('04 Assessment Log'!$B$6:$B$155,'04 Assessment Log'!$D$6:$D$155,B175,'04 Assessment Log'!$J$6:$J$155,G175,'04 Assessment Log'!$AA$6:$AA$155,"Yes"))</x:f>
      </x:c>
      <x:c r="N175" s="102" t="str">
        <x:f>IF(M175="","",SUMIFS('04 Assessment Log'!$Z$6:$Z$155,'04 Assessment Log'!$D$6:$D$155,B175,'04 Assessment Log'!$J$6:$J$155,G175,'04 Assessment Log'!$AA$6:$AA$155,"Yes"))</x:f>
      </x:c>
      <x:c r="O175" s="94" t="str">
        <x:f>IF(M175="","Not Assessed",IF(N175&lt;TODAY(),"Expired",IF(N175&lt;=TODAY()+30,"Due Soon","Current")))</x:f>
        <x:v>Not Assessed</x:v>
      </x:c>
      <x:c r="P175" s="94" t="str">
        <x:f>IF(OR(B175="",G175=""),"",COUNTIFS('05 Development Actions'!$C$6:$C$105,B175,'05 Development Actions'!$G$6:$G$105,G175,'05 Development Actions'!$A$6:$A$105,"&lt;&gt;",'05 Development Actions'!$AB$6:$AB$105,"&lt;&gt;Closed — Competent",'05 Development Actions'!$AB$6:$AB$105,"&lt;&gt;Cancelled"))</x:f>
      </x:c>
      <x:c r="Q175" s="94" t="str">
        <x:f>IF(OR(B175="",G175=""),"",COUNTIFS('11 Training Attendance'!$E$6:$E$155,B175,'11 Training Attendance'!$K$6:$K$155,"Attended",'11 Training Attendance'!$I$6:$I$155,G175))</x:f>
      </x:c>
      <x:c r="R175" s="102" t="str">
        <x:f>IF(Q175=0,"",MAXIFS('11 Training Attendance'!$D$6:$D$155,'11 Training Attendance'!$E$6:$E$155,B175,'11 Training Attendance'!$K$6:$K$155,"Attended",'11 Training Attendance'!$I$6:$I$155,G175))</x:f>
      </x:c>
      <x:c r="S175" s="94" t="str">
        <x:f>IF(OR(B175="",G175=""),"",COUNTIFS('13 Effectiveness Review'!$C$6:$C$155,B175,'13 Effectiveness Review'!$F$6:$F$155,G175,'13 Effectiveness Review'!$X$6:$X$155,"Closed — Effective"))</x:f>
      </x:c>
      <x:c r="T175" s="94" t="str">
        <x:f>IF(B175="","",IF(K175="","Not Assessed",IF(O175="Expired","Renewal Due",IF(L175=0,"Competent","Skill Gap"))))</x:f>
      </x:c>
      <x:c r="U175" s="94" t="str">
        <x:f>IFERROR(VLOOKUP(D175&amp;"|"&amp;E175&amp;"|"&amp;G175,'03 Position Requirements'!$A$6:$R$285,14,FALSE),"")</x:f>
      </x:c>
      <x:c r="V175" s="92"/>
      <x:c r="W175" s="85" t="str">
        <x:f>IF(B175="","",B175&amp;"|"&amp;COUNTIF($B$6:B175,B175))</x:f>
      </x:c>
      <x:c r="X175" s="85" t="str">
        <x:f>IF(B175="","",G175)</x:f>
      </x:c>
      <x:c r="Y175" s="85" t="str">
        <x:f>IF(B175="","",H175)</x:f>
      </x:c>
      <x:c r="Z175" s="85" t="str">
        <x:f>IF(B175="","",I175)</x:f>
      </x:c>
      <x:c r="AA175" s="85" t="str">
        <x:f>IF(B175="","",J175)</x:f>
      </x:c>
      <x:c r="AB175" s="85" t="str">
        <x:f>IF(B175="","",K175)</x:f>
      </x:c>
      <x:c r="AC175" s="85" t="str">
        <x:f>IF(B175="","",L175)</x:f>
      </x:c>
      <x:c r="AD175" s="85" t="str">
        <x:f>IF(B175="","",M175)</x:f>
      </x:c>
      <x:c r="AE175" s="85" t="str">
        <x:f>IF(B175="","",N175)</x:f>
      </x:c>
      <x:c r="AF175" s="85" t="str">
        <x:f>IF(B175="","",O175)</x:f>
      </x:c>
      <x:c r="AG175" s="85" t="str">
        <x:f>IF(B175="","",P175)</x:f>
      </x:c>
      <x:c r="AH175" s="85" t="str">
        <x:f>IF(B175="","",Q175)</x:f>
      </x:c>
      <x:c r="AI175" s="85" t="str">
        <x:f>IF(B175="","",R175)</x:f>
      </x:c>
      <x:c r="AJ175" s="85" t="str">
        <x:f>IF(B175="","",S175)</x:f>
      </x:c>
      <x:c r="AK175" s="85" t="str">
        <x:f>IF(B175="","",T175)</x:f>
      </x:c>
    </x:row>
    <x:row r="176">
      <x:c r="A176" s="94" t="str">
        <x:f>IF(OR(B176="",G176=""),"",B176&amp;"|"&amp;G176)</x:f>
      </x:c>
      <x:c r="B176" s="92"/>
      <x:c r="C176" s="94" t="str">
        <x:f>IFERROR(VLOOKUP(B176,'01 Staff Master'!$A$6:$M$105,2,FALSE),"")</x:f>
      </x:c>
      <x:c r="D176" s="94" t="str">
        <x:f>IFERROR(VLOOKUP(B176,'01 Staff Master'!$A$6:$M$105,3,FALSE),"")</x:f>
      </x:c>
      <x:c r="E176" s="94" t="str">
        <x:f>IFERROR(VLOOKUP(B176,'01 Staff Master'!$A$6:$M$105,5,FALSE),"")</x:f>
      </x:c>
      <x:c r="F176" s="94" t="str">
        <x:f>IFERROR(VLOOKUP(B176,'01 Staff Master'!$A$6:$M$105,4,FALSE),"")</x:f>
      </x:c>
      <x:c r="G176" s="92"/>
      <x:c r="H176" s="94" t="str">
        <x:f>IFERROR(VLOOKUP(G176,'02 Skill Catalogue'!$A$6:$K$95,4,FALSE),"")</x:f>
      </x:c>
      <x:c r="I176" s="94" t="str">
        <x:f>IFERROR(VLOOKUP(D176&amp;"|"&amp;E176&amp;"|"&amp;G176,'03 Position Requirements'!$A$6:$R$285,8,FALSE),"")</x:f>
      </x:c>
      <x:c r="J176" s="94" t="str">
        <x:f>IFERROR(VLOOKUP(D176&amp;"|"&amp;E176&amp;"|"&amp;G176,'03 Position Requirements'!$A$6:$R$285,10,FALSE),"")</x:f>
      </x:c>
      <x:c r="K176" s="94" t="str">
        <x:f>IF(OR(B176="",G176=""),"",IF(COUNTIFS('04 Assessment Log'!$D$6:$D$155,B176,'04 Assessment Log'!$J$6:$J$155,G176,'04 Assessment Log'!$AA$6:$AA$155,"Yes")=0,"",SUMIFS('04 Assessment Log'!$O$6:$O$155,'04 Assessment Log'!$D$6:$D$155,B176,'04 Assessment Log'!$J$6:$J$155,G176,'04 Assessment Log'!$AA$6:$AA$155,"Yes")))</x:f>
      </x:c>
      <x:c r="L176" s="94" t="str">
        <x:f>IF(OR(J176="",K176=""),"",MAX(J176-K176,0))</x:f>
      </x:c>
      <x:c r="M176" s="102" t="str">
        <x:f>IF(COUNTIFS('04 Assessment Log'!$D$6:$D$155,B176,'04 Assessment Log'!$J$6:$J$155,G176,'04 Assessment Log'!$AA$6:$AA$155,"Yes")=0,"",SUMIFS('04 Assessment Log'!$B$6:$B$155,'04 Assessment Log'!$D$6:$D$155,B176,'04 Assessment Log'!$J$6:$J$155,G176,'04 Assessment Log'!$AA$6:$AA$155,"Yes"))</x:f>
      </x:c>
      <x:c r="N176" s="102" t="str">
        <x:f>IF(M176="","",SUMIFS('04 Assessment Log'!$Z$6:$Z$155,'04 Assessment Log'!$D$6:$D$155,B176,'04 Assessment Log'!$J$6:$J$155,G176,'04 Assessment Log'!$AA$6:$AA$155,"Yes"))</x:f>
      </x:c>
      <x:c r="O176" s="94" t="str">
        <x:f>IF(M176="","Not Assessed",IF(N176&lt;TODAY(),"Expired",IF(N176&lt;=TODAY()+30,"Due Soon","Current")))</x:f>
        <x:v>Not Assessed</x:v>
      </x:c>
      <x:c r="P176" s="94" t="str">
        <x:f>IF(OR(B176="",G176=""),"",COUNTIFS('05 Development Actions'!$C$6:$C$105,B176,'05 Development Actions'!$G$6:$G$105,G176,'05 Development Actions'!$A$6:$A$105,"&lt;&gt;",'05 Development Actions'!$AB$6:$AB$105,"&lt;&gt;Closed — Competent",'05 Development Actions'!$AB$6:$AB$105,"&lt;&gt;Cancelled"))</x:f>
      </x:c>
      <x:c r="Q176" s="94" t="str">
        <x:f>IF(OR(B176="",G176=""),"",COUNTIFS('11 Training Attendance'!$E$6:$E$155,B176,'11 Training Attendance'!$K$6:$K$155,"Attended",'11 Training Attendance'!$I$6:$I$155,G176))</x:f>
      </x:c>
      <x:c r="R176" s="102" t="str">
        <x:f>IF(Q176=0,"",MAXIFS('11 Training Attendance'!$D$6:$D$155,'11 Training Attendance'!$E$6:$E$155,B176,'11 Training Attendance'!$K$6:$K$155,"Attended",'11 Training Attendance'!$I$6:$I$155,G176))</x:f>
      </x:c>
      <x:c r="S176" s="94" t="str">
        <x:f>IF(OR(B176="",G176=""),"",COUNTIFS('13 Effectiveness Review'!$C$6:$C$155,B176,'13 Effectiveness Review'!$F$6:$F$155,G176,'13 Effectiveness Review'!$X$6:$X$155,"Closed — Effective"))</x:f>
      </x:c>
      <x:c r="T176" s="94" t="str">
        <x:f>IF(B176="","",IF(K176="","Not Assessed",IF(O176="Expired","Renewal Due",IF(L176=0,"Competent","Skill Gap"))))</x:f>
      </x:c>
      <x:c r="U176" s="94" t="str">
        <x:f>IFERROR(VLOOKUP(D176&amp;"|"&amp;E176&amp;"|"&amp;G176,'03 Position Requirements'!$A$6:$R$285,14,FALSE),"")</x:f>
      </x:c>
      <x:c r="V176" s="92"/>
      <x:c r="W176" s="85" t="str">
        <x:f>IF(B176="","",B176&amp;"|"&amp;COUNTIF($B$6:B176,B176))</x:f>
      </x:c>
      <x:c r="X176" s="85" t="str">
        <x:f>IF(B176="","",G176)</x:f>
      </x:c>
      <x:c r="Y176" s="85" t="str">
        <x:f>IF(B176="","",H176)</x:f>
      </x:c>
      <x:c r="Z176" s="85" t="str">
        <x:f>IF(B176="","",I176)</x:f>
      </x:c>
      <x:c r="AA176" s="85" t="str">
        <x:f>IF(B176="","",J176)</x:f>
      </x:c>
      <x:c r="AB176" s="85" t="str">
        <x:f>IF(B176="","",K176)</x:f>
      </x:c>
      <x:c r="AC176" s="85" t="str">
        <x:f>IF(B176="","",L176)</x:f>
      </x:c>
      <x:c r="AD176" s="85" t="str">
        <x:f>IF(B176="","",M176)</x:f>
      </x:c>
      <x:c r="AE176" s="85" t="str">
        <x:f>IF(B176="","",N176)</x:f>
      </x:c>
      <x:c r="AF176" s="85" t="str">
        <x:f>IF(B176="","",O176)</x:f>
      </x:c>
      <x:c r="AG176" s="85" t="str">
        <x:f>IF(B176="","",P176)</x:f>
      </x:c>
      <x:c r="AH176" s="85" t="str">
        <x:f>IF(B176="","",Q176)</x:f>
      </x:c>
      <x:c r="AI176" s="85" t="str">
        <x:f>IF(B176="","",R176)</x:f>
      </x:c>
      <x:c r="AJ176" s="85" t="str">
        <x:f>IF(B176="","",S176)</x:f>
      </x:c>
      <x:c r="AK176" s="85" t="str">
        <x:f>IF(B176="","",T176)</x:f>
      </x:c>
    </x:row>
    <x:row r="177">
      <x:c r="A177" s="94" t="str">
        <x:f>IF(OR(B177="",G177=""),"",B177&amp;"|"&amp;G177)</x:f>
      </x:c>
      <x:c r="B177" s="92"/>
      <x:c r="C177" s="94" t="str">
        <x:f>IFERROR(VLOOKUP(B177,'01 Staff Master'!$A$6:$M$105,2,FALSE),"")</x:f>
      </x:c>
      <x:c r="D177" s="94" t="str">
        <x:f>IFERROR(VLOOKUP(B177,'01 Staff Master'!$A$6:$M$105,3,FALSE),"")</x:f>
      </x:c>
      <x:c r="E177" s="94" t="str">
        <x:f>IFERROR(VLOOKUP(B177,'01 Staff Master'!$A$6:$M$105,5,FALSE),"")</x:f>
      </x:c>
      <x:c r="F177" s="94" t="str">
        <x:f>IFERROR(VLOOKUP(B177,'01 Staff Master'!$A$6:$M$105,4,FALSE),"")</x:f>
      </x:c>
      <x:c r="G177" s="92"/>
      <x:c r="H177" s="94" t="str">
        <x:f>IFERROR(VLOOKUP(G177,'02 Skill Catalogue'!$A$6:$K$95,4,FALSE),"")</x:f>
      </x:c>
      <x:c r="I177" s="94" t="str">
        <x:f>IFERROR(VLOOKUP(D177&amp;"|"&amp;E177&amp;"|"&amp;G177,'03 Position Requirements'!$A$6:$R$285,8,FALSE),"")</x:f>
      </x:c>
      <x:c r="J177" s="94" t="str">
        <x:f>IFERROR(VLOOKUP(D177&amp;"|"&amp;E177&amp;"|"&amp;G177,'03 Position Requirements'!$A$6:$R$285,10,FALSE),"")</x:f>
      </x:c>
      <x:c r="K177" s="94" t="str">
        <x:f>IF(OR(B177="",G177=""),"",IF(COUNTIFS('04 Assessment Log'!$D$6:$D$155,B177,'04 Assessment Log'!$J$6:$J$155,G177,'04 Assessment Log'!$AA$6:$AA$155,"Yes")=0,"",SUMIFS('04 Assessment Log'!$O$6:$O$155,'04 Assessment Log'!$D$6:$D$155,B177,'04 Assessment Log'!$J$6:$J$155,G177,'04 Assessment Log'!$AA$6:$AA$155,"Yes")))</x:f>
      </x:c>
      <x:c r="L177" s="94" t="str">
        <x:f>IF(OR(J177="",K177=""),"",MAX(J177-K177,0))</x:f>
      </x:c>
      <x:c r="M177" s="102" t="str">
        <x:f>IF(COUNTIFS('04 Assessment Log'!$D$6:$D$155,B177,'04 Assessment Log'!$J$6:$J$155,G177,'04 Assessment Log'!$AA$6:$AA$155,"Yes")=0,"",SUMIFS('04 Assessment Log'!$B$6:$B$155,'04 Assessment Log'!$D$6:$D$155,B177,'04 Assessment Log'!$J$6:$J$155,G177,'04 Assessment Log'!$AA$6:$AA$155,"Yes"))</x:f>
      </x:c>
      <x:c r="N177" s="102" t="str">
        <x:f>IF(M177="","",SUMIFS('04 Assessment Log'!$Z$6:$Z$155,'04 Assessment Log'!$D$6:$D$155,B177,'04 Assessment Log'!$J$6:$J$155,G177,'04 Assessment Log'!$AA$6:$AA$155,"Yes"))</x:f>
      </x:c>
      <x:c r="O177" s="94" t="str">
        <x:f>IF(M177="","Not Assessed",IF(N177&lt;TODAY(),"Expired",IF(N177&lt;=TODAY()+30,"Due Soon","Current")))</x:f>
        <x:v>Not Assessed</x:v>
      </x:c>
      <x:c r="P177" s="94" t="str">
        <x:f>IF(OR(B177="",G177=""),"",COUNTIFS('05 Development Actions'!$C$6:$C$105,B177,'05 Development Actions'!$G$6:$G$105,G177,'05 Development Actions'!$A$6:$A$105,"&lt;&gt;",'05 Development Actions'!$AB$6:$AB$105,"&lt;&gt;Closed — Competent",'05 Development Actions'!$AB$6:$AB$105,"&lt;&gt;Cancelled"))</x:f>
      </x:c>
      <x:c r="Q177" s="94" t="str">
        <x:f>IF(OR(B177="",G177=""),"",COUNTIFS('11 Training Attendance'!$E$6:$E$155,B177,'11 Training Attendance'!$K$6:$K$155,"Attended",'11 Training Attendance'!$I$6:$I$155,G177))</x:f>
      </x:c>
      <x:c r="R177" s="102" t="str">
        <x:f>IF(Q177=0,"",MAXIFS('11 Training Attendance'!$D$6:$D$155,'11 Training Attendance'!$E$6:$E$155,B177,'11 Training Attendance'!$K$6:$K$155,"Attended",'11 Training Attendance'!$I$6:$I$155,G177))</x:f>
      </x:c>
      <x:c r="S177" s="94" t="str">
        <x:f>IF(OR(B177="",G177=""),"",COUNTIFS('13 Effectiveness Review'!$C$6:$C$155,B177,'13 Effectiveness Review'!$F$6:$F$155,G177,'13 Effectiveness Review'!$X$6:$X$155,"Closed — Effective"))</x:f>
      </x:c>
      <x:c r="T177" s="94" t="str">
        <x:f>IF(B177="","",IF(K177="","Not Assessed",IF(O177="Expired","Renewal Due",IF(L177=0,"Competent","Skill Gap"))))</x:f>
      </x:c>
      <x:c r="U177" s="94" t="str">
        <x:f>IFERROR(VLOOKUP(D177&amp;"|"&amp;E177&amp;"|"&amp;G177,'03 Position Requirements'!$A$6:$R$285,14,FALSE),"")</x:f>
      </x:c>
      <x:c r="V177" s="92"/>
      <x:c r="W177" s="85" t="str">
        <x:f>IF(B177="","",B177&amp;"|"&amp;COUNTIF($B$6:B177,B177))</x:f>
      </x:c>
      <x:c r="X177" s="85" t="str">
        <x:f>IF(B177="","",G177)</x:f>
      </x:c>
      <x:c r="Y177" s="85" t="str">
        <x:f>IF(B177="","",H177)</x:f>
      </x:c>
      <x:c r="Z177" s="85" t="str">
        <x:f>IF(B177="","",I177)</x:f>
      </x:c>
      <x:c r="AA177" s="85" t="str">
        <x:f>IF(B177="","",J177)</x:f>
      </x:c>
      <x:c r="AB177" s="85" t="str">
        <x:f>IF(B177="","",K177)</x:f>
      </x:c>
      <x:c r="AC177" s="85" t="str">
        <x:f>IF(B177="","",L177)</x:f>
      </x:c>
      <x:c r="AD177" s="85" t="str">
        <x:f>IF(B177="","",M177)</x:f>
      </x:c>
      <x:c r="AE177" s="85" t="str">
        <x:f>IF(B177="","",N177)</x:f>
      </x:c>
      <x:c r="AF177" s="85" t="str">
        <x:f>IF(B177="","",O177)</x:f>
      </x:c>
      <x:c r="AG177" s="85" t="str">
        <x:f>IF(B177="","",P177)</x:f>
      </x:c>
      <x:c r="AH177" s="85" t="str">
        <x:f>IF(B177="","",Q177)</x:f>
      </x:c>
      <x:c r="AI177" s="85" t="str">
        <x:f>IF(B177="","",R177)</x:f>
      </x:c>
      <x:c r="AJ177" s="85" t="str">
        <x:f>IF(B177="","",S177)</x:f>
      </x:c>
      <x:c r="AK177" s="85" t="str">
        <x:f>IF(B177="","",T177)</x:f>
      </x:c>
    </x:row>
    <x:row r="178">
      <x:c r="A178" s="94" t="str">
        <x:f>IF(OR(B178="",G178=""),"",B178&amp;"|"&amp;G178)</x:f>
      </x:c>
      <x:c r="B178" s="92"/>
      <x:c r="C178" s="94" t="str">
        <x:f>IFERROR(VLOOKUP(B178,'01 Staff Master'!$A$6:$M$105,2,FALSE),"")</x:f>
      </x:c>
      <x:c r="D178" s="94" t="str">
        <x:f>IFERROR(VLOOKUP(B178,'01 Staff Master'!$A$6:$M$105,3,FALSE),"")</x:f>
      </x:c>
      <x:c r="E178" s="94" t="str">
        <x:f>IFERROR(VLOOKUP(B178,'01 Staff Master'!$A$6:$M$105,5,FALSE),"")</x:f>
      </x:c>
      <x:c r="F178" s="94" t="str">
        <x:f>IFERROR(VLOOKUP(B178,'01 Staff Master'!$A$6:$M$105,4,FALSE),"")</x:f>
      </x:c>
      <x:c r="G178" s="92"/>
      <x:c r="H178" s="94" t="str">
        <x:f>IFERROR(VLOOKUP(G178,'02 Skill Catalogue'!$A$6:$K$95,4,FALSE),"")</x:f>
      </x:c>
      <x:c r="I178" s="94" t="str">
        <x:f>IFERROR(VLOOKUP(D178&amp;"|"&amp;E178&amp;"|"&amp;G178,'03 Position Requirements'!$A$6:$R$285,8,FALSE),"")</x:f>
      </x:c>
      <x:c r="J178" s="94" t="str">
        <x:f>IFERROR(VLOOKUP(D178&amp;"|"&amp;E178&amp;"|"&amp;G178,'03 Position Requirements'!$A$6:$R$285,10,FALSE),"")</x:f>
      </x:c>
      <x:c r="K178" s="94" t="str">
        <x:f>IF(OR(B178="",G178=""),"",IF(COUNTIFS('04 Assessment Log'!$D$6:$D$155,B178,'04 Assessment Log'!$J$6:$J$155,G178,'04 Assessment Log'!$AA$6:$AA$155,"Yes")=0,"",SUMIFS('04 Assessment Log'!$O$6:$O$155,'04 Assessment Log'!$D$6:$D$155,B178,'04 Assessment Log'!$J$6:$J$155,G178,'04 Assessment Log'!$AA$6:$AA$155,"Yes")))</x:f>
      </x:c>
      <x:c r="L178" s="94" t="str">
        <x:f>IF(OR(J178="",K178=""),"",MAX(J178-K178,0))</x:f>
      </x:c>
      <x:c r="M178" s="102" t="str">
        <x:f>IF(COUNTIFS('04 Assessment Log'!$D$6:$D$155,B178,'04 Assessment Log'!$J$6:$J$155,G178,'04 Assessment Log'!$AA$6:$AA$155,"Yes")=0,"",SUMIFS('04 Assessment Log'!$B$6:$B$155,'04 Assessment Log'!$D$6:$D$155,B178,'04 Assessment Log'!$J$6:$J$155,G178,'04 Assessment Log'!$AA$6:$AA$155,"Yes"))</x:f>
      </x:c>
      <x:c r="N178" s="102" t="str">
        <x:f>IF(M178="","",SUMIFS('04 Assessment Log'!$Z$6:$Z$155,'04 Assessment Log'!$D$6:$D$155,B178,'04 Assessment Log'!$J$6:$J$155,G178,'04 Assessment Log'!$AA$6:$AA$155,"Yes"))</x:f>
      </x:c>
      <x:c r="O178" s="94" t="str">
        <x:f>IF(M178="","Not Assessed",IF(N178&lt;TODAY(),"Expired",IF(N178&lt;=TODAY()+30,"Due Soon","Current")))</x:f>
        <x:v>Not Assessed</x:v>
      </x:c>
      <x:c r="P178" s="94" t="str">
        <x:f>IF(OR(B178="",G178=""),"",COUNTIFS('05 Development Actions'!$C$6:$C$105,B178,'05 Development Actions'!$G$6:$G$105,G178,'05 Development Actions'!$A$6:$A$105,"&lt;&gt;",'05 Development Actions'!$AB$6:$AB$105,"&lt;&gt;Closed — Competent",'05 Development Actions'!$AB$6:$AB$105,"&lt;&gt;Cancelled"))</x:f>
      </x:c>
      <x:c r="Q178" s="94" t="str">
        <x:f>IF(OR(B178="",G178=""),"",COUNTIFS('11 Training Attendance'!$E$6:$E$155,B178,'11 Training Attendance'!$K$6:$K$155,"Attended",'11 Training Attendance'!$I$6:$I$155,G178))</x:f>
      </x:c>
      <x:c r="R178" s="102" t="str">
        <x:f>IF(Q178=0,"",MAXIFS('11 Training Attendance'!$D$6:$D$155,'11 Training Attendance'!$E$6:$E$155,B178,'11 Training Attendance'!$K$6:$K$155,"Attended",'11 Training Attendance'!$I$6:$I$155,G178))</x:f>
      </x:c>
      <x:c r="S178" s="94" t="str">
        <x:f>IF(OR(B178="",G178=""),"",COUNTIFS('13 Effectiveness Review'!$C$6:$C$155,B178,'13 Effectiveness Review'!$F$6:$F$155,G178,'13 Effectiveness Review'!$X$6:$X$155,"Closed — Effective"))</x:f>
      </x:c>
      <x:c r="T178" s="94" t="str">
        <x:f>IF(B178="","",IF(K178="","Not Assessed",IF(O178="Expired","Renewal Due",IF(L178=0,"Competent","Skill Gap"))))</x:f>
      </x:c>
      <x:c r="U178" s="94" t="str">
        <x:f>IFERROR(VLOOKUP(D178&amp;"|"&amp;E178&amp;"|"&amp;G178,'03 Position Requirements'!$A$6:$R$285,14,FALSE),"")</x:f>
      </x:c>
      <x:c r="V178" s="92"/>
      <x:c r="W178" s="85" t="str">
        <x:f>IF(B178="","",B178&amp;"|"&amp;COUNTIF($B$6:B178,B178))</x:f>
      </x:c>
      <x:c r="X178" s="85" t="str">
        <x:f>IF(B178="","",G178)</x:f>
      </x:c>
      <x:c r="Y178" s="85" t="str">
        <x:f>IF(B178="","",H178)</x:f>
      </x:c>
      <x:c r="Z178" s="85" t="str">
        <x:f>IF(B178="","",I178)</x:f>
      </x:c>
      <x:c r="AA178" s="85" t="str">
        <x:f>IF(B178="","",J178)</x:f>
      </x:c>
      <x:c r="AB178" s="85" t="str">
        <x:f>IF(B178="","",K178)</x:f>
      </x:c>
      <x:c r="AC178" s="85" t="str">
        <x:f>IF(B178="","",L178)</x:f>
      </x:c>
      <x:c r="AD178" s="85" t="str">
        <x:f>IF(B178="","",M178)</x:f>
      </x:c>
      <x:c r="AE178" s="85" t="str">
        <x:f>IF(B178="","",N178)</x:f>
      </x:c>
      <x:c r="AF178" s="85" t="str">
        <x:f>IF(B178="","",O178)</x:f>
      </x:c>
      <x:c r="AG178" s="85" t="str">
        <x:f>IF(B178="","",P178)</x:f>
      </x:c>
      <x:c r="AH178" s="85" t="str">
        <x:f>IF(B178="","",Q178)</x:f>
      </x:c>
      <x:c r="AI178" s="85" t="str">
        <x:f>IF(B178="","",R178)</x:f>
      </x:c>
      <x:c r="AJ178" s="85" t="str">
        <x:f>IF(B178="","",S178)</x:f>
      </x:c>
      <x:c r="AK178" s="85" t="str">
        <x:f>IF(B178="","",T178)</x:f>
      </x:c>
    </x:row>
    <x:row r="179">
      <x:c r="A179" s="94" t="str">
        <x:f>IF(OR(B179="",G179=""),"",B179&amp;"|"&amp;G179)</x:f>
      </x:c>
      <x:c r="B179" s="92"/>
      <x:c r="C179" s="94" t="str">
        <x:f>IFERROR(VLOOKUP(B179,'01 Staff Master'!$A$6:$M$105,2,FALSE),"")</x:f>
      </x:c>
      <x:c r="D179" s="94" t="str">
        <x:f>IFERROR(VLOOKUP(B179,'01 Staff Master'!$A$6:$M$105,3,FALSE),"")</x:f>
      </x:c>
      <x:c r="E179" s="94" t="str">
        <x:f>IFERROR(VLOOKUP(B179,'01 Staff Master'!$A$6:$M$105,5,FALSE),"")</x:f>
      </x:c>
      <x:c r="F179" s="94" t="str">
        <x:f>IFERROR(VLOOKUP(B179,'01 Staff Master'!$A$6:$M$105,4,FALSE),"")</x:f>
      </x:c>
      <x:c r="G179" s="92"/>
      <x:c r="H179" s="94" t="str">
        <x:f>IFERROR(VLOOKUP(G179,'02 Skill Catalogue'!$A$6:$K$95,4,FALSE),"")</x:f>
      </x:c>
      <x:c r="I179" s="94" t="str">
        <x:f>IFERROR(VLOOKUP(D179&amp;"|"&amp;E179&amp;"|"&amp;G179,'03 Position Requirements'!$A$6:$R$285,8,FALSE),"")</x:f>
      </x:c>
      <x:c r="J179" s="94" t="str">
        <x:f>IFERROR(VLOOKUP(D179&amp;"|"&amp;E179&amp;"|"&amp;G179,'03 Position Requirements'!$A$6:$R$285,10,FALSE),"")</x:f>
      </x:c>
      <x:c r="K179" s="94" t="str">
        <x:f>IF(OR(B179="",G179=""),"",IF(COUNTIFS('04 Assessment Log'!$D$6:$D$155,B179,'04 Assessment Log'!$J$6:$J$155,G179,'04 Assessment Log'!$AA$6:$AA$155,"Yes")=0,"",SUMIFS('04 Assessment Log'!$O$6:$O$155,'04 Assessment Log'!$D$6:$D$155,B179,'04 Assessment Log'!$J$6:$J$155,G179,'04 Assessment Log'!$AA$6:$AA$155,"Yes")))</x:f>
      </x:c>
      <x:c r="L179" s="94" t="str">
        <x:f>IF(OR(J179="",K179=""),"",MAX(J179-K179,0))</x:f>
      </x:c>
      <x:c r="M179" s="102" t="str">
        <x:f>IF(COUNTIFS('04 Assessment Log'!$D$6:$D$155,B179,'04 Assessment Log'!$J$6:$J$155,G179,'04 Assessment Log'!$AA$6:$AA$155,"Yes")=0,"",SUMIFS('04 Assessment Log'!$B$6:$B$155,'04 Assessment Log'!$D$6:$D$155,B179,'04 Assessment Log'!$J$6:$J$155,G179,'04 Assessment Log'!$AA$6:$AA$155,"Yes"))</x:f>
      </x:c>
      <x:c r="N179" s="102" t="str">
        <x:f>IF(M179="","",SUMIFS('04 Assessment Log'!$Z$6:$Z$155,'04 Assessment Log'!$D$6:$D$155,B179,'04 Assessment Log'!$J$6:$J$155,G179,'04 Assessment Log'!$AA$6:$AA$155,"Yes"))</x:f>
      </x:c>
      <x:c r="O179" s="94" t="str">
        <x:f>IF(M179="","Not Assessed",IF(N179&lt;TODAY(),"Expired",IF(N179&lt;=TODAY()+30,"Due Soon","Current")))</x:f>
        <x:v>Not Assessed</x:v>
      </x:c>
      <x:c r="P179" s="94" t="str">
        <x:f>IF(OR(B179="",G179=""),"",COUNTIFS('05 Development Actions'!$C$6:$C$105,B179,'05 Development Actions'!$G$6:$G$105,G179,'05 Development Actions'!$A$6:$A$105,"&lt;&gt;",'05 Development Actions'!$AB$6:$AB$105,"&lt;&gt;Closed — Competent",'05 Development Actions'!$AB$6:$AB$105,"&lt;&gt;Cancelled"))</x:f>
      </x:c>
      <x:c r="Q179" s="94" t="str">
        <x:f>IF(OR(B179="",G179=""),"",COUNTIFS('11 Training Attendance'!$E$6:$E$155,B179,'11 Training Attendance'!$K$6:$K$155,"Attended",'11 Training Attendance'!$I$6:$I$155,G179))</x:f>
      </x:c>
      <x:c r="R179" s="102" t="str">
        <x:f>IF(Q179=0,"",MAXIFS('11 Training Attendance'!$D$6:$D$155,'11 Training Attendance'!$E$6:$E$155,B179,'11 Training Attendance'!$K$6:$K$155,"Attended",'11 Training Attendance'!$I$6:$I$155,G179))</x:f>
      </x:c>
      <x:c r="S179" s="94" t="str">
        <x:f>IF(OR(B179="",G179=""),"",COUNTIFS('13 Effectiveness Review'!$C$6:$C$155,B179,'13 Effectiveness Review'!$F$6:$F$155,G179,'13 Effectiveness Review'!$X$6:$X$155,"Closed — Effective"))</x:f>
      </x:c>
      <x:c r="T179" s="94" t="str">
        <x:f>IF(B179="","",IF(K179="","Not Assessed",IF(O179="Expired","Renewal Due",IF(L179=0,"Competent","Skill Gap"))))</x:f>
      </x:c>
      <x:c r="U179" s="94" t="str">
        <x:f>IFERROR(VLOOKUP(D179&amp;"|"&amp;E179&amp;"|"&amp;G179,'03 Position Requirements'!$A$6:$R$285,14,FALSE),"")</x:f>
      </x:c>
      <x:c r="V179" s="92"/>
      <x:c r="W179" s="85" t="str">
        <x:f>IF(B179="","",B179&amp;"|"&amp;COUNTIF($B$6:B179,B179))</x:f>
      </x:c>
      <x:c r="X179" s="85" t="str">
        <x:f>IF(B179="","",G179)</x:f>
      </x:c>
      <x:c r="Y179" s="85" t="str">
        <x:f>IF(B179="","",H179)</x:f>
      </x:c>
      <x:c r="Z179" s="85" t="str">
        <x:f>IF(B179="","",I179)</x:f>
      </x:c>
      <x:c r="AA179" s="85" t="str">
        <x:f>IF(B179="","",J179)</x:f>
      </x:c>
      <x:c r="AB179" s="85" t="str">
        <x:f>IF(B179="","",K179)</x:f>
      </x:c>
      <x:c r="AC179" s="85" t="str">
        <x:f>IF(B179="","",L179)</x:f>
      </x:c>
      <x:c r="AD179" s="85" t="str">
        <x:f>IF(B179="","",M179)</x:f>
      </x:c>
      <x:c r="AE179" s="85" t="str">
        <x:f>IF(B179="","",N179)</x:f>
      </x:c>
      <x:c r="AF179" s="85" t="str">
        <x:f>IF(B179="","",O179)</x:f>
      </x:c>
      <x:c r="AG179" s="85" t="str">
        <x:f>IF(B179="","",P179)</x:f>
      </x:c>
      <x:c r="AH179" s="85" t="str">
        <x:f>IF(B179="","",Q179)</x:f>
      </x:c>
      <x:c r="AI179" s="85" t="str">
        <x:f>IF(B179="","",R179)</x:f>
      </x:c>
      <x:c r="AJ179" s="85" t="str">
        <x:f>IF(B179="","",S179)</x:f>
      </x:c>
      <x:c r="AK179" s="85" t="str">
        <x:f>IF(B179="","",T179)</x:f>
      </x:c>
    </x:row>
    <x:row r="180">
      <x:c r="A180" s="94" t="str">
        <x:f>IF(OR(B180="",G180=""),"",B180&amp;"|"&amp;G180)</x:f>
      </x:c>
      <x:c r="B180" s="92"/>
      <x:c r="C180" s="94" t="str">
        <x:f>IFERROR(VLOOKUP(B180,'01 Staff Master'!$A$6:$M$105,2,FALSE),"")</x:f>
      </x:c>
      <x:c r="D180" s="94" t="str">
        <x:f>IFERROR(VLOOKUP(B180,'01 Staff Master'!$A$6:$M$105,3,FALSE),"")</x:f>
      </x:c>
      <x:c r="E180" s="94" t="str">
        <x:f>IFERROR(VLOOKUP(B180,'01 Staff Master'!$A$6:$M$105,5,FALSE),"")</x:f>
      </x:c>
      <x:c r="F180" s="94" t="str">
        <x:f>IFERROR(VLOOKUP(B180,'01 Staff Master'!$A$6:$M$105,4,FALSE),"")</x:f>
      </x:c>
      <x:c r="G180" s="92"/>
      <x:c r="H180" s="94" t="str">
        <x:f>IFERROR(VLOOKUP(G180,'02 Skill Catalogue'!$A$6:$K$95,4,FALSE),"")</x:f>
      </x:c>
      <x:c r="I180" s="94" t="str">
        <x:f>IFERROR(VLOOKUP(D180&amp;"|"&amp;E180&amp;"|"&amp;G180,'03 Position Requirements'!$A$6:$R$285,8,FALSE),"")</x:f>
      </x:c>
      <x:c r="J180" s="94" t="str">
        <x:f>IFERROR(VLOOKUP(D180&amp;"|"&amp;E180&amp;"|"&amp;G180,'03 Position Requirements'!$A$6:$R$285,10,FALSE),"")</x:f>
      </x:c>
      <x:c r="K180" s="94" t="str">
        <x:f>IF(OR(B180="",G180=""),"",IF(COUNTIFS('04 Assessment Log'!$D$6:$D$155,B180,'04 Assessment Log'!$J$6:$J$155,G180,'04 Assessment Log'!$AA$6:$AA$155,"Yes")=0,"",SUMIFS('04 Assessment Log'!$O$6:$O$155,'04 Assessment Log'!$D$6:$D$155,B180,'04 Assessment Log'!$J$6:$J$155,G180,'04 Assessment Log'!$AA$6:$AA$155,"Yes")))</x:f>
      </x:c>
      <x:c r="L180" s="94" t="str">
        <x:f>IF(OR(J180="",K180=""),"",MAX(J180-K180,0))</x:f>
      </x:c>
      <x:c r="M180" s="102" t="str">
        <x:f>IF(COUNTIFS('04 Assessment Log'!$D$6:$D$155,B180,'04 Assessment Log'!$J$6:$J$155,G180,'04 Assessment Log'!$AA$6:$AA$155,"Yes")=0,"",SUMIFS('04 Assessment Log'!$B$6:$B$155,'04 Assessment Log'!$D$6:$D$155,B180,'04 Assessment Log'!$J$6:$J$155,G180,'04 Assessment Log'!$AA$6:$AA$155,"Yes"))</x:f>
      </x:c>
      <x:c r="N180" s="102" t="str">
        <x:f>IF(M180="","",SUMIFS('04 Assessment Log'!$Z$6:$Z$155,'04 Assessment Log'!$D$6:$D$155,B180,'04 Assessment Log'!$J$6:$J$155,G180,'04 Assessment Log'!$AA$6:$AA$155,"Yes"))</x:f>
      </x:c>
      <x:c r="O180" s="94" t="str">
        <x:f>IF(M180="","Not Assessed",IF(N180&lt;TODAY(),"Expired",IF(N180&lt;=TODAY()+30,"Due Soon","Current")))</x:f>
        <x:v>Not Assessed</x:v>
      </x:c>
      <x:c r="P180" s="94" t="str">
        <x:f>IF(OR(B180="",G180=""),"",COUNTIFS('05 Development Actions'!$C$6:$C$105,B180,'05 Development Actions'!$G$6:$G$105,G180,'05 Development Actions'!$A$6:$A$105,"&lt;&gt;",'05 Development Actions'!$AB$6:$AB$105,"&lt;&gt;Closed — Competent",'05 Development Actions'!$AB$6:$AB$105,"&lt;&gt;Cancelled"))</x:f>
      </x:c>
      <x:c r="Q180" s="94" t="str">
        <x:f>IF(OR(B180="",G180=""),"",COUNTIFS('11 Training Attendance'!$E$6:$E$155,B180,'11 Training Attendance'!$K$6:$K$155,"Attended",'11 Training Attendance'!$I$6:$I$155,G180))</x:f>
      </x:c>
      <x:c r="R180" s="102" t="str">
        <x:f>IF(Q180=0,"",MAXIFS('11 Training Attendance'!$D$6:$D$155,'11 Training Attendance'!$E$6:$E$155,B180,'11 Training Attendance'!$K$6:$K$155,"Attended",'11 Training Attendance'!$I$6:$I$155,G180))</x:f>
      </x:c>
      <x:c r="S180" s="94" t="str">
        <x:f>IF(OR(B180="",G180=""),"",COUNTIFS('13 Effectiveness Review'!$C$6:$C$155,B180,'13 Effectiveness Review'!$F$6:$F$155,G180,'13 Effectiveness Review'!$X$6:$X$155,"Closed — Effective"))</x:f>
      </x:c>
      <x:c r="T180" s="94" t="str">
        <x:f>IF(B180="","",IF(K180="","Not Assessed",IF(O180="Expired","Renewal Due",IF(L180=0,"Competent","Skill Gap"))))</x:f>
      </x:c>
      <x:c r="U180" s="94" t="str">
        <x:f>IFERROR(VLOOKUP(D180&amp;"|"&amp;E180&amp;"|"&amp;G180,'03 Position Requirements'!$A$6:$R$285,14,FALSE),"")</x:f>
      </x:c>
      <x:c r="V180" s="92"/>
      <x:c r="W180" s="85" t="str">
        <x:f>IF(B180="","",B180&amp;"|"&amp;COUNTIF($B$6:B180,B180))</x:f>
      </x:c>
      <x:c r="X180" s="85" t="str">
        <x:f>IF(B180="","",G180)</x:f>
      </x:c>
      <x:c r="Y180" s="85" t="str">
        <x:f>IF(B180="","",H180)</x:f>
      </x:c>
      <x:c r="Z180" s="85" t="str">
        <x:f>IF(B180="","",I180)</x:f>
      </x:c>
      <x:c r="AA180" s="85" t="str">
        <x:f>IF(B180="","",J180)</x:f>
      </x:c>
      <x:c r="AB180" s="85" t="str">
        <x:f>IF(B180="","",K180)</x:f>
      </x:c>
      <x:c r="AC180" s="85" t="str">
        <x:f>IF(B180="","",L180)</x:f>
      </x:c>
      <x:c r="AD180" s="85" t="str">
        <x:f>IF(B180="","",M180)</x:f>
      </x:c>
      <x:c r="AE180" s="85" t="str">
        <x:f>IF(B180="","",N180)</x:f>
      </x:c>
      <x:c r="AF180" s="85" t="str">
        <x:f>IF(B180="","",O180)</x:f>
      </x:c>
      <x:c r="AG180" s="85" t="str">
        <x:f>IF(B180="","",P180)</x:f>
      </x:c>
      <x:c r="AH180" s="85" t="str">
        <x:f>IF(B180="","",Q180)</x:f>
      </x:c>
      <x:c r="AI180" s="85" t="str">
        <x:f>IF(B180="","",R180)</x:f>
      </x:c>
      <x:c r="AJ180" s="85" t="str">
        <x:f>IF(B180="","",S180)</x:f>
      </x:c>
      <x:c r="AK180" s="85" t="str">
        <x:f>IF(B180="","",T180)</x:f>
      </x:c>
    </x:row>
    <x:row r="181">
      <x:c r="A181" s="94" t="str">
        <x:f>IF(OR(B181="",G181=""),"",B181&amp;"|"&amp;G181)</x:f>
      </x:c>
      <x:c r="B181" s="92"/>
      <x:c r="C181" s="94" t="str">
        <x:f>IFERROR(VLOOKUP(B181,'01 Staff Master'!$A$6:$M$105,2,FALSE),"")</x:f>
      </x:c>
      <x:c r="D181" s="94" t="str">
        <x:f>IFERROR(VLOOKUP(B181,'01 Staff Master'!$A$6:$M$105,3,FALSE),"")</x:f>
      </x:c>
      <x:c r="E181" s="94" t="str">
        <x:f>IFERROR(VLOOKUP(B181,'01 Staff Master'!$A$6:$M$105,5,FALSE),"")</x:f>
      </x:c>
      <x:c r="F181" s="94" t="str">
        <x:f>IFERROR(VLOOKUP(B181,'01 Staff Master'!$A$6:$M$105,4,FALSE),"")</x:f>
      </x:c>
      <x:c r="G181" s="92"/>
      <x:c r="H181" s="94" t="str">
        <x:f>IFERROR(VLOOKUP(G181,'02 Skill Catalogue'!$A$6:$K$95,4,FALSE),"")</x:f>
      </x:c>
      <x:c r="I181" s="94" t="str">
        <x:f>IFERROR(VLOOKUP(D181&amp;"|"&amp;E181&amp;"|"&amp;G181,'03 Position Requirements'!$A$6:$R$285,8,FALSE),"")</x:f>
      </x:c>
      <x:c r="J181" s="94" t="str">
        <x:f>IFERROR(VLOOKUP(D181&amp;"|"&amp;E181&amp;"|"&amp;G181,'03 Position Requirements'!$A$6:$R$285,10,FALSE),"")</x:f>
      </x:c>
      <x:c r="K181" s="94" t="str">
        <x:f>IF(OR(B181="",G181=""),"",IF(COUNTIFS('04 Assessment Log'!$D$6:$D$155,B181,'04 Assessment Log'!$J$6:$J$155,G181,'04 Assessment Log'!$AA$6:$AA$155,"Yes")=0,"",SUMIFS('04 Assessment Log'!$O$6:$O$155,'04 Assessment Log'!$D$6:$D$155,B181,'04 Assessment Log'!$J$6:$J$155,G181,'04 Assessment Log'!$AA$6:$AA$155,"Yes")))</x:f>
      </x:c>
      <x:c r="L181" s="94" t="str">
        <x:f>IF(OR(J181="",K181=""),"",MAX(J181-K181,0))</x:f>
      </x:c>
      <x:c r="M181" s="102" t="str">
        <x:f>IF(COUNTIFS('04 Assessment Log'!$D$6:$D$155,B181,'04 Assessment Log'!$J$6:$J$155,G181,'04 Assessment Log'!$AA$6:$AA$155,"Yes")=0,"",SUMIFS('04 Assessment Log'!$B$6:$B$155,'04 Assessment Log'!$D$6:$D$155,B181,'04 Assessment Log'!$J$6:$J$155,G181,'04 Assessment Log'!$AA$6:$AA$155,"Yes"))</x:f>
      </x:c>
      <x:c r="N181" s="102" t="str">
        <x:f>IF(M181="","",SUMIFS('04 Assessment Log'!$Z$6:$Z$155,'04 Assessment Log'!$D$6:$D$155,B181,'04 Assessment Log'!$J$6:$J$155,G181,'04 Assessment Log'!$AA$6:$AA$155,"Yes"))</x:f>
      </x:c>
      <x:c r="O181" s="94" t="str">
        <x:f>IF(M181="","Not Assessed",IF(N181&lt;TODAY(),"Expired",IF(N181&lt;=TODAY()+30,"Due Soon","Current")))</x:f>
        <x:v>Not Assessed</x:v>
      </x:c>
      <x:c r="P181" s="94" t="str">
        <x:f>IF(OR(B181="",G181=""),"",COUNTIFS('05 Development Actions'!$C$6:$C$105,B181,'05 Development Actions'!$G$6:$G$105,G181,'05 Development Actions'!$A$6:$A$105,"&lt;&gt;",'05 Development Actions'!$AB$6:$AB$105,"&lt;&gt;Closed — Competent",'05 Development Actions'!$AB$6:$AB$105,"&lt;&gt;Cancelled"))</x:f>
      </x:c>
      <x:c r="Q181" s="94" t="str">
        <x:f>IF(OR(B181="",G181=""),"",COUNTIFS('11 Training Attendance'!$E$6:$E$155,B181,'11 Training Attendance'!$K$6:$K$155,"Attended",'11 Training Attendance'!$I$6:$I$155,G181))</x:f>
      </x:c>
      <x:c r="R181" s="102" t="str">
        <x:f>IF(Q181=0,"",MAXIFS('11 Training Attendance'!$D$6:$D$155,'11 Training Attendance'!$E$6:$E$155,B181,'11 Training Attendance'!$K$6:$K$155,"Attended",'11 Training Attendance'!$I$6:$I$155,G181))</x:f>
      </x:c>
      <x:c r="S181" s="94" t="str">
        <x:f>IF(OR(B181="",G181=""),"",COUNTIFS('13 Effectiveness Review'!$C$6:$C$155,B181,'13 Effectiveness Review'!$F$6:$F$155,G181,'13 Effectiveness Review'!$X$6:$X$155,"Closed — Effective"))</x:f>
      </x:c>
      <x:c r="T181" s="94" t="str">
        <x:f>IF(B181="","",IF(K181="","Not Assessed",IF(O181="Expired","Renewal Due",IF(L181=0,"Competent","Skill Gap"))))</x:f>
      </x:c>
      <x:c r="U181" s="94" t="str">
        <x:f>IFERROR(VLOOKUP(D181&amp;"|"&amp;E181&amp;"|"&amp;G181,'03 Position Requirements'!$A$6:$R$285,14,FALSE),"")</x:f>
      </x:c>
      <x:c r="V181" s="92"/>
      <x:c r="W181" s="85" t="str">
        <x:f>IF(B181="","",B181&amp;"|"&amp;COUNTIF($B$6:B181,B181))</x:f>
      </x:c>
      <x:c r="X181" s="85" t="str">
        <x:f>IF(B181="","",G181)</x:f>
      </x:c>
      <x:c r="Y181" s="85" t="str">
        <x:f>IF(B181="","",H181)</x:f>
      </x:c>
      <x:c r="Z181" s="85" t="str">
        <x:f>IF(B181="","",I181)</x:f>
      </x:c>
      <x:c r="AA181" s="85" t="str">
        <x:f>IF(B181="","",J181)</x:f>
      </x:c>
      <x:c r="AB181" s="85" t="str">
        <x:f>IF(B181="","",K181)</x:f>
      </x:c>
      <x:c r="AC181" s="85" t="str">
        <x:f>IF(B181="","",L181)</x:f>
      </x:c>
      <x:c r="AD181" s="85" t="str">
        <x:f>IF(B181="","",M181)</x:f>
      </x:c>
      <x:c r="AE181" s="85" t="str">
        <x:f>IF(B181="","",N181)</x:f>
      </x:c>
      <x:c r="AF181" s="85" t="str">
        <x:f>IF(B181="","",O181)</x:f>
      </x:c>
      <x:c r="AG181" s="85" t="str">
        <x:f>IF(B181="","",P181)</x:f>
      </x:c>
      <x:c r="AH181" s="85" t="str">
        <x:f>IF(B181="","",Q181)</x:f>
      </x:c>
      <x:c r="AI181" s="85" t="str">
        <x:f>IF(B181="","",R181)</x:f>
      </x:c>
      <x:c r="AJ181" s="85" t="str">
        <x:f>IF(B181="","",S181)</x:f>
      </x:c>
      <x:c r="AK181" s="85" t="str">
        <x:f>IF(B181="","",T181)</x:f>
      </x:c>
    </x:row>
    <x:row r="182">
      <x:c r="A182" s="94" t="str">
        <x:f>IF(OR(B182="",G182=""),"",B182&amp;"|"&amp;G182)</x:f>
      </x:c>
      <x:c r="B182" s="92"/>
      <x:c r="C182" s="94" t="str">
        <x:f>IFERROR(VLOOKUP(B182,'01 Staff Master'!$A$6:$M$105,2,FALSE),"")</x:f>
      </x:c>
      <x:c r="D182" s="94" t="str">
        <x:f>IFERROR(VLOOKUP(B182,'01 Staff Master'!$A$6:$M$105,3,FALSE),"")</x:f>
      </x:c>
      <x:c r="E182" s="94" t="str">
        <x:f>IFERROR(VLOOKUP(B182,'01 Staff Master'!$A$6:$M$105,5,FALSE),"")</x:f>
      </x:c>
      <x:c r="F182" s="94" t="str">
        <x:f>IFERROR(VLOOKUP(B182,'01 Staff Master'!$A$6:$M$105,4,FALSE),"")</x:f>
      </x:c>
      <x:c r="G182" s="92"/>
      <x:c r="H182" s="94" t="str">
        <x:f>IFERROR(VLOOKUP(G182,'02 Skill Catalogue'!$A$6:$K$95,4,FALSE),"")</x:f>
      </x:c>
      <x:c r="I182" s="94" t="str">
        <x:f>IFERROR(VLOOKUP(D182&amp;"|"&amp;E182&amp;"|"&amp;G182,'03 Position Requirements'!$A$6:$R$285,8,FALSE),"")</x:f>
      </x:c>
      <x:c r="J182" s="94" t="str">
        <x:f>IFERROR(VLOOKUP(D182&amp;"|"&amp;E182&amp;"|"&amp;G182,'03 Position Requirements'!$A$6:$R$285,10,FALSE),"")</x:f>
      </x:c>
      <x:c r="K182" s="94" t="str">
        <x:f>IF(OR(B182="",G182=""),"",IF(COUNTIFS('04 Assessment Log'!$D$6:$D$155,B182,'04 Assessment Log'!$J$6:$J$155,G182,'04 Assessment Log'!$AA$6:$AA$155,"Yes")=0,"",SUMIFS('04 Assessment Log'!$O$6:$O$155,'04 Assessment Log'!$D$6:$D$155,B182,'04 Assessment Log'!$J$6:$J$155,G182,'04 Assessment Log'!$AA$6:$AA$155,"Yes")))</x:f>
      </x:c>
      <x:c r="L182" s="94" t="str">
        <x:f>IF(OR(J182="",K182=""),"",MAX(J182-K182,0))</x:f>
      </x:c>
      <x:c r="M182" s="102" t="str">
        <x:f>IF(COUNTIFS('04 Assessment Log'!$D$6:$D$155,B182,'04 Assessment Log'!$J$6:$J$155,G182,'04 Assessment Log'!$AA$6:$AA$155,"Yes")=0,"",SUMIFS('04 Assessment Log'!$B$6:$B$155,'04 Assessment Log'!$D$6:$D$155,B182,'04 Assessment Log'!$J$6:$J$155,G182,'04 Assessment Log'!$AA$6:$AA$155,"Yes"))</x:f>
      </x:c>
      <x:c r="N182" s="102" t="str">
        <x:f>IF(M182="","",SUMIFS('04 Assessment Log'!$Z$6:$Z$155,'04 Assessment Log'!$D$6:$D$155,B182,'04 Assessment Log'!$J$6:$J$155,G182,'04 Assessment Log'!$AA$6:$AA$155,"Yes"))</x:f>
      </x:c>
      <x:c r="O182" s="94" t="str">
        <x:f>IF(M182="","Not Assessed",IF(N182&lt;TODAY(),"Expired",IF(N182&lt;=TODAY()+30,"Due Soon","Current")))</x:f>
        <x:v>Not Assessed</x:v>
      </x:c>
      <x:c r="P182" s="94" t="str">
        <x:f>IF(OR(B182="",G182=""),"",COUNTIFS('05 Development Actions'!$C$6:$C$105,B182,'05 Development Actions'!$G$6:$G$105,G182,'05 Development Actions'!$A$6:$A$105,"&lt;&gt;",'05 Development Actions'!$AB$6:$AB$105,"&lt;&gt;Closed — Competent",'05 Development Actions'!$AB$6:$AB$105,"&lt;&gt;Cancelled"))</x:f>
      </x:c>
      <x:c r="Q182" s="94" t="str">
        <x:f>IF(OR(B182="",G182=""),"",COUNTIFS('11 Training Attendance'!$E$6:$E$155,B182,'11 Training Attendance'!$K$6:$K$155,"Attended",'11 Training Attendance'!$I$6:$I$155,G182))</x:f>
      </x:c>
      <x:c r="R182" s="102" t="str">
        <x:f>IF(Q182=0,"",MAXIFS('11 Training Attendance'!$D$6:$D$155,'11 Training Attendance'!$E$6:$E$155,B182,'11 Training Attendance'!$K$6:$K$155,"Attended",'11 Training Attendance'!$I$6:$I$155,G182))</x:f>
      </x:c>
      <x:c r="S182" s="94" t="str">
        <x:f>IF(OR(B182="",G182=""),"",COUNTIFS('13 Effectiveness Review'!$C$6:$C$155,B182,'13 Effectiveness Review'!$F$6:$F$155,G182,'13 Effectiveness Review'!$X$6:$X$155,"Closed — Effective"))</x:f>
      </x:c>
      <x:c r="T182" s="94" t="str">
        <x:f>IF(B182="","",IF(K182="","Not Assessed",IF(O182="Expired","Renewal Due",IF(L182=0,"Competent","Skill Gap"))))</x:f>
      </x:c>
      <x:c r="U182" s="94" t="str">
        <x:f>IFERROR(VLOOKUP(D182&amp;"|"&amp;E182&amp;"|"&amp;G182,'03 Position Requirements'!$A$6:$R$285,14,FALSE),"")</x:f>
      </x:c>
      <x:c r="V182" s="92"/>
      <x:c r="W182" s="85" t="str">
        <x:f>IF(B182="","",B182&amp;"|"&amp;COUNTIF($B$6:B182,B182))</x:f>
      </x:c>
      <x:c r="X182" s="85" t="str">
        <x:f>IF(B182="","",G182)</x:f>
      </x:c>
      <x:c r="Y182" s="85" t="str">
        <x:f>IF(B182="","",H182)</x:f>
      </x:c>
      <x:c r="Z182" s="85" t="str">
        <x:f>IF(B182="","",I182)</x:f>
      </x:c>
      <x:c r="AA182" s="85" t="str">
        <x:f>IF(B182="","",J182)</x:f>
      </x:c>
      <x:c r="AB182" s="85" t="str">
        <x:f>IF(B182="","",K182)</x:f>
      </x:c>
      <x:c r="AC182" s="85" t="str">
        <x:f>IF(B182="","",L182)</x:f>
      </x:c>
      <x:c r="AD182" s="85" t="str">
        <x:f>IF(B182="","",M182)</x:f>
      </x:c>
      <x:c r="AE182" s="85" t="str">
        <x:f>IF(B182="","",N182)</x:f>
      </x:c>
      <x:c r="AF182" s="85" t="str">
        <x:f>IF(B182="","",O182)</x:f>
      </x:c>
      <x:c r="AG182" s="85" t="str">
        <x:f>IF(B182="","",P182)</x:f>
      </x:c>
      <x:c r="AH182" s="85" t="str">
        <x:f>IF(B182="","",Q182)</x:f>
      </x:c>
      <x:c r="AI182" s="85" t="str">
        <x:f>IF(B182="","",R182)</x:f>
      </x:c>
      <x:c r="AJ182" s="85" t="str">
        <x:f>IF(B182="","",S182)</x:f>
      </x:c>
      <x:c r="AK182" s="85" t="str">
        <x:f>IF(B182="","",T182)</x:f>
      </x:c>
    </x:row>
    <x:row r="183">
      <x:c r="A183" s="94" t="str">
        <x:f>IF(OR(B183="",G183=""),"",B183&amp;"|"&amp;G183)</x:f>
      </x:c>
      <x:c r="B183" s="92"/>
      <x:c r="C183" s="94" t="str">
        <x:f>IFERROR(VLOOKUP(B183,'01 Staff Master'!$A$6:$M$105,2,FALSE),"")</x:f>
      </x:c>
      <x:c r="D183" s="94" t="str">
        <x:f>IFERROR(VLOOKUP(B183,'01 Staff Master'!$A$6:$M$105,3,FALSE),"")</x:f>
      </x:c>
      <x:c r="E183" s="94" t="str">
        <x:f>IFERROR(VLOOKUP(B183,'01 Staff Master'!$A$6:$M$105,5,FALSE),"")</x:f>
      </x:c>
      <x:c r="F183" s="94" t="str">
        <x:f>IFERROR(VLOOKUP(B183,'01 Staff Master'!$A$6:$M$105,4,FALSE),"")</x:f>
      </x:c>
      <x:c r="G183" s="92"/>
      <x:c r="H183" s="94" t="str">
        <x:f>IFERROR(VLOOKUP(G183,'02 Skill Catalogue'!$A$6:$K$95,4,FALSE),"")</x:f>
      </x:c>
      <x:c r="I183" s="94" t="str">
        <x:f>IFERROR(VLOOKUP(D183&amp;"|"&amp;E183&amp;"|"&amp;G183,'03 Position Requirements'!$A$6:$R$285,8,FALSE),"")</x:f>
      </x:c>
      <x:c r="J183" s="94" t="str">
        <x:f>IFERROR(VLOOKUP(D183&amp;"|"&amp;E183&amp;"|"&amp;G183,'03 Position Requirements'!$A$6:$R$285,10,FALSE),"")</x:f>
      </x:c>
      <x:c r="K183" s="94" t="str">
        <x:f>IF(OR(B183="",G183=""),"",IF(COUNTIFS('04 Assessment Log'!$D$6:$D$155,B183,'04 Assessment Log'!$J$6:$J$155,G183,'04 Assessment Log'!$AA$6:$AA$155,"Yes")=0,"",SUMIFS('04 Assessment Log'!$O$6:$O$155,'04 Assessment Log'!$D$6:$D$155,B183,'04 Assessment Log'!$J$6:$J$155,G183,'04 Assessment Log'!$AA$6:$AA$155,"Yes")))</x:f>
      </x:c>
      <x:c r="L183" s="94" t="str">
        <x:f>IF(OR(J183="",K183=""),"",MAX(J183-K183,0))</x:f>
      </x:c>
      <x:c r="M183" s="102" t="str">
        <x:f>IF(COUNTIFS('04 Assessment Log'!$D$6:$D$155,B183,'04 Assessment Log'!$J$6:$J$155,G183,'04 Assessment Log'!$AA$6:$AA$155,"Yes")=0,"",SUMIFS('04 Assessment Log'!$B$6:$B$155,'04 Assessment Log'!$D$6:$D$155,B183,'04 Assessment Log'!$J$6:$J$155,G183,'04 Assessment Log'!$AA$6:$AA$155,"Yes"))</x:f>
      </x:c>
      <x:c r="N183" s="102" t="str">
        <x:f>IF(M183="","",SUMIFS('04 Assessment Log'!$Z$6:$Z$155,'04 Assessment Log'!$D$6:$D$155,B183,'04 Assessment Log'!$J$6:$J$155,G183,'04 Assessment Log'!$AA$6:$AA$155,"Yes"))</x:f>
      </x:c>
      <x:c r="O183" s="94" t="str">
        <x:f>IF(M183="","Not Assessed",IF(N183&lt;TODAY(),"Expired",IF(N183&lt;=TODAY()+30,"Due Soon","Current")))</x:f>
        <x:v>Not Assessed</x:v>
      </x:c>
      <x:c r="P183" s="94" t="str">
        <x:f>IF(OR(B183="",G183=""),"",COUNTIFS('05 Development Actions'!$C$6:$C$105,B183,'05 Development Actions'!$G$6:$G$105,G183,'05 Development Actions'!$A$6:$A$105,"&lt;&gt;",'05 Development Actions'!$AB$6:$AB$105,"&lt;&gt;Closed — Competent",'05 Development Actions'!$AB$6:$AB$105,"&lt;&gt;Cancelled"))</x:f>
      </x:c>
      <x:c r="Q183" s="94" t="str">
        <x:f>IF(OR(B183="",G183=""),"",COUNTIFS('11 Training Attendance'!$E$6:$E$155,B183,'11 Training Attendance'!$K$6:$K$155,"Attended",'11 Training Attendance'!$I$6:$I$155,G183))</x:f>
      </x:c>
      <x:c r="R183" s="102" t="str">
        <x:f>IF(Q183=0,"",MAXIFS('11 Training Attendance'!$D$6:$D$155,'11 Training Attendance'!$E$6:$E$155,B183,'11 Training Attendance'!$K$6:$K$155,"Attended",'11 Training Attendance'!$I$6:$I$155,G183))</x:f>
      </x:c>
      <x:c r="S183" s="94" t="str">
        <x:f>IF(OR(B183="",G183=""),"",COUNTIFS('13 Effectiveness Review'!$C$6:$C$155,B183,'13 Effectiveness Review'!$F$6:$F$155,G183,'13 Effectiveness Review'!$X$6:$X$155,"Closed — Effective"))</x:f>
      </x:c>
      <x:c r="T183" s="94" t="str">
        <x:f>IF(B183="","",IF(K183="","Not Assessed",IF(O183="Expired","Renewal Due",IF(L183=0,"Competent","Skill Gap"))))</x:f>
      </x:c>
      <x:c r="U183" s="94" t="str">
        <x:f>IFERROR(VLOOKUP(D183&amp;"|"&amp;E183&amp;"|"&amp;G183,'03 Position Requirements'!$A$6:$R$285,14,FALSE),"")</x:f>
      </x:c>
      <x:c r="V183" s="92"/>
      <x:c r="W183" s="85" t="str">
        <x:f>IF(B183="","",B183&amp;"|"&amp;COUNTIF($B$6:B183,B183))</x:f>
      </x:c>
      <x:c r="X183" s="85" t="str">
        <x:f>IF(B183="","",G183)</x:f>
      </x:c>
      <x:c r="Y183" s="85" t="str">
        <x:f>IF(B183="","",H183)</x:f>
      </x:c>
      <x:c r="Z183" s="85" t="str">
        <x:f>IF(B183="","",I183)</x:f>
      </x:c>
      <x:c r="AA183" s="85" t="str">
        <x:f>IF(B183="","",J183)</x:f>
      </x:c>
      <x:c r="AB183" s="85" t="str">
        <x:f>IF(B183="","",K183)</x:f>
      </x:c>
      <x:c r="AC183" s="85" t="str">
        <x:f>IF(B183="","",L183)</x:f>
      </x:c>
      <x:c r="AD183" s="85" t="str">
        <x:f>IF(B183="","",M183)</x:f>
      </x:c>
      <x:c r="AE183" s="85" t="str">
        <x:f>IF(B183="","",N183)</x:f>
      </x:c>
      <x:c r="AF183" s="85" t="str">
        <x:f>IF(B183="","",O183)</x:f>
      </x:c>
      <x:c r="AG183" s="85" t="str">
        <x:f>IF(B183="","",P183)</x:f>
      </x:c>
      <x:c r="AH183" s="85" t="str">
        <x:f>IF(B183="","",Q183)</x:f>
      </x:c>
      <x:c r="AI183" s="85" t="str">
        <x:f>IF(B183="","",R183)</x:f>
      </x:c>
      <x:c r="AJ183" s="85" t="str">
        <x:f>IF(B183="","",S183)</x:f>
      </x:c>
      <x:c r="AK183" s="85" t="str">
        <x:f>IF(B183="","",T183)</x:f>
      </x:c>
    </x:row>
    <x:row r="184">
      <x:c r="A184" s="94" t="str">
        <x:f>IF(OR(B184="",G184=""),"",B184&amp;"|"&amp;G184)</x:f>
      </x:c>
      <x:c r="B184" s="92"/>
      <x:c r="C184" s="94" t="str">
        <x:f>IFERROR(VLOOKUP(B184,'01 Staff Master'!$A$6:$M$105,2,FALSE),"")</x:f>
      </x:c>
      <x:c r="D184" s="94" t="str">
        <x:f>IFERROR(VLOOKUP(B184,'01 Staff Master'!$A$6:$M$105,3,FALSE),"")</x:f>
      </x:c>
      <x:c r="E184" s="94" t="str">
        <x:f>IFERROR(VLOOKUP(B184,'01 Staff Master'!$A$6:$M$105,5,FALSE),"")</x:f>
      </x:c>
      <x:c r="F184" s="94" t="str">
        <x:f>IFERROR(VLOOKUP(B184,'01 Staff Master'!$A$6:$M$105,4,FALSE),"")</x:f>
      </x:c>
      <x:c r="G184" s="92"/>
      <x:c r="H184" s="94" t="str">
        <x:f>IFERROR(VLOOKUP(G184,'02 Skill Catalogue'!$A$6:$K$95,4,FALSE),"")</x:f>
      </x:c>
      <x:c r="I184" s="94" t="str">
        <x:f>IFERROR(VLOOKUP(D184&amp;"|"&amp;E184&amp;"|"&amp;G184,'03 Position Requirements'!$A$6:$R$285,8,FALSE),"")</x:f>
      </x:c>
      <x:c r="J184" s="94" t="str">
        <x:f>IFERROR(VLOOKUP(D184&amp;"|"&amp;E184&amp;"|"&amp;G184,'03 Position Requirements'!$A$6:$R$285,10,FALSE),"")</x:f>
      </x:c>
      <x:c r="K184" s="94" t="str">
        <x:f>IF(OR(B184="",G184=""),"",IF(COUNTIFS('04 Assessment Log'!$D$6:$D$155,B184,'04 Assessment Log'!$J$6:$J$155,G184,'04 Assessment Log'!$AA$6:$AA$155,"Yes")=0,"",SUMIFS('04 Assessment Log'!$O$6:$O$155,'04 Assessment Log'!$D$6:$D$155,B184,'04 Assessment Log'!$J$6:$J$155,G184,'04 Assessment Log'!$AA$6:$AA$155,"Yes")))</x:f>
      </x:c>
      <x:c r="L184" s="94" t="str">
        <x:f>IF(OR(J184="",K184=""),"",MAX(J184-K184,0))</x:f>
      </x:c>
      <x:c r="M184" s="102" t="str">
        <x:f>IF(COUNTIFS('04 Assessment Log'!$D$6:$D$155,B184,'04 Assessment Log'!$J$6:$J$155,G184,'04 Assessment Log'!$AA$6:$AA$155,"Yes")=0,"",SUMIFS('04 Assessment Log'!$B$6:$B$155,'04 Assessment Log'!$D$6:$D$155,B184,'04 Assessment Log'!$J$6:$J$155,G184,'04 Assessment Log'!$AA$6:$AA$155,"Yes"))</x:f>
      </x:c>
      <x:c r="N184" s="102" t="str">
        <x:f>IF(M184="","",SUMIFS('04 Assessment Log'!$Z$6:$Z$155,'04 Assessment Log'!$D$6:$D$155,B184,'04 Assessment Log'!$J$6:$J$155,G184,'04 Assessment Log'!$AA$6:$AA$155,"Yes"))</x:f>
      </x:c>
      <x:c r="O184" s="94" t="str">
        <x:f>IF(M184="","Not Assessed",IF(N184&lt;TODAY(),"Expired",IF(N184&lt;=TODAY()+30,"Due Soon","Current")))</x:f>
        <x:v>Not Assessed</x:v>
      </x:c>
      <x:c r="P184" s="94" t="str">
        <x:f>IF(OR(B184="",G184=""),"",COUNTIFS('05 Development Actions'!$C$6:$C$105,B184,'05 Development Actions'!$G$6:$G$105,G184,'05 Development Actions'!$A$6:$A$105,"&lt;&gt;",'05 Development Actions'!$AB$6:$AB$105,"&lt;&gt;Closed — Competent",'05 Development Actions'!$AB$6:$AB$105,"&lt;&gt;Cancelled"))</x:f>
      </x:c>
      <x:c r="Q184" s="94" t="str">
        <x:f>IF(OR(B184="",G184=""),"",COUNTIFS('11 Training Attendance'!$E$6:$E$155,B184,'11 Training Attendance'!$K$6:$K$155,"Attended",'11 Training Attendance'!$I$6:$I$155,G184))</x:f>
      </x:c>
      <x:c r="R184" s="102" t="str">
        <x:f>IF(Q184=0,"",MAXIFS('11 Training Attendance'!$D$6:$D$155,'11 Training Attendance'!$E$6:$E$155,B184,'11 Training Attendance'!$K$6:$K$155,"Attended",'11 Training Attendance'!$I$6:$I$155,G184))</x:f>
      </x:c>
      <x:c r="S184" s="94" t="str">
        <x:f>IF(OR(B184="",G184=""),"",COUNTIFS('13 Effectiveness Review'!$C$6:$C$155,B184,'13 Effectiveness Review'!$F$6:$F$155,G184,'13 Effectiveness Review'!$X$6:$X$155,"Closed — Effective"))</x:f>
      </x:c>
      <x:c r="T184" s="94" t="str">
        <x:f>IF(B184="","",IF(K184="","Not Assessed",IF(O184="Expired","Renewal Due",IF(L184=0,"Competent","Skill Gap"))))</x:f>
      </x:c>
      <x:c r="U184" s="94" t="str">
        <x:f>IFERROR(VLOOKUP(D184&amp;"|"&amp;E184&amp;"|"&amp;G184,'03 Position Requirements'!$A$6:$R$285,14,FALSE),"")</x:f>
      </x:c>
      <x:c r="V184" s="92"/>
      <x:c r="W184" s="85" t="str">
        <x:f>IF(B184="","",B184&amp;"|"&amp;COUNTIF($B$6:B184,B184))</x:f>
      </x:c>
      <x:c r="X184" s="85" t="str">
        <x:f>IF(B184="","",G184)</x:f>
      </x:c>
      <x:c r="Y184" s="85" t="str">
        <x:f>IF(B184="","",H184)</x:f>
      </x:c>
      <x:c r="Z184" s="85" t="str">
        <x:f>IF(B184="","",I184)</x:f>
      </x:c>
      <x:c r="AA184" s="85" t="str">
        <x:f>IF(B184="","",J184)</x:f>
      </x:c>
      <x:c r="AB184" s="85" t="str">
        <x:f>IF(B184="","",K184)</x:f>
      </x:c>
      <x:c r="AC184" s="85" t="str">
        <x:f>IF(B184="","",L184)</x:f>
      </x:c>
      <x:c r="AD184" s="85" t="str">
        <x:f>IF(B184="","",M184)</x:f>
      </x:c>
      <x:c r="AE184" s="85" t="str">
        <x:f>IF(B184="","",N184)</x:f>
      </x:c>
      <x:c r="AF184" s="85" t="str">
        <x:f>IF(B184="","",O184)</x:f>
      </x:c>
      <x:c r="AG184" s="85" t="str">
        <x:f>IF(B184="","",P184)</x:f>
      </x:c>
      <x:c r="AH184" s="85" t="str">
        <x:f>IF(B184="","",Q184)</x:f>
      </x:c>
      <x:c r="AI184" s="85" t="str">
        <x:f>IF(B184="","",R184)</x:f>
      </x:c>
      <x:c r="AJ184" s="85" t="str">
        <x:f>IF(B184="","",S184)</x:f>
      </x:c>
      <x:c r="AK184" s="85" t="str">
        <x:f>IF(B184="","",T184)</x:f>
      </x:c>
    </x:row>
    <x:row r="185">
      <x:c r="A185" s="94" t="str">
        <x:f>IF(OR(B185="",G185=""),"",B185&amp;"|"&amp;G185)</x:f>
      </x:c>
      <x:c r="B185" s="92"/>
      <x:c r="C185" s="94" t="str">
        <x:f>IFERROR(VLOOKUP(B185,'01 Staff Master'!$A$6:$M$105,2,FALSE),"")</x:f>
      </x:c>
      <x:c r="D185" s="94" t="str">
        <x:f>IFERROR(VLOOKUP(B185,'01 Staff Master'!$A$6:$M$105,3,FALSE),"")</x:f>
      </x:c>
      <x:c r="E185" s="94" t="str">
        <x:f>IFERROR(VLOOKUP(B185,'01 Staff Master'!$A$6:$M$105,5,FALSE),"")</x:f>
      </x:c>
      <x:c r="F185" s="94" t="str">
        <x:f>IFERROR(VLOOKUP(B185,'01 Staff Master'!$A$6:$M$105,4,FALSE),"")</x:f>
      </x:c>
      <x:c r="G185" s="92"/>
      <x:c r="H185" s="94" t="str">
        <x:f>IFERROR(VLOOKUP(G185,'02 Skill Catalogue'!$A$6:$K$95,4,FALSE),"")</x:f>
      </x:c>
      <x:c r="I185" s="94" t="str">
        <x:f>IFERROR(VLOOKUP(D185&amp;"|"&amp;E185&amp;"|"&amp;G185,'03 Position Requirements'!$A$6:$R$285,8,FALSE),"")</x:f>
      </x:c>
      <x:c r="J185" s="94" t="str">
        <x:f>IFERROR(VLOOKUP(D185&amp;"|"&amp;E185&amp;"|"&amp;G185,'03 Position Requirements'!$A$6:$R$285,10,FALSE),"")</x:f>
      </x:c>
      <x:c r="K185" s="94" t="str">
        <x:f>IF(OR(B185="",G185=""),"",IF(COUNTIFS('04 Assessment Log'!$D$6:$D$155,B185,'04 Assessment Log'!$J$6:$J$155,G185,'04 Assessment Log'!$AA$6:$AA$155,"Yes")=0,"",SUMIFS('04 Assessment Log'!$O$6:$O$155,'04 Assessment Log'!$D$6:$D$155,B185,'04 Assessment Log'!$J$6:$J$155,G185,'04 Assessment Log'!$AA$6:$AA$155,"Yes")))</x:f>
      </x:c>
      <x:c r="L185" s="94" t="str">
        <x:f>IF(OR(J185="",K185=""),"",MAX(J185-K185,0))</x:f>
      </x:c>
      <x:c r="M185" s="102" t="str">
        <x:f>IF(COUNTIFS('04 Assessment Log'!$D$6:$D$155,B185,'04 Assessment Log'!$J$6:$J$155,G185,'04 Assessment Log'!$AA$6:$AA$155,"Yes")=0,"",SUMIFS('04 Assessment Log'!$B$6:$B$155,'04 Assessment Log'!$D$6:$D$155,B185,'04 Assessment Log'!$J$6:$J$155,G185,'04 Assessment Log'!$AA$6:$AA$155,"Yes"))</x:f>
      </x:c>
      <x:c r="N185" s="102" t="str">
        <x:f>IF(M185="","",SUMIFS('04 Assessment Log'!$Z$6:$Z$155,'04 Assessment Log'!$D$6:$D$155,B185,'04 Assessment Log'!$J$6:$J$155,G185,'04 Assessment Log'!$AA$6:$AA$155,"Yes"))</x:f>
      </x:c>
      <x:c r="O185" s="94" t="str">
        <x:f>IF(M185="","Not Assessed",IF(N185&lt;TODAY(),"Expired",IF(N185&lt;=TODAY()+30,"Due Soon","Current")))</x:f>
        <x:v>Not Assessed</x:v>
      </x:c>
      <x:c r="P185" s="94" t="str">
        <x:f>IF(OR(B185="",G185=""),"",COUNTIFS('05 Development Actions'!$C$6:$C$105,B185,'05 Development Actions'!$G$6:$G$105,G185,'05 Development Actions'!$A$6:$A$105,"&lt;&gt;",'05 Development Actions'!$AB$6:$AB$105,"&lt;&gt;Closed — Competent",'05 Development Actions'!$AB$6:$AB$105,"&lt;&gt;Cancelled"))</x:f>
      </x:c>
      <x:c r="Q185" s="94" t="str">
        <x:f>IF(OR(B185="",G185=""),"",COUNTIFS('11 Training Attendance'!$E$6:$E$155,B185,'11 Training Attendance'!$K$6:$K$155,"Attended",'11 Training Attendance'!$I$6:$I$155,G185))</x:f>
      </x:c>
      <x:c r="R185" s="102" t="str">
        <x:f>IF(Q185=0,"",MAXIFS('11 Training Attendance'!$D$6:$D$155,'11 Training Attendance'!$E$6:$E$155,B185,'11 Training Attendance'!$K$6:$K$155,"Attended",'11 Training Attendance'!$I$6:$I$155,G185))</x:f>
      </x:c>
      <x:c r="S185" s="94" t="str">
        <x:f>IF(OR(B185="",G185=""),"",COUNTIFS('13 Effectiveness Review'!$C$6:$C$155,B185,'13 Effectiveness Review'!$F$6:$F$155,G185,'13 Effectiveness Review'!$X$6:$X$155,"Closed — Effective"))</x:f>
      </x:c>
      <x:c r="T185" s="94" t="str">
        <x:f>IF(B185="","",IF(K185="","Not Assessed",IF(O185="Expired","Renewal Due",IF(L185=0,"Competent","Skill Gap"))))</x:f>
      </x:c>
      <x:c r="U185" s="94" t="str">
        <x:f>IFERROR(VLOOKUP(D185&amp;"|"&amp;E185&amp;"|"&amp;G185,'03 Position Requirements'!$A$6:$R$285,14,FALSE),"")</x:f>
      </x:c>
      <x:c r="V185" s="92"/>
      <x:c r="W185" s="85" t="str">
        <x:f>IF(B185="","",B185&amp;"|"&amp;COUNTIF($B$6:B185,B185))</x:f>
      </x:c>
      <x:c r="X185" s="85" t="str">
        <x:f>IF(B185="","",G185)</x:f>
      </x:c>
      <x:c r="Y185" s="85" t="str">
        <x:f>IF(B185="","",H185)</x:f>
      </x:c>
      <x:c r="Z185" s="85" t="str">
        <x:f>IF(B185="","",I185)</x:f>
      </x:c>
      <x:c r="AA185" s="85" t="str">
        <x:f>IF(B185="","",J185)</x:f>
      </x:c>
      <x:c r="AB185" s="85" t="str">
        <x:f>IF(B185="","",K185)</x:f>
      </x:c>
      <x:c r="AC185" s="85" t="str">
        <x:f>IF(B185="","",L185)</x:f>
      </x:c>
      <x:c r="AD185" s="85" t="str">
        <x:f>IF(B185="","",M185)</x:f>
      </x:c>
      <x:c r="AE185" s="85" t="str">
        <x:f>IF(B185="","",N185)</x:f>
      </x:c>
      <x:c r="AF185" s="85" t="str">
        <x:f>IF(B185="","",O185)</x:f>
      </x:c>
      <x:c r="AG185" s="85" t="str">
        <x:f>IF(B185="","",P185)</x:f>
      </x:c>
      <x:c r="AH185" s="85" t="str">
        <x:f>IF(B185="","",Q185)</x:f>
      </x:c>
      <x:c r="AI185" s="85" t="str">
        <x:f>IF(B185="","",R185)</x:f>
      </x:c>
      <x:c r="AJ185" s="85" t="str">
        <x:f>IF(B185="","",S185)</x:f>
      </x:c>
      <x:c r="AK185" s="85" t="str">
        <x:f>IF(B185="","",T185)</x:f>
      </x:c>
    </x:row>
    <x:row r="186">
      <x:c r="A186" s="94" t="str">
        <x:f>IF(OR(B186="",G186=""),"",B186&amp;"|"&amp;G186)</x:f>
      </x:c>
      <x:c r="B186" s="92"/>
      <x:c r="C186" s="94" t="str">
        <x:f>IFERROR(VLOOKUP(B186,'01 Staff Master'!$A$6:$M$105,2,FALSE),"")</x:f>
      </x:c>
      <x:c r="D186" s="94" t="str">
        <x:f>IFERROR(VLOOKUP(B186,'01 Staff Master'!$A$6:$M$105,3,FALSE),"")</x:f>
      </x:c>
      <x:c r="E186" s="94" t="str">
        <x:f>IFERROR(VLOOKUP(B186,'01 Staff Master'!$A$6:$M$105,5,FALSE),"")</x:f>
      </x:c>
      <x:c r="F186" s="94" t="str">
        <x:f>IFERROR(VLOOKUP(B186,'01 Staff Master'!$A$6:$M$105,4,FALSE),"")</x:f>
      </x:c>
      <x:c r="G186" s="92"/>
      <x:c r="H186" s="94" t="str">
        <x:f>IFERROR(VLOOKUP(G186,'02 Skill Catalogue'!$A$6:$K$95,4,FALSE),"")</x:f>
      </x:c>
      <x:c r="I186" s="94" t="str">
        <x:f>IFERROR(VLOOKUP(D186&amp;"|"&amp;E186&amp;"|"&amp;G186,'03 Position Requirements'!$A$6:$R$285,8,FALSE),"")</x:f>
      </x:c>
      <x:c r="J186" s="94" t="str">
        <x:f>IFERROR(VLOOKUP(D186&amp;"|"&amp;E186&amp;"|"&amp;G186,'03 Position Requirements'!$A$6:$R$285,10,FALSE),"")</x:f>
      </x:c>
      <x:c r="K186" s="94" t="str">
        <x:f>IF(OR(B186="",G186=""),"",IF(COUNTIFS('04 Assessment Log'!$D$6:$D$155,B186,'04 Assessment Log'!$J$6:$J$155,G186,'04 Assessment Log'!$AA$6:$AA$155,"Yes")=0,"",SUMIFS('04 Assessment Log'!$O$6:$O$155,'04 Assessment Log'!$D$6:$D$155,B186,'04 Assessment Log'!$J$6:$J$155,G186,'04 Assessment Log'!$AA$6:$AA$155,"Yes")))</x:f>
      </x:c>
      <x:c r="L186" s="94" t="str">
        <x:f>IF(OR(J186="",K186=""),"",MAX(J186-K186,0))</x:f>
      </x:c>
      <x:c r="M186" s="102" t="str">
        <x:f>IF(COUNTIFS('04 Assessment Log'!$D$6:$D$155,B186,'04 Assessment Log'!$J$6:$J$155,G186,'04 Assessment Log'!$AA$6:$AA$155,"Yes")=0,"",SUMIFS('04 Assessment Log'!$B$6:$B$155,'04 Assessment Log'!$D$6:$D$155,B186,'04 Assessment Log'!$J$6:$J$155,G186,'04 Assessment Log'!$AA$6:$AA$155,"Yes"))</x:f>
      </x:c>
      <x:c r="N186" s="102" t="str">
        <x:f>IF(M186="","",SUMIFS('04 Assessment Log'!$Z$6:$Z$155,'04 Assessment Log'!$D$6:$D$155,B186,'04 Assessment Log'!$J$6:$J$155,G186,'04 Assessment Log'!$AA$6:$AA$155,"Yes"))</x:f>
      </x:c>
      <x:c r="O186" s="94" t="str">
        <x:f>IF(M186="","Not Assessed",IF(N186&lt;TODAY(),"Expired",IF(N186&lt;=TODAY()+30,"Due Soon","Current")))</x:f>
        <x:v>Not Assessed</x:v>
      </x:c>
      <x:c r="P186" s="94" t="str">
        <x:f>IF(OR(B186="",G186=""),"",COUNTIFS('05 Development Actions'!$C$6:$C$105,B186,'05 Development Actions'!$G$6:$G$105,G186,'05 Development Actions'!$A$6:$A$105,"&lt;&gt;",'05 Development Actions'!$AB$6:$AB$105,"&lt;&gt;Closed — Competent",'05 Development Actions'!$AB$6:$AB$105,"&lt;&gt;Cancelled"))</x:f>
      </x:c>
      <x:c r="Q186" s="94" t="str">
        <x:f>IF(OR(B186="",G186=""),"",COUNTIFS('11 Training Attendance'!$E$6:$E$155,B186,'11 Training Attendance'!$K$6:$K$155,"Attended",'11 Training Attendance'!$I$6:$I$155,G186))</x:f>
      </x:c>
      <x:c r="R186" s="102" t="str">
        <x:f>IF(Q186=0,"",MAXIFS('11 Training Attendance'!$D$6:$D$155,'11 Training Attendance'!$E$6:$E$155,B186,'11 Training Attendance'!$K$6:$K$155,"Attended",'11 Training Attendance'!$I$6:$I$155,G186))</x:f>
      </x:c>
      <x:c r="S186" s="94" t="str">
        <x:f>IF(OR(B186="",G186=""),"",COUNTIFS('13 Effectiveness Review'!$C$6:$C$155,B186,'13 Effectiveness Review'!$F$6:$F$155,G186,'13 Effectiveness Review'!$X$6:$X$155,"Closed — Effective"))</x:f>
      </x:c>
      <x:c r="T186" s="94" t="str">
        <x:f>IF(B186="","",IF(K186="","Not Assessed",IF(O186="Expired","Renewal Due",IF(L186=0,"Competent","Skill Gap"))))</x:f>
      </x:c>
      <x:c r="U186" s="94" t="str">
        <x:f>IFERROR(VLOOKUP(D186&amp;"|"&amp;E186&amp;"|"&amp;G186,'03 Position Requirements'!$A$6:$R$285,14,FALSE),"")</x:f>
      </x:c>
      <x:c r="V186" s="92"/>
      <x:c r="W186" s="85" t="str">
        <x:f>IF(B186="","",B186&amp;"|"&amp;COUNTIF($B$6:B186,B186))</x:f>
      </x:c>
      <x:c r="X186" s="85" t="str">
        <x:f>IF(B186="","",G186)</x:f>
      </x:c>
      <x:c r="Y186" s="85" t="str">
        <x:f>IF(B186="","",H186)</x:f>
      </x:c>
      <x:c r="Z186" s="85" t="str">
        <x:f>IF(B186="","",I186)</x:f>
      </x:c>
      <x:c r="AA186" s="85" t="str">
        <x:f>IF(B186="","",J186)</x:f>
      </x:c>
      <x:c r="AB186" s="85" t="str">
        <x:f>IF(B186="","",K186)</x:f>
      </x:c>
      <x:c r="AC186" s="85" t="str">
        <x:f>IF(B186="","",L186)</x:f>
      </x:c>
      <x:c r="AD186" s="85" t="str">
        <x:f>IF(B186="","",M186)</x:f>
      </x:c>
      <x:c r="AE186" s="85" t="str">
        <x:f>IF(B186="","",N186)</x:f>
      </x:c>
      <x:c r="AF186" s="85" t="str">
        <x:f>IF(B186="","",O186)</x:f>
      </x:c>
      <x:c r="AG186" s="85" t="str">
        <x:f>IF(B186="","",P186)</x:f>
      </x:c>
      <x:c r="AH186" s="85" t="str">
        <x:f>IF(B186="","",Q186)</x:f>
      </x:c>
      <x:c r="AI186" s="85" t="str">
        <x:f>IF(B186="","",R186)</x:f>
      </x:c>
      <x:c r="AJ186" s="85" t="str">
        <x:f>IF(B186="","",S186)</x:f>
      </x:c>
      <x:c r="AK186" s="85" t="str">
        <x:f>IF(B186="","",T186)</x:f>
      </x:c>
    </x:row>
    <x:row r="187">
      <x:c r="A187" s="94" t="str">
        <x:f>IF(OR(B187="",G187=""),"",B187&amp;"|"&amp;G187)</x:f>
      </x:c>
      <x:c r="B187" s="92"/>
      <x:c r="C187" s="94" t="str">
        <x:f>IFERROR(VLOOKUP(B187,'01 Staff Master'!$A$6:$M$105,2,FALSE),"")</x:f>
      </x:c>
      <x:c r="D187" s="94" t="str">
        <x:f>IFERROR(VLOOKUP(B187,'01 Staff Master'!$A$6:$M$105,3,FALSE),"")</x:f>
      </x:c>
      <x:c r="E187" s="94" t="str">
        <x:f>IFERROR(VLOOKUP(B187,'01 Staff Master'!$A$6:$M$105,5,FALSE),"")</x:f>
      </x:c>
      <x:c r="F187" s="94" t="str">
        <x:f>IFERROR(VLOOKUP(B187,'01 Staff Master'!$A$6:$M$105,4,FALSE),"")</x:f>
      </x:c>
      <x:c r="G187" s="92"/>
      <x:c r="H187" s="94" t="str">
        <x:f>IFERROR(VLOOKUP(G187,'02 Skill Catalogue'!$A$6:$K$95,4,FALSE),"")</x:f>
      </x:c>
      <x:c r="I187" s="94" t="str">
        <x:f>IFERROR(VLOOKUP(D187&amp;"|"&amp;E187&amp;"|"&amp;G187,'03 Position Requirements'!$A$6:$R$285,8,FALSE),"")</x:f>
      </x:c>
      <x:c r="J187" s="94" t="str">
        <x:f>IFERROR(VLOOKUP(D187&amp;"|"&amp;E187&amp;"|"&amp;G187,'03 Position Requirements'!$A$6:$R$285,10,FALSE),"")</x:f>
      </x:c>
      <x:c r="K187" s="94" t="str">
        <x:f>IF(OR(B187="",G187=""),"",IF(COUNTIFS('04 Assessment Log'!$D$6:$D$155,B187,'04 Assessment Log'!$J$6:$J$155,G187,'04 Assessment Log'!$AA$6:$AA$155,"Yes")=0,"",SUMIFS('04 Assessment Log'!$O$6:$O$155,'04 Assessment Log'!$D$6:$D$155,B187,'04 Assessment Log'!$J$6:$J$155,G187,'04 Assessment Log'!$AA$6:$AA$155,"Yes")))</x:f>
      </x:c>
      <x:c r="L187" s="94" t="str">
        <x:f>IF(OR(J187="",K187=""),"",MAX(J187-K187,0))</x:f>
      </x:c>
      <x:c r="M187" s="102" t="str">
        <x:f>IF(COUNTIFS('04 Assessment Log'!$D$6:$D$155,B187,'04 Assessment Log'!$J$6:$J$155,G187,'04 Assessment Log'!$AA$6:$AA$155,"Yes")=0,"",SUMIFS('04 Assessment Log'!$B$6:$B$155,'04 Assessment Log'!$D$6:$D$155,B187,'04 Assessment Log'!$J$6:$J$155,G187,'04 Assessment Log'!$AA$6:$AA$155,"Yes"))</x:f>
      </x:c>
      <x:c r="N187" s="102" t="str">
        <x:f>IF(M187="","",SUMIFS('04 Assessment Log'!$Z$6:$Z$155,'04 Assessment Log'!$D$6:$D$155,B187,'04 Assessment Log'!$J$6:$J$155,G187,'04 Assessment Log'!$AA$6:$AA$155,"Yes"))</x:f>
      </x:c>
      <x:c r="O187" s="94" t="str">
        <x:f>IF(M187="","Not Assessed",IF(N187&lt;TODAY(),"Expired",IF(N187&lt;=TODAY()+30,"Due Soon","Current")))</x:f>
        <x:v>Not Assessed</x:v>
      </x:c>
      <x:c r="P187" s="94" t="str">
        <x:f>IF(OR(B187="",G187=""),"",COUNTIFS('05 Development Actions'!$C$6:$C$105,B187,'05 Development Actions'!$G$6:$G$105,G187,'05 Development Actions'!$A$6:$A$105,"&lt;&gt;",'05 Development Actions'!$AB$6:$AB$105,"&lt;&gt;Closed — Competent",'05 Development Actions'!$AB$6:$AB$105,"&lt;&gt;Cancelled"))</x:f>
      </x:c>
      <x:c r="Q187" s="94" t="str">
        <x:f>IF(OR(B187="",G187=""),"",COUNTIFS('11 Training Attendance'!$E$6:$E$155,B187,'11 Training Attendance'!$K$6:$K$155,"Attended",'11 Training Attendance'!$I$6:$I$155,G187))</x:f>
      </x:c>
      <x:c r="R187" s="102" t="str">
        <x:f>IF(Q187=0,"",MAXIFS('11 Training Attendance'!$D$6:$D$155,'11 Training Attendance'!$E$6:$E$155,B187,'11 Training Attendance'!$K$6:$K$155,"Attended",'11 Training Attendance'!$I$6:$I$155,G187))</x:f>
      </x:c>
      <x:c r="S187" s="94" t="str">
        <x:f>IF(OR(B187="",G187=""),"",COUNTIFS('13 Effectiveness Review'!$C$6:$C$155,B187,'13 Effectiveness Review'!$F$6:$F$155,G187,'13 Effectiveness Review'!$X$6:$X$155,"Closed — Effective"))</x:f>
      </x:c>
      <x:c r="T187" s="94" t="str">
        <x:f>IF(B187="","",IF(K187="","Not Assessed",IF(O187="Expired","Renewal Due",IF(L187=0,"Competent","Skill Gap"))))</x:f>
      </x:c>
      <x:c r="U187" s="94" t="str">
        <x:f>IFERROR(VLOOKUP(D187&amp;"|"&amp;E187&amp;"|"&amp;G187,'03 Position Requirements'!$A$6:$R$285,14,FALSE),"")</x:f>
      </x:c>
      <x:c r="V187" s="92"/>
      <x:c r="W187" s="85" t="str">
        <x:f>IF(B187="","",B187&amp;"|"&amp;COUNTIF($B$6:B187,B187))</x:f>
      </x:c>
      <x:c r="X187" s="85" t="str">
        <x:f>IF(B187="","",G187)</x:f>
      </x:c>
      <x:c r="Y187" s="85" t="str">
        <x:f>IF(B187="","",H187)</x:f>
      </x:c>
      <x:c r="Z187" s="85" t="str">
        <x:f>IF(B187="","",I187)</x:f>
      </x:c>
      <x:c r="AA187" s="85" t="str">
        <x:f>IF(B187="","",J187)</x:f>
      </x:c>
      <x:c r="AB187" s="85" t="str">
        <x:f>IF(B187="","",K187)</x:f>
      </x:c>
      <x:c r="AC187" s="85" t="str">
        <x:f>IF(B187="","",L187)</x:f>
      </x:c>
      <x:c r="AD187" s="85" t="str">
        <x:f>IF(B187="","",M187)</x:f>
      </x:c>
      <x:c r="AE187" s="85" t="str">
        <x:f>IF(B187="","",N187)</x:f>
      </x:c>
      <x:c r="AF187" s="85" t="str">
        <x:f>IF(B187="","",O187)</x:f>
      </x:c>
      <x:c r="AG187" s="85" t="str">
        <x:f>IF(B187="","",P187)</x:f>
      </x:c>
      <x:c r="AH187" s="85" t="str">
        <x:f>IF(B187="","",Q187)</x:f>
      </x:c>
      <x:c r="AI187" s="85" t="str">
        <x:f>IF(B187="","",R187)</x:f>
      </x:c>
      <x:c r="AJ187" s="85" t="str">
        <x:f>IF(B187="","",S187)</x:f>
      </x:c>
      <x:c r="AK187" s="85" t="str">
        <x:f>IF(B187="","",T187)</x:f>
      </x:c>
    </x:row>
    <x:row r="188">
      <x:c r="A188" s="94" t="str">
        <x:f>IF(OR(B188="",G188=""),"",B188&amp;"|"&amp;G188)</x:f>
      </x:c>
      <x:c r="B188" s="92"/>
      <x:c r="C188" s="94" t="str">
        <x:f>IFERROR(VLOOKUP(B188,'01 Staff Master'!$A$6:$M$105,2,FALSE),"")</x:f>
      </x:c>
      <x:c r="D188" s="94" t="str">
        <x:f>IFERROR(VLOOKUP(B188,'01 Staff Master'!$A$6:$M$105,3,FALSE),"")</x:f>
      </x:c>
      <x:c r="E188" s="94" t="str">
        <x:f>IFERROR(VLOOKUP(B188,'01 Staff Master'!$A$6:$M$105,5,FALSE),"")</x:f>
      </x:c>
      <x:c r="F188" s="94" t="str">
        <x:f>IFERROR(VLOOKUP(B188,'01 Staff Master'!$A$6:$M$105,4,FALSE),"")</x:f>
      </x:c>
      <x:c r="G188" s="92"/>
      <x:c r="H188" s="94" t="str">
        <x:f>IFERROR(VLOOKUP(G188,'02 Skill Catalogue'!$A$6:$K$95,4,FALSE),"")</x:f>
      </x:c>
      <x:c r="I188" s="94" t="str">
        <x:f>IFERROR(VLOOKUP(D188&amp;"|"&amp;E188&amp;"|"&amp;G188,'03 Position Requirements'!$A$6:$R$285,8,FALSE),"")</x:f>
      </x:c>
      <x:c r="J188" s="94" t="str">
        <x:f>IFERROR(VLOOKUP(D188&amp;"|"&amp;E188&amp;"|"&amp;G188,'03 Position Requirements'!$A$6:$R$285,10,FALSE),"")</x:f>
      </x:c>
      <x:c r="K188" s="94" t="str">
        <x:f>IF(OR(B188="",G188=""),"",IF(COUNTIFS('04 Assessment Log'!$D$6:$D$155,B188,'04 Assessment Log'!$J$6:$J$155,G188,'04 Assessment Log'!$AA$6:$AA$155,"Yes")=0,"",SUMIFS('04 Assessment Log'!$O$6:$O$155,'04 Assessment Log'!$D$6:$D$155,B188,'04 Assessment Log'!$J$6:$J$155,G188,'04 Assessment Log'!$AA$6:$AA$155,"Yes")))</x:f>
      </x:c>
      <x:c r="L188" s="94" t="str">
        <x:f>IF(OR(J188="",K188=""),"",MAX(J188-K188,0))</x:f>
      </x:c>
      <x:c r="M188" s="102" t="str">
        <x:f>IF(COUNTIFS('04 Assessment Log'!$D$6:$D$155,B188,'04 Assessment Log'!$J$6:$J$155,G188,'04 Assessment Log'!$AA$6:$AA$155,"Yes")=0,"",SUMIFS('04 Assessment Log'!$B$6:$B$155,'04 Assessment Log'!$D$6:$D$155,B188,'04 Assessment Log'!$J$6:$J$155,G188,'04 Assessment Log'!$AA$6:$AA$155,"Yes"))</x:f>
      </x:c>
      <x:c r="N188" s="102" t="str">
        <x:f>IF(M188="","",SUMIFS('04 Assessment Log'!$Z$6:$Z$155,'04 Assessment Log'!$D$6:$D$155,B188,'04 Assessment Log'!$J$6:$J$155,G188,'04 Assessment Log'!$AA$6:$AA$155,"Yes"))</x:f>
      </x:c>
      <x:c r="O188" s="94" t="str">
        <x:f>IF(M188="","Not Assessed",IF(N188&lt;TODAY(),"Expired",IF(N188&lt;=TODAY()+30,"Due Soon","Current")))</x:f>
        <x:v>Not Assessed</x:v>
      </x:c>
      <x:c r="P188" s="94" t="str">
        <x:f>IF(OR(B188="",G188=""),"",COUNTIFS('05 Development Actions'!$C$6:$C$105,B188,'05 Development Actions'!$G$6:$G$105,G188,'05 Development Actions'!$A$6:$A$105,"&lt;&gt;",'05 Development Actions'!$AB$6:$AB$105,"&lt;&gt;Closed — Competent",'05 Development Actions'!$AB$6:$AB$105,"&lt;&gt;Cancelled"))</x:f>
      </x:c>
      <x:c r="Q188" s="94" t="str">
        <x:f>IF(OR(B188="",G188=""),"",COUNTIFS('11 Training Attendance'!$E$6:$E$155,B188,'11 Training Attendance'!$K$6:$K$155,"Attended",'11 Training Attendance'!$I$6:$I$155,G188))</x:f>
      </x:c>
      <x:c r="R188" s="102" t="str">
        <x:f>IF(Q188=0,"",MAXIFS('11 Training Attendance'!$D$6:$D$155,'11 Training Attendance'!$E$6:$E$155,B188,'11 Training Attendance'!$K$6:$K$155,"Attended",'11 Training Attendance'!$I$6:$I$155,G188))</x:f>
      </x:c>
      <x:c r="S188" s="94" t="str">
        <x:f>IF(OR(B188="",G188=""),"",COUNTIFS('13 Effectiveness Review'!$C$6:$C$155,B188,'13 Effectiveness Review'!$F$6:$F$155,G188,'13 Effectiveness Review'!$X$6:$X$155,"Closed — Effective"))</x:f>
      </x:c>
      <x:c r="T188" s="94" t="str">
        <x:f>IF(B188="","",IF(K188="","Not Assessed",IF(O188="Expired","Renewal Due",IF(L188=0,"Competent","Skill Gap"))))</x:f>
      </x:c>
      <x:c r="U188" s="94" t="str">
        <x:f>IFERROR(VLOOKUP(D188&amp;"|"&amp;E188&amp;"|"&amp;G188,'03 Position Requirements'!$A$6:$R$285,14,FALSE),"")</x:f>
      </x:c>
      <x:c r="V188" s="92"/>
      <x:c r="W188" s="85" t="str">
        <x:f>IF(B188="","",B188&amp;"|"&amp;COUNTIF($B$6:B188,B188))</x:f>
      </x:c>
      <x:c r="X188" s="85" t="str">
        <x:f>IF(B188="","",G188)</x:f>
      </x:c>
      <x:c r="Y188" s="85" t="str">
        <x:f>IF(B188="","",H188)</x:f>
      </x:c>
      <x:c r="Z188" s="85" t="str">
        <x:f>IF(B188="","",I188)</x:f>
      </x:c>
      <x:c r="AA188" s="85" t="str">
        <x:f>IF(B188="","",J188)</x:f>
      </x:c>
      <x:c r="AB188" s="85" t="str">
        <x:f>IF(B188="","",K188)</x:f>
      </x:c>
      <x:c r="AC188" s="85" t="str">
        <x:f>IF(B188="","",L188)</x:f>
      </x:c>
      <x:c r="AD188" s="85" t="str">
        <x:f>IF(B188="","",M188)</x:f>
      </x:c>
      <x:c r="AE188" s="85" t="str">
        <x:f>IF(B188="","",N188)</x:f>
      </x:c>
      <x:c r="AF188" s="85" t="str">
        <x:f>IF(B188="","",O188)</x:f>
      </x:c>
      <x:c r="AG188" s="85" t="str">
        <x:f>IF(B188="","",P188)</x:f>
      </x:c>
      <x:c r="AH188" s="85" t="str">
        <x:f>IF(B188="","",Q188)</x:f>
      </x:c>
      <x:c r="AI188" s="85" t="str">
        <x:f>IF(B188="","",R188)</x:f>
      </x:c>
      <x:c r="AJ188" s="85" t="str">
        <x:f>IF(B188="","",S188)</x:f>
      </x:c>
      <x:c r="AK188" s="85" t="str">
        <x:f>IF(B188="","",T188)</x:f>
      </x:c>
    </x:row>
    <x:row r="189">
      <x:c r="A189" s="94" t="str">
        <x:f>IF(OR(B189="",G189=""),"",B189&amp;"|"&amp;G189)</x:f>
      </x:c>
      <x:c r="B189" s="92"/>
      <x:c r="C189" s="94" t="str">
        <x:f>IFERROR(VLOOKUP(B189,'01 Staff Master'!$A$6:$M$105,2,FALSE),"")</x:f>
      </x:c>
      <x:c r="D189" s="94" t="str">
        <x:f>IFERROR(VLOOKUP(B189,'01 Staff Master'!$A$6:$M$105,3,FALSE),"")</x:f>
      </x:c>
      <x:c r="E189" s="94" t="str">
        <x:f>IFERROR(VLOOKUP(B189,'01 Staff Master'!$A$6:$M$105,5,FALSE),"")</x:f>
      </x:c>
      <x:c r="F189" s="94" t="str">
        <x:f>IFERROR(VLOOKUP(B189,'01 Staff Master'!$A$6:$M$105,4,FALSE),"")</x:f>
      </x:c>
      <x:c r="G189" s="92"/>
      <x:c r="H189" s="94" t="str">
        <x:f>IFERROR(VLOOKUP(G189,'02 Skill Catalogue'!$A$6:$K$95,4,FALSE),"")</x:f>
      </x:c>
      <x:c r="I189" s="94" t="str">
        <x:f>IFERROR(VLOOKUP(D189&amp;"|"&amp;E189&amp;"|"&amp;G189,'03 Position Requirements'!$A$6:$R$285,8,FALSE),"")</x:f>
      </x:c>
      <x:c r="J189" s="94" t="str">
        <x:f>IFERROR(VLOOKUP(D189&amp;"|"&amp;E189&amp;"|"&amp;G189,'03 Position Requirements'!$A$6:$R$285,10,FALSE),"")</x:f>
      </x:c>
      <x:c r="K189" s="94" t="str">
        <x:f>IF(OR(B189="",G189=""),"",IF(COUNTIFS('04 Assessment Log'!$D$6:$D$155,B189,'04 Assessment Log'!$J$6:$J$155,G189,'04 Assessment Log'!$AA$6:$AA$155,"Yes")=0,"",SUMIFS('04 Assessment Log'!$O$6:$O$155,'04 Assessment Log'!$D$6:$D$155,B189,'04 Assessment Log'!$J$6:$J$155,G189,'04 Assessment Log'!$AA$6:$AA$155,"Yes")))</x:f>
      </x:c>
      <x:c r="L189" s="94" t="str">
        <x:f>IF(OR(J189="",K189=""),"",MAX(J189-K189,0))</x:f>
      </x:c>
      <x:c r="M189" s="102" t="str">
        <x:f>IF(COUNTIFS('04 Assessment Log'!$D$6:$D$155,B189,'04 Assessment Log'!$J$6:$J$155,G189,'04 Assessment Log'!$AA$6:$AA$155,"Yes")=0,"",SUMIFS('04 Assessment Log'!$B$6:$B$155,'04 Assessment Log'!$D$6:$D$155,B189,'04 Assessment Log'!$J$6:$J$155,G189,'04 Assessment Log'!$AA$6:$AA$155,"Yes"))</x:f>
      </x:c>
      <x:c r="N189" s="102" t="str">
        <x:f>IF(M189="","",SUMIFS('04 Assessment Log'!$Z$6:$Z$155,'04 Assessment Log'!$D$6:$D$155,B189,'04 Assessment Log'!$J$6:$J$155,G189,'04 Assessment Log'!$AA$6:$AA$155,"Yes"))</x:f>
      </x:c>
      <x:c r="O189" s="94" t="str">
        <x:f>IF(M189="","Not Assessed",IF(N189&lt;TODAY(),"Expired",IF(N189&lt;=TODAY()+30,"Due Soon","Current")))</x:f>
        <x:v>Not Assessed</x:v>
      </x:c>
      <x:c r="P189" s="94" t="str">
        <x:f>IF(OR(B189="",G189=""),"",COUNTIFS('05 Development Actions'!$C$6:$C$105,B189,'05 Development Actions'!$G$6:$G$105,G189,'05 Development Actions'!$A$6:$A$105,"&lt;&gt;",'05 Development Actions'!$AB$6:$AB$105,"&lt;&gt;Closed — Competent",'05 Development Actions'!$AB$6:$AB$105,"&lt;&gt;Cancelled"))</x:f>
      </x:c>
      <x:c r="Q189" s="94" t="str">
        <x:f>IF(OR(B189="",G189=""),"",COUNTIFS('11 Training Attendance'!$E$6:$E$155,B189,'11 Training Attendance'!$K$6:$K$155,"Attended",'11 Training Attendance'!$I$6:$I$155,G189))</x:f>
      </x:c>
      <x:c r="R189" s="102" t="str">
        <x:f>IF(Q189=0,"",MAXIFS('11 Training Attendance'!$D$6:$D$155,'11 Training Attendance'!$E$6:$E$155,B189,'11 Training Attendance'!$K$6:$K$155,"Attended",'11 Training Attendance'!$I$6:$I$155,G189))</x:f>
      </x:c>
      <x:c r="S189" s="94" t="str">
        <x:f>IF(OR(B189="",G189=""),"",COUNTIFS('13 Effectiveness Review'!$C$6:$C$155,B189,'13 Effectiveness Review'!$F$6:$F$155,G189,'13 Effectiveness Review'!$X$6:$X$155,"Closed — Effective"))</x:f>
      </x:c>
      <x:c r="T189" s="94" t="str">
        <x:f>IF(B189="","",IF(K189="","Not Assessed",IF(O189="Expired","Renewal Due",IF(L189=0,"Competent","Skill Gap"))))</x:f>
      </x:c>
      <x:c r="U189" s="94" t="str">
        <x:f>IFERROR(VLOOKUP(D189&amp;"|"&amp;E189&amp;"|"&amp;G189,'03 Position Requirements'!$A$6:$R$285,14,FALSE),"")</x:f>
      </x:c>
      <x:c r="V189" s="92"/>
      <x:c r="W189" s="85" t="str">
        <x:f>IF(B189="","",B189&amp;"|"&amp;COUNTIF($B$6:B189,B189))</x:f>
      </x:c>
      <x:c r="X189" s="85" t="str">
        <x:f>IF(B189="","",G189)</x:f>
      </x:c>
      <x:c r="Y189" s="85" t="str">
        <x:f>IF(B189="","",H189)</x:f>
      </x:c>
      <x:c r="Z189" s="85" t="str">
        <x:f>IF(B189="","",I189)</x:f>
      </x:c>
      <x:c r="AA189" s="85" t="str">
        <x:f>IF(B189="","",J189)</x:f>
      </x:c>
      <x:c r="AB189" s="85" t="str">
        <x:f>IF(B189="","",K189)</x:f>
      </x:c>
      <x:c r="AC189" s="85" t="str">
        <x:f>IF(B189="","",L189)</x:f>
      </x:c>
      <x:c r="AD189" s="85" t="str">
        <x:f>IF(B189="","",M189)</x:f>
      </x:c>
      <x:c r="AE189" s="85" t="str">
        <x:f>IF(B189="","",N189)</x:f>
      </x:c>
      <x:c r="AF189" s="85" t="str">
        <x:f>IF(B189="","",O189)</x:f>
      </x:c>
      <x:c r="AG189" s="85" t="str">
        <x:f>IF(B189="","",P189)</x:f>
      </x:c>
      <x:c r="AH189" s="85" t="str">
        <x:f>IF(B189="","",Q189)</x:f>
      </x:c>
      <x:c r="AI189" s="85" t="str">
        <x:f>IF(B189="","",R189)</x:f>
      </x:c>
      <x:c r="AJ189" s="85" t="str">
        <x:f>IF(B189="","",S189)</x:f>
      </x:c>
      <x:c r="AK189" s="85" t="str">
        <x:f>IF(B189="","",T189)</x:f>
      </x:c>
    </x:row>
    <x:row r="190">
      <x:c r="A190" s="94" t="str">
        <x:f>IF(OR(B190="",G190=""),"",B190&amp;"|"&amp;G190)</x:f>
      </x:c>
      <x:c r="B190" s="92"/>
      <x:c r="C190" s="94" t="str">
        <x:f>IFERROR(VLOOKUP(B190,'01 Staff Master'!$A$6:$M$105,2,FALSE),"")</x:f>
      </x:c>
      <x:c r="D190" s="94" t="str">
        <x:f>IFERROR(VLOOKUP(B190,'01 Staff Master'!$A$6:$M$105,3,FALSE),"")</x:f>
      </x:c>
      <x:c r="E190" s="94" t="str">
        <x:f>IFERROR(VLOOKUP(B190,'01 Staff Master'!$A$6:$M$105,5,FALSE),"")</x:f>
      </x:c>
      <x:c r="F190" s="94" t="str">
        <x:f>IFERROR(VLOOKUP(B190,'01 Staff Master'!$A$6:$M$105,4,FALSE),"")</x:f>
      </x:c>
      <x:c r="G190" s="92"/>
      <x:c r="H190" s="94" t="str">
        <x:f>IFERROR(VLOOKUP(G190,'02 Skill Catalogue'!$A$6:$K$95,4,FALSE),"")</x:f>
      </x:c>
      <x:c r="I190" s="94" t="str">
        <x:f>IFERROR(VLOOKUP(D190&amp;"|"&amp;E190&amp;"|"&amp;G190,'03 Position Requirements'!$A$6:$R$285,8,FALSE),"")</x:f>
      </x:c>
      <x:c r="J190" s="94" t="str">
        <x:f>IFERROR(VLOOKUP(D190&amp;"|"&amp;E190&amp;"|"&amp;G190,'03 Position Requirements'!$A$6:$R$285,10,FALSE),"")</x:f>
      </x:c>
      <x:c r="K190" s="94" t="str">
        <x:f>IF(OR(B190="",G190=""),"",IF(COUNTIFS('04 Assessment Log'!$D$6:$D$155,B190,'04 Assessment Log'!$J$6:$J$155,G190,'04 Assessment Log'!$AA$6:$AA$155,"Yes")=0,"",SUMIFS('04 Assessment Log'!$O$6:$O$155,'04 Assessment Log'!$D$6:$D$155,B190,'04 Assessment Log'!$J$6:$J$155,G190,'04 Assessment Log'!$AA$6:$AA$155,"Yes")))</x:f>
      </x:c>
      <x:c r="L190" s="94" t="str">
        <x:f>IF(OR(J190="",K190=""),"",MAX(J190-K190,0))</x:f>
      </x:c>
      <x:c r="M190" s="102" t="str">
        <x:f>IF(COUNTIFS('04 Assessment Log'!$D$6:$D$155,B190,'04 Assessment Log'!$J$6:$J$155,G190,'04 Assessment Log'!$AA$6:$AA$155,"Yes")=0,"",SUMIFS('04 Assessment Log'!$B$6:$B$155,'04 Assessment Log'!$D$6:$D$155,B190,'04 Assessment Log'!$J$6:$J$155,G190,'04 Assessment Log'!$AA$6:$AA$155,"Yes"))</x:f>
      </x:c>
      <x:c r="N190" s="102" t="str">
        <x:f>IF(M190="","",SUMIFS('04 Assessment Log'!$Z$6:$Z$155,'04 Assessment Log'!$D$6:$D$155,B190,'04 Assessment Log'!$J$6:$J$155,G190,'04 Assessment Log'!$AA$6:$AA$155,"Yes"))</x:f>
      </x:c>
      <x:c r="O190" s="94" t="str">
        <x:f>IF(M190="","Not Assessed",IF(N190&lt;TODAY(),"Expired",IF(N190&lt;=TODAY()+30,"Due Soon","Current")))</x:f>
        <x:v>Not Assessed</x:v>
      </x:c>
      <x:c r="P190" s="94" t="str">
        <x:f>IF(OR(B190="",G190=""),"",COUNTIFS('05 Development Actions'!$C$6:$C$105,B190,'05 Development Actions'!$G$6:$G$105,G190,'05 Development Actions'!$A$6:$A$105,"&lt;&gt;",'05 Development Actions'!$AB$6:$AB$105,"&lt;&gt;Closed — Competent",'05 Development Actions'!$AB$6:$AB$105,"&lt;&gt;Cancelled"))</x:f>
      </x:c>
      <x:c r="Q190" s="94" t="str">
        <x:f>IF(OR(B190="",G190=""),"",COUNTIFS('11 Training Attendance'!$E$6:$E$155,B190,'11 Training Attendance'!$K$6:$K$155,"Attended",'11 Training Attendance'!$I$6:$I$155,G190))</x:f>
      </x:c>
      <x:c r="R190" s="102" t="str">
        <x:f>IF(Q190=0,"",MAXIFS('11 Training Attendance'!$D$6:$D$155,'11 Training Attendance'!$E$6:$E$155,B190,'11 Training Attendance'!$K$6:$K$155,"Attended",'11 Training Attendance'!$I$6:$I$155,G190))</x:f>
      </x:c>
      <x:c r="S190" s="94" t="str">
        <x:f>IF(OR(B190="",G190=""),"",COUNTIFS('13 Effectiveness Review'!$C$6:$C$155,B190,'13 Effectiveness Review'!$F$6:$F$155,G190,'13 Effectiveness Review'!$X$6:$X$155,"Closed — Effective"))</x:f>
      </x:c>
      <x:c r="T190" s="94" t="str">
        <x:f>IF(B190="","",IF(K190="","Not Assessed",IF(O190="Expired","Renewal Due",IF(L190=0,"Competent","Skill Gap"))))</x:f>
      </x:c>
      <x:c r="U190" s="94" t="str">
        <x:f>IFERROR(VLOOKUP(D190&amp;"|"&amp;E190&amp;"|"&amp;G190,'03 Position Requirements'!$A$6:$R$285,14,FALSE),"")</x:f>
      </x:c>
      <x:c r="V190" s="92"/>
      <x:c r="W190" s="85" t="str">
        <x:f>IF(B190="","",B190&amp;"|"&amp;COUNTIF($B$6:B190,B190))</x:f>
      </x:c>
      <x:c r="X190" s="85" t="str">
        <x:f>IF(B190="","",G190)</x:f>
      </x:c>
      <x:c r="Y190" s="85" t="str">
        <x:f>IF(B190="","",H190)</x:f>
      </x:c>
      <x:c r="Z190" s="85" t="str">
        <x:f>IF(B190="","",I190)</x:f>
      </x:c>
      <x:c r="AA190" s="85" t="str">
        <x:f>IF(B190="","",J190)</x:f>
      </x:c>
      <x:c r="AB190" s="85" t="str">
        <x:f>IF(B190="","",K190)</x:f>
      </x:c>
      <x:c r="AC190" s="85" t="str">
        <x:f>IF(B190="","",L190)</x:f>
      </x:c>
      <x:c r="AD190" s="85" t="str">
        <x:f>IF(B190="","",M190)</x:f>
      </x:c>
      <x:c r="AE190" s="85" t="str">
        <x:f>IF(B190="","",N190)</x:f>
      </x:c>
      <x:c r="AF190" s="85" t="str">
        <x:f>IF(B190="","",O190)</x:f>
      </x:c>
      <x:c r="AG190" s="85" t="str">
        <x:f>IF(B190="","",P190)</x:f>
      </x:c>
      <x:c r="AH190" s="85" t="str">
        <x:f>IF(B190="","",Q190)</x:f>
      </x:c>
      <x:c r="AI190" s="85" t="str">
        <x:f>IF(B190="","",R190)</x:f>
      </x:c>
      <x:c r="AJ190" s="85" t="str">
        <x:f>IF(B190="","",S190)</x:f>
      </x:c>
      <x:c r="AK190" s="85" t="str">
        <x:f>IF(B190="","",T190)</x:f>
      </x:c>
    </x:row>
    <x:row r="191">
      <x:c r="A191" s="94" t="str">
        <x:f>IF(OR(B191="",G191=""),"",B191&amp;"|"&amp;G191)</x:f>
      </x:c>
      <x:c r="B191" s="92"/>
      <x:c r="C191" s="94" t="str">
        <x:f>IFERROR(VLOOKUP(B191,'01 Staff Master'!$A$6:$M$105,2,FALSE),"")</x:f>
      </x:c>
      <x:c r="D191" s="94" t="str">
        <x:f>IFERROR(VLOOKUP(B191,'01 Staff Master'!$A$6:$M$105,3,FALSE),"")</x:f>
      </x:c>
      <x:c r="E191" s="94" t="str">
        <x:f>IFERROR(VLOOKUP(B191,'01 Staff Master'!$A$6:$M$105,5,FALSE),"")</x:f>
      </x:c>
      <x:c r="F191" s="94" t="str">
        <x:f>IFERROR(VLOOKUP(B191,'01 Staff Master'!$A$6:$M$105,4,FALSE),"")</x:f>
      </x:c>
      <x:c r="G191" s="92"/>
      <x:c r="H191" s="94" t="str">
        <x:f>IFERROR(VLOOKUP(G191,'02 Skill Catalogue'!$A$6:$K$95,4,FALSE),"")</x:f>
      </x:c>
      <x:c r="I191" s="94" t="str">
        <x:f>IFERROR(VLOOKUP(D191&amp;"|"&amp;E191&amp;"|"&amp;G191,'03 Position Requirements'!$A$6:$R$285,8,FALSE),"")</x:f>
      </x:c>
      <x:c r="J191" s="94" t="str">
        <x:f>IFERROR(VLOOKUP(D191&amp;"|"&amp;E191&amp;"|"&amp;G191,'03 Position Requirements'!$A$6:$R$285,10,FALSE),"")</x:f>
      </x:c>
      <x:c r="K191" s="94" t="str">
        <x:f>IF(OR(B191="",G191=""),"",IF(COUNTIFS('04 Assessment Log'!$D$6:$D$155,B191,'04 Assessment Log'!$J$6:$J$155,G191,'04 Assessment Log'!$AA$6:$AA$155,"Yes")=0,"",SUMIFS('04 Assessment Log'!$O$6:$O$155,'04 Assessment Log'!$D$6:$D$155,B191,'04 Assessment Log'!$J$6:$J$155,G191,'04 Assessment Log'!$AA$6:$AA$155,"Yes")))</x:f>
      </x:c>
      <x:c r="L191" s="94" t="str">
        <x:f>IF(OR(J191="",K191=""),"",MAX(J191-K191,0))</x:f>
      </x:c>
      <x:c r="M191" s="102" t="str">
        <x:f>IF(COUNTIFS('04 Assessment Log'!$D$6:$D$155,B191,'04 Assessment Log'!$J$6:$J$155,G191,'04 Assessment Log'!$AA$6:$AA$155,"Yes")=0,"",SUMIFS('04 Assessment Log'!$B$6:$B$155,'04 Assessment Log'!$D$6:$D$155,B191,'04 Assessment Log'!$J$6:$J$155,G191,'04 Assessment Log'!$AA$6:$AA$155,"Yes"))</x:f>
      </x:c>
      <x:c r="N191" s="102" t="str">
        <x:f>IF(M191="","",SUMIFS('04 Assessment Log'!$Z$6:$Z$155,'04 Assessment Log'!$D$6:$D$155,B191,'04 Assessment Log'!$J$6:$J$155,G191,'04 Assessment Log'!$AA$6:$AA$155,"Yes"))</x:f>
      </x:c>
      <x:c r="O191" s="94" t="str">
        <x:f>IF(M191="","Not Assessed",IF(N191&lt;TODAY(),"Expired",IF(N191&lt;=TODAY()+30,"Due Soon","Current")))</x:f>
        <x:v>Not Assessed</x:v>
      </x:c>
      <x:c r="P191" s="94" t="str">
        <x:f>IF(OR(B191="",G191=""),"",COUNTIFS('05 Development Actions'!$C$6:$C$105,B191,'05 Development Actions'!$G$6:$G$105,G191,'05 Development Actions'!$A$6:$A$105,"&lt;&gt;",'05 Development Actions'!$AB$6:$AB$105,"&lt;&gt;Closed — Competent",'05 Development Actions'!$AB$6:$AB$105,"&lt;&gt;Cancelled"))</x:f>
      </x:c>
      <x:c r="Q191" s="94" t="str">
        <x:f>IF(OR(B191="",G191=""),"",COUNTIFS('11 Training Attendance'!$E$6:$E$155,B191,'11 Training Attendance'!$K$6:$K$155,"Attended",'11 Training Attendance'!$I$6:$I$155,G191))</x:f>
      </x:c>
      <x:c r="R191" s="102" t="str">
        <x:f>IF(Q191=0,"",MAXIFS('11 Training Attendance'!$D$6:$D$155,'11 Training Attendance'!$E$6:$E$155,B191,'11 Training Attendance'!$K$6:$K$155,"Attended",'11 Training Attendance'!$I$6:$I$155,G191))</x:f>
      </x:c>
      <x:c r="S191" s="94" t="str">
        <x:f>IF(OR(B191="",G191=""),"",COUNTIFS('13 Effectiveness Review'!$C$6:$C$155,B191,'13 Effectiveness Review'!$F$6:$F$155,G191,'13 Effectiveness Review'!$X$6:$X$155,"Closed — Effective"))</x:f>
      </x:c>
      <x:c r="T191" s="94" t="str">
        <x:f>IF(B191="","",IF(K191="","Not Assessed",IF(O191="Expired","Renewal Due",IF(L191=0,"Competent","Skill Gap"))))</x:f>
      </x:c>
      <x:c r="U191" s="94" t="str">
        <x:f>IFERROR(VLOOKUP(D191&amp;"|"&amp;E191&amp;"|"&amp;G191,'03 Position Requirements'!$A$6:$R$285,14,FALSE),"")</x:f>
      </x:c>
      <x:c r="V191" s="92"/>
      <x:c r="W191" s="85" t="str">
        <x:f>IF(B191="","",B191&amp;"|"&amp;COUNTIF($B$6:B191,B191))</x:f>
      </x:c>
      <x:c r="X191" s="85" t="str">
        <x:f>IF(B191="","",G191)</x:f>
      </x:c>
      <x:c r="Y191" s="85" t="str">
        <x:f>IF(B191="","",H191)</x:f>
      </x:c>
      <x:c r="Z191" s="85" t="str">
        <x:f>IF(B191="","",I191)</x:f>
      </x:c>
      <x:c r="AA191" s="85" t="str">
        <x:f>IF(B191="","",J191)</x:f>
      </x:c>
      <x:c r="AB191" s="85" t="str">
        <x:f>IF(B191="","",K191)</x:f>
      </x:c>
      <x:c r="AC191" s="85" t="str">
        <x:f>IF(B191="","",L191)</x:f>
      </x:c>
      <x:c r="AD191" s="85" t="str">
        <x:f>IF(B191="","",M191)</x:f>
      </x:c>
      <x:c r="AE191" s="85" t="str">
        <x:f>IF(B191="","",N191)</x:f>
      </x:c>
      <x:c r="AF191" s="85" t="str">
        <x:f>IF(B191="","",O191)</x:f>
      </x:c>
      <x:c r="AG191" s="85" t="str">
        <x:f>IF(B191="","",P191)</x:f>
      </x:c>
      <x:c r="AH191" s="85" t="str">
        <x:f>IF(B191="","",Q191)</x:f>
      </x:c>
      <x:c r="AI191" s="85" t="str">
        <x:f>IF(B191="","",R191)</x:f>
      </x:c>
      <x:c r="AJ191" s="85" t="str">
        <x:f>IF(B191="","",S191)</x:f>
      </x:c>
      <x:c r="AK191" s="85" t="str">
        <x:f>IF(B191="","",T191)</x:f>
      </x:c>
    </x:row>
    <x:row r="192">
      <x:c r="A192" s="94" t="str">
        <x:f>IF(OR(B192="",G192=""),"",B192&amp;"|"&amp;G192)</x:f>
      </x:c>
      <x:c r="B192" s="92"/>
      <x:c r="C192" s="94" t="str">
        <x:f>IFERROR(VLOOKUP(B192,'01 Staff Master'!$A$6:$M$105,2,FALSE),"")</x:f>
      </x:c>
      <x:c r="D192" s="94" t="str">
        <x:f>IFERROR(VLOOKUP(B192,'01 Staff Master'!$A$6:$M$105,3,FALSE),"")</x:f>
      </x:c>
      <x:c r="E192" s="94" t="str">
        <x:f>IFERROR(VLOOKUP(B192,'01 Staff Master'!$A$6:$M$105,5,FALSE),"")</x:f>
      </x:c>
      <x:c r="F192" s="94" t="str">
        <x:f>IFERROR(VLOOKUP(B192,'01 Staff Master'!$A$6:$M$105,4,FALSE),"")</x:f>
      </x:c>
      <x:c r="G192" s="92"/>
      <x:c r="H192" s="94" t="str">
        <x:f>IFERROR(VLOOKUP(G192,'02 Skill Catalogue'!$A$6:$K$95,4,FALSE),"")</x:f>
      </x:c>
      <x:c r="I192" s="94" t="str">
        <x:f>IFERROR(VLOOKUP(D192&amp;"|"&amp;E192&amp;"|"&amp;G192,'03 Position Requirements'!$A$6:$R$285,8,FALSE),"")</x:f>
      </x:c>
      <x:c r="J192" s="94" t="str">
        <x:f>IFERROR(VLOOKUP(D192&amp;"|"&amp;E192&amp;"|"&amp;G192,'03 Position Requirements'!$A$6:$R$285,10,FALSE),"")</x:f>
      </x:c>
      <x:c r="K192" s="94" t="str">
        <x:f>IF(OR(B192="",G192=""),"",IF(COUNTIFS('04 Assessment Log'!$D$6:$D$155,B192,'04 Assessment Log'!$J$6:$J$155,G192,'04 Assessment Log'!$AA$6:$AA$155,"Yes")=0,"",SUMIFS('04 Assessment Log'!$O$6:$O$155,'04 Assessment Log'!$D$6:$D$155,B192,'04 Assessment Log'!$J$6:$J$155,G192,'04 Assessment Log'!$AA$6:$AA$155,"Yes")))</x:f>
      </x:c>
      <x:c r="L192" s="94" t="str">
        <x:f>IF(OR(J192="",K192=""),"",MAX(J192-K192,0))</x:f>
      </x:c>
      <x:c r="M192" s="102" t="str">
        <x:f>IF(COUNTIFS('04 Assessment Log'!$D$6:$D$155,B192,'04 Assessment Log'!$J$6:$J$155,G192,'04 Assessment Log'!$AA$6:$AA$155,"Yes")=0,"",SUMIFS('04 Assessment Log'!$B$6:$B$155,'04 Assessment Log'!$D$6:$D$155,B192,'04 Assessment Log'!$J$6:$J$155,G192,'04 Assessment Log'!$AA$6:$AA$155,"Yes"))</x:f>
      </x:c>
      <x:c r="N192" s="102" t="str">
        <x:f>IF(M192="","",SUMIFS('04 Assessment Log'!$Z$6:$Z$155,'04 Assessment Log'!$D$6:$D$155,B192,'04 Assessment Log'!$J$6:$J$155,G192,'04 Assessment Log'!$AA$6:$AA$155,"Yes"))</x:f>
      </x:c>
      <x:c r="O192" s="94" t="str">
        <x:f>IF(M192="","Not Assessed",IF(N192&lt;TODAY(),"Expired",IF(N192&lt;=TODAY()+30,"Due Soon","Current")))</x:f>
        <x:v>Not Assessed</x:v>
      </x:c>
      <x:c r="P192" s="94" t="str">
        <x:f>IF(OR(B192="",G192=""),"",COUNTIFS('05 Development Actions'!$C$6:$C$105,B192,'05 Development Actions'!$G$6:$G$105,G192,'05 Development Actions'!$A$6:$A$105,"&lt;&gt;",'05 Development Actions'!$AB$6:$AB$105,"&lt;&gt;Closed — Competent",'05 Development Actions'!$AB$6:$AB$105,"&lt;&gt;Cancelled"))</x:f>
      </x:c>
      <x:c r="Q192" s="94" t="str">
        <x:f>IF(OR(B192="",G192=""),"",COUNTIFS('11 Training Attendance'!$E$6:$E$155,B192,'11 Training Attendance'!$K$6:$K$155,"Attended",'11 Training Attendance'!$I$6:$I$155,G192))</x:f>
      </x:c>
      <x:c r="R192" s="102" t="str">
        <x:f>IF(Q192=0,"",MAXIFS('11 Training Attendance'!$D$6:$D$155,'11 Training Attendance'!$E$6:$E$155,B192,'11 Training Attendance'!$K$6:$K$155,"Attended",'11 Training Attendance'!$I$6:$I$155,G192))</x:f>
      </x:c>
      <x:c r="S192" s="94" t="str">
        <x:f>IF(OR(B192="",G192=""),"",COUNTIFS('13 Effectiveness Review'!$C$6:$C$155,B192,'13 Effectiveness Review'!$F$6:$F$155,G192,'13 Effectiveness Review'!$X$6:$X$155,"Closed — Effective"))</x:f>
      </x:c>
      <x:c r="T192" s="94" t="str">
        <x:f>IF(B192="","",IF(K192="","Not Assessed",IF(O192="Expired","Renewal Due",IF(L192=0,"Competent","Skill Gap"))))</x:f>
      </x:c>
      <x:c r="U192" s="94" t="str">
        <x:f>IFERROR(VLOOKUP(D192&amp;"|"&amp;E192&amp;"|"&amp;G192,'03 Position Requirements'!$A$6:$R$285,14,FALSE),"")</x:f>
      </x:c>
      <x:c r="V192" s="92"/>
      <x:c r="W192" s="85" t="str">
        <x:f>IF(B192="","",B192&amp;"|"&amp;COUNTIF($B$6:B192,B192))</x:f>
      </x:c>
      <x:c r="X192" s="85" t="str">
        <x:f>IF(B192="","",G192)</x:f>
      </x:c>
      <x:c r="Y192" s="85" t="str">
        <x:f>IF(B192="","",H192)</x:f>
      </x:c>
      <x:c r="Z192" s="85" t="str">
        <x:f>IF(B192="","",I192)</x:f>
      </x:c>
      <x:c r="AA192" s="85" t="str">
        <x:f>IF(B192="","",J192)</x:f>
      </x:c>
      <x:c r="AB192" s="85" t="str">
        <x:f>IF(B192="","",K192)</x:f>
      </x:c>
      <x:c r="AC192" s="85" t="str">
        <x:f>IF(B192="","",L192)</x:f>
      </x:c>
      <x:c r="AD192" s="85" t="str">
        <x:f>IF(B192="","",M192)</x:f>
      </x:c>
      <x:c r="AE192" s="85" t="str">
        <x:f>IF(B192="","",N192)</x:f>
      </x:c>
      <x:c r="AF192" s="85" t="str">
        <x:f>IF(B192="","",O192)</x:f>
      </x:c>
      <x:c r="AG192" s="85" t="str">
        <x:f>IF(B192="","",P192)</x:f>
      </x:c>
      <x:c r="AH192" s="85" t="str">
        <x:f>IF(B192="","",Q192)</x:f>
      </x:c>
      <x:c r="AI192" s="85" t="str">
        <x:f>IF(B192="","",R192)</x:f>
      </x:c>
      <x:c r="AJ192" s="85" t="str">
        <x:f>IF(B192="","",S192)</x:f>
      </x:c>
      <x:c r="AK192" s="85" t="str">
        <x:f>IF(B192="","",T192)</x:f>
      </x:c>
    </x:row>
    <x:row r="193">
      <x:c r="A193" s="94" t="str">
        <x:f>IF(OR(B193="",G193=""),"",B193&amp;"|"&amp;G193)</x:f>
      </x:c>
      <x:c r="B193" s="92"/>
      <x:c r="C193" s="94" t="str">
        <x:f>IFERROR(VLOOKUP(B193,'01 Staff Master'!$A$6:$M$105,2,FALSE),"")</x:f>
      </x:c>
      <x:c r="D193" s="94" t="str">
        <x:f>IFERROR(VLOOKUP(B193,'01 Staff Master'!$A$6:$M$105,3,FALSE),"")</x:f>
      </x:c>
      <x:c r="E193" s="94" t="str">
        <x:f>IFERROR(VLOOKUP(B193,'01 Staff Master'!$A$6:$M$105,5,FALSE),"")</x:f>
      </x:c>
      <x:c r="F193" s="94" t="str">
        <x:f>IFERROR(VLOOKUP(B193,'01 Staff Master'!$A$6:$M$105,4,FALSE),"")</x:f>
      </x:c>
      <x:c r="G193" s="92"/>
      <x:c r="H193" s="94" t="str">
        <x:f>IFERROR(VLOOKUP(G193,'02 Skill Catalogue'!$A$6:$K$95,4,FALSE),"")</x:f>
      </x:c>
      <x:c r="I193" s="94" t="str">
        <x:f>IFERROR(VLOOKUP(D193&amp;"|"&amp;E193&amp;"|"&amp;G193,'03 Position Requirements'!$A$6:$R$285,8,FALSE),"")</x:f>
      </x:c>
      <x:c r="J193" s="94" t="str">
        <x:f>IFERROR(VLOOKUP(D193&amp;"|"&amp;E193&amp;"|"&amp;G193,'03 Position Requirements'!$A$6:$R$285,10,FALSE),"")</x:f>
      </x:c>
      <x:c r="K193" s="94" t="str">
        <x:f>IF(OR(B193="",G193=""),"",IF(COUNTIFS('04 Assessment Log'!$D$6:$D$155,B193,'04 Assessment Log'!$J$6:$J$155,G193,'04 Assessment Log'!$AA$6:$AA$155,"Yes")=0,"",SUMIFS('04 Assessment Log'!$O$6:$O$155,'04 Assessment Log'!$D$6:$D$155,B193,'04 Assessment Log'!$J$6:$J$155,G193,'04 Assessment Log'!$AA$6:$AA$155,"Yes")))</x:f>
      </x:c>
      <x:c r="L193" s="94" t="str">
        <x:f>IF(OR(J193="",K193=""),"",MAX(J193-K193,0))</x:f>
      </x:c>
      <x:c r="M193" s="102" t="str">
        <x:f>IF(COUNTIFS('04 Assessment Log'!$D$6:$D$155,B193,'04 Assessment Log'!$J$6:$J$155,G193,'04 Assessment Log'!$AA$6:$AA$155,"Yes")=0,"",SUMIFS('04 Assessment Log'!$B$6:$B$155,'04 Assessment Log'!$D$6:$D$155,B193,'04 Assessment Log'!$J$6:$J$155,G193,'04 Assessment Log'!$AA$6:$AA$155,"Yes"))</x:f>
      </x:c>
      <x:c r="N193" s="102" t="str">
        <x:f>IF(M193="","",SUMIFS('04 Assessment Log'!$Z$6:$Z$155,'04 Assessment Log'!$D$6:$D$155,B193,'04 Assessment Log'!$J$6:$J$155,G193,'04 Assessment Log'!$AA$6:$AA$155,"Yes"))</x:f>
      </x:c>
      <x:c r="O193" s="94" t="str">
        <x:f>IF(M193="","Not Assessed",IF(N193&lt;TODAY(),"Expired",IF(N193&lt;=TODAY()+30,"Due Soon","Current")))</x:f>
        <x:v>Not Assessed</x:v>
      </x:c>
      <x:c r="P193" s="94" t="str">
        <x:f>IF(OR(B193="",G193=""),"",COUNTIFS('05 Development Actions'!$C$6:$C$105,B193,'05 Development Actions'!$G$6:$G$105,G193,'05 Development Actions'!$A$6:$A$105,"&lt;&gt;",'05 Development Actions'!$AB$6:$AB$105,"&lt;&gt;Closed — Competent",'05 Development Actions'!$AB$6:$AB$105,"&lt;&gt;Cancelled"))</x:f>
      </x:c>
      <x:c r="Q193" s="94" t="str">
        <x:f>IF(OR(B193="",G193=""),"",COUNTIFS('11 Training Attendance'!$E$6:$E$155,B193,'11 Training Attendance'!$K$6:$K$155,"Attended",'11 Training Attendance'!$I$6:$I$155,G193))</x:f>
      </x:c>
      <x:c r="R193" s="102" t="str">
        <x:f>IF(Q193=0,"",MAXIFS('11 Training Attendance'!$D$6:$D$155,'11 Training Attendance'!$E$6:$E$155,B193,'11 Training Attendance'!$K$6:$K$155,"Attended",'11 Training Attendance'!$I$6:$I$155,G193))</x:f>
      </x:c>
      <x:c r="S193" s="94" t="str">
        <x:f>IF(OR(B193="",G193=""),"",COUNTIFS('13 Effectiveness Review'!$C$6:$C$155,B193,'13 Effectiveness Review'!$F$6:$F$155,G193,'13 Effectiveness Review'!$X$6:$X$155,"Closed — Effective"))</x:f>
      </x:c>
      <x:c r="T193" s="94" t="str">
        <x:f>IF(B193="","",IF(K193="","Not Assessed",IF(O193="Expired","Renewal Due",IF(L193=0,"Competent","Skill Gap"))))</x:f>
      </x:c>
      <x:c r="U193" s="94" t="str">
        <x:f>IFERROR(VLOOKUP(D193&amp;"|"&amp;E193&amp;"|"&amp;G193,'03 Position Requirements'!$A$6:$R$285,14,FALSE),"")</x:f>
      </x:c>
      <x:c r="V193" s="92"/>
      <x:c r="W193" s="85" t="str">
        <x:f>IF(B193="","",B193&amp;"|"&amp;COUNTIF($B$6:B193,B193))</x:f>
      </x:c>
      <x:c r="X193" s="85" t="str">
        <x:f>IF(B193="","",G193)</x:f>
      </x:c>
      <x:c r="Y193" s="85" t="str">
        <x:f>IF(B193="","",H193)</x:f>
      </x:c>
      <x:c r="Z193" s="85" t="str">
        <x:f>IF(B193="","",I193)</x:f>
      </x:c>
      <x:c r="AA193" s="85" t="str">
        <x:f>IF(B193="","",J193)</x:f>
      </x:c>
      <x:c r="AB193" s="85" t="str">
        <x:f>IF(B193="","",K193)</x:f>
      </x:c>
      <x:c r="AC193" s="85" t="str">
        <x:f>IF(B193="","",L193)</x:f>
      </x:c>
      <x:c r="AD193" s="85" t="str">
        <x:f>IF(B193="","",M193)</x:f>
      </x:c>
      <x:c r="AE193" s="85" t="str">
        <x:f>IF(B193="","",N193)</x:f>
      </x:c>
      <x:c r="AF193" s="85" t="str">
        <x:f>IF(B193="","",O193)</x:f>
      </x:c>
      <x:c r="AG193" s="85" t="str">
        <x:f>IF(B193="","",P193)</x:f>
      </x:c>
      <x:c r="AH193" s="85" t="str">
        <x:f>IF(B193="","",Q193)</x:f>
      </x:c>
      <x:c r="AI193" s="85" t="str">
        <x:f>IF(B193="","",R193)</x:f>
      </x:c>
      <x:c r="AJ193" s="85" t="str">
        <x:f>IF(B193="","",S193)</x:f>
      </x:c>
      <x:c r="AK193" s="85" t="str">
        <x:f>IF(B193="","",T193)</x:f>
      </x:c>
    </x:row>
    <x:row r="194">
      <x:c r="A194" s="94" t="str">
        <x:f>IF(OR(B194="",G194=""),"",B194&amp;"|"&amp;G194)</x:f>
      </x:c>
      <x:c r="B194" s="92"/>
      <x:c r="C194" s="94" t="str">
        <x:f>IFERROR(VLOOKUP(B194,'01 Staff Master'!$A$6:$M$105,2,FALSE),"")</x:f>
      </x:c>
      <x:c r="D194" s="94" t="str">
        <x:f>IFERROR(VLOOKUP(B194,'01 Staff Master'!$A$6:$M$105,3,FALSE),"")</x:f>
      </x:c>
      <x:c r="E194" s="94" t="str">
        <x:f>IFERROR(VLOOKUP(B194,'01 Staff Master'!$A$6:$M$105,5,FALSE),"")</x:f>
      </x:c>
      <x:c r="F194" s="94" t="str">
        <x:f>IFERROR(VLOOKUP(B194,'01 Staff Master'!$A$6:$M$105,4,FALSE),"")</x:f>
      </x:c>
      <x:c r="G194" s="92"/>
      <x:c r="H194" s="94" t="str">
        <x:f>IFERROR(VLOOKUP(G194,'02 Skill Catalogue'!$A$6:$K$95,4,FALSE),"")</x:f>
      </x:c>
      <x:c r="I194" s="94" t="str">
        <x:f>IFERROR(VLOOKUP(D194&amp;"|"&amp;E194&amp;"|"&amp;G194,'03 Position Requirements'!$A$6:$R$285,8,FALSE),"")</x:f>
      </x:c>
      <x:c r="J194" s="94" t="str">
        <x:f>IFERROR(VLOOKUP(D194&amp;"|"&amp;E194&amp;"|"&amp;G194,'03 Position Requirements'!$A$6:$R$285,10,FALSE),"")</x:f>
      </x:c>
      <x:c r="K194" s="94" t="str">
        <x:f>IF(OR(B194="",G194=""),"",IF(COUNTIFS('04 Assessment Log'!$D$6:$D$155,B194,'04 Assessment Log'!$J$6:$J$155,G194,'04 Assessment Log'!$AA$6:$AA$155,"Yes")=0,"",SUMIFS('04 Assessment Log'!$O$6:$O$155,'04 Assessment Log'!$D$6:$D$155,B194,'04 Assessment Log'!$J$6:$J$155,G194,'04 Assessment Log'!$AA$6:$AA$155,"Yes")))</x:f>
      </x:c>
      <x:c r="L194" s="94" t="str">
        <x:f>IF(OR(J194="",K194=""),"",MAX(J194-K194,0))</x:f>
      </x:c>
      <x:c r="M194" s="102" t="str">
        <x:f>IF(COUNTIFS('04 Assessment Log'!$D$6:$D$155,B194,'04 Assessment Log'!$J$6:$J$155,G194,'04 Assessment Log'!$AA$6:$AA$155,"Yes")=0,"",SUMIFS('04 Assessment Log'!$B$6:$B$155,'04 Assessment Log'!$D$6:$D$155,B194,'04 Assessment Log'!$J$6:$J$155,G194,'04 Assessment Log'!$AA$6:$AA$155,"Yes"))</x:f>
      </x:c>
      <x:c r="N194" s="102" t="str">
        <x:f>IF(M194="","",SUMIFS('04 Assessment Log'!$Z$6:$Z$155,'04 Assessment Log'!$D$6:$D$155,B194,'04 Assessment Log'!$J$6:$J$155,G194,'04 Assessment Log'!$AA$6:$AA$155,"Yes"))</x:f>
      </x:c>
      <x:c r="O194" s="94" t="str">
        <x:f>IF(M194="","Not Assessed",IF(N194&lt;TODAY(),"Expired",IF(N194&lt;=TODAY()+30,"Due Soon","Current")))</x:f>
        <x:v>Not Assessed</x:v>
      </x:c>
      <x:c r="P194" s="94" t="str">
        <x:f>IF(OR(B194="",G194=""),"",COUNTIFS('05 Development Actions'!$C$6:$C$105,B194,'05 Development Actions'!$G$6:$G$105,G194,'05 Development Actions'!$A$6:$A$105,"&lt;&gt;",'05 Development Actions'!$AB$6:$AB$105,"&lt;&gt;Closed — Competent",'05 Development Actions'!$AB$6:$AB$105,"&lt;&gt;Cancelled"))</x:f>
      </x:c>
      <x:c r="Q194" s="94" t="str">
        <x:f>IF(OR(B194="",G194=""),"",COUNTIFS('11 Training Attendance'!$E$6:$E$155,B194,'11 Training Attendance'!$K$6:$K$155,"Attended",'11 Training Attendance'!$I$6:$I$155,G194))</x:f>
      </x:c>
      <x:c r="R194" s="102" t="str">
        <x:f>IF(Q194=0,"",MAXIFS('11 Training Attendance'!$D$6:$D$155,'11 Training Attendance'!$E$6:$E$155,B194,'11 Training Attendance'!$K$6:$K$155,"Attended",'11 Training Attendance'!$I$6:$I$155,G194))</x:f>
      </x:c>
      <x:c r="S194" s="94" t="str">
        <x:f>IF(OR(B194="",G194=""),"",COUNTIFS('13 Effectiveness Review'!$C$6:$C$155,B194,'13 Effectiveness Review'!$F$6:$F$155,G194,'13 Effectiveness Review'!$X$6:$X$155,"Closed — Effective"))</x:f>
      </x:c>
      <x:c r="T194" s="94" t="str">
        <x:f>IF(B194="","",IF(K194="","Not Assessed",IF(O194="Expired","Renewal Due",IF(L194=0,"Competent","Skill Gap"))))</x:f>
      </x:c>
      <x:c r="U194" s="94" t="str">
        <x:f>IFERROR(VLOOKUP(D194&amp;"|"&amp;E194&amp;"|"&amp;G194,'03 Position Requirements'!$A$6:$R$285,14,FALSE),"")</x:f>
      </x:c>
      <x:c r="V194" s="92"/>
      <x:c r="W194" s="85" t="str">
        <x:f>IF(B194="","",B194&amp;"|"&amp;COUNTIF($B$6:B194,B194))</x:f>
      </x:c>
      <x:c r="X194" s="85" t="str">
        <x:f>IF(B194="","",G194)</x:f>
      </x:c>
      <x:c r="Y194" s="85" t="str">
        <x:f>IF(B194="","",H194)</x:f>
      </x:c>
      <x:c r="Z194" s="85" t="str">
        <x:f>IF(B194="","",I194)</x:f>
      </x:c>
      <x:c r="AA194" s="85" t="str">
        <x:f>IF(B194="","",J194)</x:f>
      </x:c>
      <x:c r="AB194" s="85" t="str">
        <x:f>IF(B194="","",K194)</x:f>
      </x:c>
      <x:c r="AC194" s="85" t="str">
        <x:f>IF(B194="","",L194)</x:f>
      </x:c>
      <x:c r="AD194" s="85" t="str">
        <x:f>IF(B194="","",M194)</x:f>
      </x:c>
      <x:c r="AE194" s="85" t="str">
        <x:f>IF(B194="","",N194)</x:f>
      </x:c>
      <x:c r="AF194" s="85" t="str">
        <x:f>IF(B194="","",O194)</x:f>
      </x:c>
      <x:c r="AG194" s="85" t="str">
        <x:f>IF(B194="","",P194)</x:f>
      </x:c>
      <x:c r="AH194" s="85" t="str">
        <x:f>IF(B194="","",Q194)</x:f>
      </x:c>
      <x:c r="AI194" s="85" t="str">
        <x:f>IF(B194="","",R194)</x:f>
      </x:c>
      <x:c r="AJ194" s="85" t="str">
        <x:f>IF(B194="","",S194)</x:f>
      </x:c>
      <x:c r="AK194" s="85" t="str">
        <x:f>IF(B194="","",T194)</x:f>
      </x:c>
    </x:row>
    <x:row r="195">
      <x:c r="A195" s="94" t="str">
        <x:f>IF(OR(B195="",G195=""),"",B195&amp;"|"&amp;G195)</x:f>
      </x:c>
      <x:c r="B195" s="92"/>
      <x:c r="C195" s="94" t="str">
        <x:f>IFERROR(VLOOKUP(B195,'01 Staff Master'!$A$6:$M$105,2,FALSE),"")</x:f>
      </x:c>
      <x:c r="D195" s="94" t="str">
        <x:f>IFERROR(VLOOKUP(B195,'01 Staff Master'!$A$6:$M$105,3,FALSE),"")</x:f>
      </x:c>
      <x:c r="E195" s="94" t="str">
        <x:f>IFERROR(VLOOKUP(B195,'01 Staff Master'!$A$6:$M$105,5,FALSE),"")</x:f>
      </x:c>
      <x:c r="F195" s="94" t="str">
        <x:f>IFERROR(VLOOKUP(B195,'01 Staff Master'!$A$6:$M$105,4,FALSE),"")</x:f>
      </x:c>
      <x:c r="G195" s="92"/>
      <x:c r="H195" s="94" t="str">
        <x:f>IFERROR(VLOOKUP(G195,'02 Skill Catalogue'!$A$6:$K$95,4,FALSE),"")</x:f>
      </x:c>
      <x:c r="I195" s="94" t="str">
        <x:f>IFERROR(VLOOKUP(D195&amp;"|"&amp;E195&amp;"|"&amp;G195,'03 Position Requirements'!$A$6:$R$285,8,FALSE),"")</x:f>
      </x:c>
      <x:c r="J195" s="94" t="str">
        <x:f>IFERROR(VLOOKUP(D195&amp;"|"&amp;E195&amp;"|"&amp;G195,'03 Position Requirements'!$A$6:$R$285,10,FALSE),"")</x:f>
      </x:c>
      <x:c r="K195" s="94" t="str">
        <x:f>IF(OR(B195="",G195=""),"",IF(COUNTIFS('04 Assessment Log'!$D$6:$D$155,B195,'04 Assessment Log'!$J$6:$J$155,G195,'04 Assessment Log'!$AA$6:$AA$155,"Yes")=0,"",SUMIFS('04 Assessment Log'!$O$6:$O$155,'04 Assessment Log'!$D$6:$D$155,B195,'04 Assessment Log'!$J$6:$J$155,G195,'04 Assessment Log'!$AA$6:$AA$155,"Yes")))</x:f>
      </x:c>
      <x:c r="L195" s="94" t="str">
        <x:f>IF(OR(J195="",K195=""),"",MAX(J195-K195,0))</x:f>
      </x:c>
      <x:c r="M195" s="102" t="str">
        <x:f>IF(COUNTIFS('04 Assessment Log'!$D$6:$D$155,B195,'04 Assessment Log'!$J$6:$J$155,G195,'04 Assessment Log'!$AA$6:$AA$155,"Yes")=0,"",SUMIFS('04 Assessment Log'!$B$6:$B$155,'04 Assessment Log'!$D$6:$D$155,B195,'04 Assessment Log'!$J$6:$J$155,G195,'04 Assessment Log'!$AA$6:$AA$155,"Yes"))</x:f>
      </x:c>
      <x:c r="N195" s="102" t="str">
        <x:f>IF(M195="","",SUMIFS('04 Assessment Log'!$Z$6:$Z$155,'04 Assessment Log'!$D$6:$D$155,B195,'04 Assessment Log'!$J$6:$J$155,G195,'04 Assessment Log'!$AA$6:$AA$155,"Yes"))</x:f>
      </x:c>
      <x:c r="O195" s="94" t="str">
        <x:f>IF(M195="","Not Assessed",IF(N195&lt;TODAY(),"Expired",IF(N195&lt;=TODAY()+30,"Due Soon","Current")))</x:f>
        <x:v>Not Assessed</x:v>
      </x:c>
      <x:c r="P195" s="94" t="str">
        <x:f>IF(OR(B195="",G195=""),"",COUNTIFS('05 Development Actions'!$C$6:$C$105,B195,'05 Development Actions'!$G$6:$G$105,G195,'05 Development Actions'!$A$6:$A$105,"&lt;&gt;",'05 Development Actions'!$AB$6:$AB$105,"&lt;&gt;Closed — Competent",'05 Development Actions'!$AB$6:$AB$105,"&lt;&gt;Cancelled"))</x:f>
      </x:c>
      <x:c r="Q195" s="94" t="str">
        <x:f>IF(OR(B195="",G195=""),"",COUNTIFS('11 Training Attendance'!$E$6:$E$155,B195,'11 Training Attendance'!$K$6:$K$155,"Attended",'11 Training Attendance'!$I$6:$I$155,G195))</x:f>
      </x:c>
      <x:c r="R195" s="102" t="str">
        <x:f>IF(Q195=0,"",MAXIFS('11 Training Attendance'!$D$6:$D$155,'11 Training Attendance'!$E$6:$E$155,B195,'11 Training Attendance'!$K$6:$K$155,"Attended",'11 Training Attendance'!$I$6:$I$155,G195))</x:f>
      </x:c>
      <x:c r="S195" s="94" t="str">
        <x:f>IF(OR(B195="",G195=""),"",COUNTIFS('13 Effectiveness Review'!$C$6:$C$155,B195,'13 Effectiveness Review'!$F$6:$F$155,G195,'13 Effectiveness Review'!$X$6:$X$155,"Closed — Effective"))</x:f>
      </x:c>
      <x:c r="T195" s="94" t="str">
        <x:f>IF(B195="","",IF(K195="","Not Assessed",IF(O195="Expired","Renewal Due",IF(L195=0,"Competent","Skill Gap"))))</x:f>
      </x:c>
      <x:c r="U195" s="94" t="str">
        <x:f>IFERROR(VLOOKUP(D195&amp;"|"&amp;E195&amp;"|"&amp;G195,'03 Position Requirements'!$A$6:$R$285,14,FALSE),"")</x:f>
      </x:c>
      <x:c r="V195" s="92"/>
      <x:c r="W195" s="85" t="str">
        <x:f>IF(B195="","",B195&amp;"|"&amp;COUNTIF($B$6:B195,B195))</x:f>
      </x:c>
      <x:c r="X195" s="85" t="str">
        <x:f>IF(B195="","",G195)</x:f>
      </x:c>
      <x:c r="Y195" s="85" t="str">
        <x:f>IF(B195="","",H195)</x:f>
      </x:c>
      <x:c r="Z195" s="85" t="str">
        <x:f>IF(B195="","",I195)</x:f>
      </x:c>
      <x:c r="AA195" s="85" t="str">
        <x:f>IF(B195="","",J195)</x:f>
      </x:c>
      <x:c r="AB195" s="85" t="str">
        <x:f>IF(B195="","",K195)</x:f>
      </x:c>
      <x:c r="AC195" s="85" t="str">
        <x:f>IF(B195="","",L195)</x:f>
      </x:c>
      <x:c r="AD195" s="85" t="str">
        <x:f>IF(B195="","",M195)</x:f>
      </x:c>
      <x:c r="AE195" s="85" t="str">
        <x:f>IF(B195="","",N195)</x:f>
      </x:c>
      <x:c r="AF195" s="85" t="str">
        <x:f>IF(B195="","",O195)</x:f>
      </x:c>
      <x:c r="AG195" s="85" t="str">
        <x:f>IF(B195="","",P195)</x:f>
      </x:c>
      <x:c r="AH195" s="85" t="str">
        <x:f>IF(B195="","",Q195)</x:f>
      </x:c>
      <x:c r="AI195" s="85" t="str">
        <x:f>IF(B195="","",R195)</x:f>
      </x:c>
      <x:c r="AJ195" s="85" t="str">
        <x:f>IF(B195="","",S195)</x:f>
      </x:c>
      <x:c r="AK195" s="85" t="str">
        <x:f>IF(B195="","",T195)</x:f>
      </x:c>
    </x:row>
    <x:row r="196">
      <x:c r="A196" s="94" t="str">
        <x:f>IF(OR(B196="",G196=""),"",B196&amp;"|"&amp;G196)</x:f>
      </x:c>
      <x:c r="B196" s="92"/>
      <x:c r="C196" s="94" t="str">
        <x:f>IFERROR(VLOOKUP(B196,'01 Staff Master'!$A$6:$M$105,2,FALSE),"")</x:f>
      </x:c>
      <x:c r="D196" s="94" t="str">
        <x:f>IFERROR(VLOOKUP(B196,'01 Staff Master'!$A$6:$M$105,3,FALSE),"")</x:f>
      </x:c>
      <x:c r="E196" s="94" t="str">
        <x:f>IFERROR(VLOOKUP(B196,'01 Staff Master'!$A$6:$M$105,5,FALSE),"")</x:f>
      </x:c>
      <x:c r="F196" s="94" t="str">
        <x:f>IFERROR(VLOOKUP(B196,'01 Staff Master'!$A$6:$M$105,4,FALSE),"")</x:f>
      </x:c>
      <x:c r="G196" s="92"/>
      <x:c r="H196" s="94" t="str">
        <x:f>IFERROR(VLOOKUP(G196,'02 Skill Catalogue'!$A$6:$K$95,4,FALSE),"")</x:f>
      </x:c>
      <x:c r="I196" s="94" t="str">
        <x:f>IFERROR(VLOOKUP(D196&amp;"|"&amp;E196&amp;"|"&amp;G196,'03 Position Requirements'!$A$6:$R$285,8,FALSE),"")</x:f>
      </x:c>
      <x:c r="J196" s="94" t="str">
        <x:f>IFERROR(VLOOKUP(D196&amp;"|"&amp;E196&amp;"|"&amp;G196,'03 Position Requirements'!$A$6:$R$285,10,FALSE),"")</x:f>
      </x:c>
      <x:c r="K196" s="94" t="str">
        <x:f>IF(OR(B196="",G196=""),"",IF(COUNTIFS('04 Assessment Log'!$D$6:$D$155,B196,'04 Assessment Log'!$J$6:$J$155,G196,'04 Assessment Log'!$AA$6:$AA$155,"Yes")=0,"",SUMIFS('04 Assessment Log'!$O$6:$O$155,'04 Assessment Log'!$D$6:$D$155,B196,'04 Assessment Log'!$J$6:$J$155,G196,'04 Assessment Log'!$AA$6:$AA$155,"Yes")))</x:f>
      </x:c>
      <x:c r="L196" s="94" t="str">
        <x:f>IF(OR(J196="",K196=""),"",MAX(J196-K196,0))</x:f>
      </x:c>
      <x:c r="M196" s="102" t="str">
        <x:f>IF(COUNTIFS('04 Assessment Log'!$D$6:$D$155,B196,'04 Assessment Log'!$J$6:$J$155,G196,'04 Assessment Log'!$AA$6:$AA$155,"Yes")=0,"",SUMIFS('04 Assessment Log'!$B$6:$B$155,'04 Assessment Log'!$D$6:$D$155,B196,'04 Assessment Log'!$J$6:$J$155,G196,'04 Assessment Log'!$AA$6:$AA$155,"Yes"))</x:f>
      </x:c>
      <x:c r="N196" s="102" t="str">
        <x:f>IF(M196="","",SUMIFS('04 Assessment Log'!$Z$6:$Z$155,'04 Assessment Log'!$D$6:$D$155,B196,'04 Assessment Log'!$J$6:$J$155,G196,'04 Assessment Log'!$AA$6:$AA$155,"Yes"))</x:f>
      </x:c>
      <x:c r="O196" s="94" t="str">
        <x:f>IF(M196="","Not Assessed",IF(N196&lt;TODAY(),"Expired",IF(N196&lt;=TODAY()+30,"Due Soon","Current")))</x:f>
        <x:v>Not Assessed</x:v>
      </x:c>
      <x:c r="P196" s="94" t="str">
        <x:f>IF(OR(B196="",G196=""),"",COUNTIFS('05 Development Actions'!$C$6:$C$105,B196,'05 Development Actions'!$G$6:$G$105,G196,'05 Development Actions'!$A$6:$A$105,"&lt;&gt;",'05 Development Actions'!$AB$6:$AB$105,"&lt;&gt;Closed — Competent",'05 Development Actions'!$AB$6:$AB$105,"&lt;&gt;Cancelled"))</x:f>
      </x:c>
      <x:c r="Q196" s="94" t="str">
        <x:f>IF(OR(B196="",G196=""),"",COUNTIFS('11 Training Attendance'!$E$6:$E$155,B196,'11 Training Attendance'!$K$6:$K$155,"Attended",'11 Training Attendance'!$I$6:$I$155,G196))</x:f>
      </x:c>
      <x:c r="R196" s="102" t="str">
        <x:f>IF(Q196=0,"",MAXIFS('11 Training Attendance'!$D$6:$D$155,'11 Training Attendance'!$E$6:$E$155,B196,'11 Training Attendance'!$K$6:$K$155,"Attended",'11 Training Attendance'!$I$6:$I$155,G196))</x:f>
      </x:c>
      <x:c r="S196" s="94" t="str">
        <x:f>IF(OR(B196="",G196=""),"",COUNTIFS('13 Effectiveness Review'!$C$6:$C$155,B196,'13 Effectiveness Review'!$F$6:$F$155,G196,'13 Effectiveness Review'!$X$6:$X$155,"Closed — Effective"))</x:f>
      </x:c>
      <x:c r="T196" s="94" t="str">
        <x:f>IF(B196="","",IF(K196="","Not Assessed",IF(O196="Expired","Renewal Due",IF(L196=0,"Competent","Skill Gap"))))</x:f>
      </x:c>
      <x:c r="U196" s="94" t="str">
        <x:f>IFERROR(VLOOKUP(D196&amp;"|"&amp;E196&amp;"|"&amp;G196,'03 Position Requirements'!$A$6:$R$285,14,FALSE),"")</x:f>
      </x:c>
      <x:c r="V196" s="92"/>
      <x:c r="W196" s="85" t="str">
        <x:f>IF(B196="","",B196&amp;"|"&amp;COUNTIF($B$6:B196,B196))</x:f>
      </x:c>
      <x:c r="X196" s="85" t="str">
        <x:f>IF(B196="","",G196)</x:f>
      </x:c>
      <x:c r="Y196" s="85" t="str">
        <x:f>IF(B196="","",H196)</x:f>
      </x:c>
      <x:c r="Z196" s="85" t="str">
        <x:f>IF(B196="","",I196)</x:f>
      </x:c>
      <x:c r="AA196" s="85" t="str">
        <x:f>IF(B196="","",J196)</x:f>
      </x:c>
      <x:c r="AB196" s="85" t="str">
        <x:f>IF(B196="","",K196)</x:f>
      </x:c>
      <x:c r="AC196" s="85" t="str">
        <x:f>IF(B196="","",L196)</x:f>
      </x:c>
      <x:c r="AD196" s="85" t="str">
        <x:f>IF(B196="","",M196)</x:f>
      </x:c>
      <x:c r="AE196" s="85" t="str">
        <x:f>IF(B196="","",N196)</x:f>
      </x:c>
      <x:c r="AF196" s="85" t="str">
        <x:f>IF(B196="","",O196)</x:f>
      </x:c>
      <x:c r="AG196" s="85" t="str">
        <x:f>IF(B196="","",P196)</x:f>
      </x:c>
      <x:c r="AH196" s="85" t="str">
        <x:f>IF(B196="","",Q196)</x:f>
      </x:c>
      <x:c r="AI196" s="85" t="str">
        <x:f>IF(B196="","",R196)</x:f>
      </x:c>
      <x:c r="AJ196" s="85" t="str">
        <x:f>IF(B196="","",S196)</x:f>
      </x:c>
      <x:c r="AK196" s="85" t="str">
        <x:f>IF(B196="","",T196)</x:f>
      </x:c>
    </x:row>
    <x:row r="197">
      <x:c r="A197" s="94" t="str">
        <x:f>IF(OR(B197="",G197=""),"",B197&amp;"|"&amp;G197)</x:f>
      </x:c>
      <x:c r="B197" s="92"/>
      <x:c r="C197" s="94" t="str">
        <x:f>IFERROR(VLOOKUP(B197,'01 Staff Master'!$A$6:$M$105,2,FALSE),"")</x:f>
      </x:c>
      <x:c r="D197" s="94" t="str">
        <x:f>IFERROR(VLOOKUP(B197,'01 Staff Master'!$A$6:$M$105,3,FALSE),"")</x:f>
      </x:c>
      <x:c r="E197" s="94" t="str">
        <x:f>IFERROR(VLOOKUP(B197,'01 Staff Master'!$A$6:$M$105,5,FALSE),"")</x:f>
      </x:c>
      <x:c r="F197" s="94" t="str">
        <x:f>IFERROR(VLOOKUP(B197,'01 Staff Master'!$A$6:$M$105,4,FALSE),"")</x:f>
      </x:c>
      <x:c r="G197" s="92"/>
      <x:c r="H197" s="94" t="str">
        <x:f>IFERROR(VLOOKUP(G197,'02 Skill Catalogue'!$A$6:$K$95,4,FALSE),"")</x:f>
      </x:c>
      <x:c r="I197" s="94" t="str">
        <x:f>IFERROR(VLOOKUP(D197&amp;"|"&amp;E197&amp;"|"&amp;G197,'03 Position Requirements'!$A$6:$R$285,8,FALSE),"")</x:f>
      </x:c>
      <x:c r="J197" s="94" t="str">
        <x:f>IFERROR(VLOOKUP(D197&amp;"|"&amp;E197&amp;"|"&amp;G197,'03 Position Requirements'!$A$6:$R$285,10,FALSE),"")</x:f>
      </x:c>
      <x:c r="K197" s="94" t="str">
        <x:f>IF(OR(B197="",G197=""),"",IF(COUNTIFS('04 Assessment Log'!$D$6:$D$155,B197,'04 Assessment Log'!$J$6:$J$155,G197,'04 Assessment Log'!$AA$6:$AA$155,"Yes")=0,"",SUMIFS('04 Assessment Log'!$O$6:$O$155,'04 Assessment Log'!$D$6:$D$155,B197,'04 Assessment Log'!$J$6:$J$155,G197,'04 Assessment Log'!$AA$6:$AA$155,"Yes")))</x:f>
      </x:c>
      <x:c r="L197" s="94" t="str">
        <x:f>IF(OR(J197="",K197=""),"",MAX(J197-K197,0))</x:f>
      </x:c>
      <x:c r="M197" s="102" t="str">
        <x:f>IF(COUNTIFS('04 Assessment Log'!$D$6:$D$155,B197,'04 Assessment Log'!$J$6:$J$155,G197,'04 Assessment Log'!$AA$6:$AA$155,"Yes")=0,"",SUMIFS('04 Assessment Log'!$B$6:$B$155,'04 Assessment Log'!$D$6:$D$155,B197,'04 Assessment Log'!$J$6:$J$155,G197,'04 Assessment Log'!$AA$6:$AA$155,"Yes"))</x:f>
      </x:c>
      <x:c r="N197" s="102" t="str">
        <x:f>IF(M197="","",SUMIFS('04 Assessment Log'!$Z$6:$Z$155,'04 Assessment Log'!$D$6:$D$155,B197,'04 Assessment Log'!$J$6:$J$155,G197,'04 Assessment Log'!$AA$6:$AA$155,"Yes"))</x:f>
      </x:c>
      <x:c r="O197" s="94" t="str">
        <x:f>IF(M197="","Not Assessed",IF(N197&lt;TODAY(),"Expired",IF(N197&lt;=TODAY()+30,"Due Soon","Current")))</x:f>
        <x:v>Not Assessed</x:v>
      </x:c>
      <x:c r="P197" s="94" t="str">
        <x:f>IF(OR(B197="",G197=""),"",COUNTIFS('05 Development Actions'!$C$6:$C$105,B197,'05 Development Actions'!$G$6:$G$105,G197,'05 Development Actions'!$A$6:$A$105,"&lt;&gt;",'05 Development Actions'!$AB$6:$AB$105,"&lt;&gt;Closed — Competent",'05 Development Actions'!$AB$6:$AB$105,"&lt;&gt;Cancelled"))</x:f>
      </x:c>
      <x:c r="Q197" s="94" t="str">
        <x:f>IF(OR(B197="",G197=""),"",COUNTIFS('11 Training Attendance'!$E$6:$E$155,B197,'11 Training Attendance'!$K$6:$K$155,"Attended",'11 Training Attendance'!$I$6:$I$155,G197))</x:f>
      </x:c>
      <x:c r="R197" s="102" t="str">
        <x:f>IF(Q197=0,"",MAXIFS('11 Training Attendance'!$D$6:$D$155,'11 Training Attendance'!$E$6:$E$155,B197,'11 Training Attendance'!$K$6:$K$155,"Attended",'11 Training Attendance'!$I$6:$I$155,G197))</x:f>
      </x:c>
      <x:c r="S197" s="94" t="str">
        <x:f>IF(OR(B197="",G197=""),"",COUNTIFS('13 Effectiveness Review'!$C$6:$C$155,B197,'13 Effectiveness Review'!$F$6:$F$155,G197,'13 Effectiveness Review'!$X$6:$X$155,"Closed — Effective"))</x:f>
      </x:c>
      <x:c r="T197" s="94" t="str">
        <x:f>IF(B197="","",IF(K197="","Not Assessed",IF(O197="Expired","Renewal Due",IF(L197=0,"Competent","Skill Gap"))))</x:f>
      </x:c>
      <x:c r="U197" s="94" t="str">
        <x:f>IFERROR(VLOOKUP(D197&amp;"|"&amp;E197&amp;"|"&amp;G197,'03 Position Requirements'!$A$6:$R$285,14,FALSE),"")</x:f>
      </x:c>
      <x:c r="V197" s="92"/>
      <x:c r="W197" s="85" t="str">
        <x:f>IF(B197="","",B197&amp;"|"&amp;COUNTIF($B$6:B197,B197))</x:f>
      </x:c>
      <x:c r="X197" s="85" t="str">
        <x:f>IF(B197="","",G197)</x:f>
      </x:c>
      <x:c r="Y197" s="85" t="str">
        <x:f>IF(B197="","",H197)</x:f>
      </x:c>
      <x:c r="Z197" s="85" t="str">
        <x:f>IF(B197="","",I197)</x:f>
      </x:c>
      <x:c r="AA197" s="85" t="str">
        <x:f>IF(B197="","",J197)</x:f>
      </x:c>
      <x:c r="AB197" s="85" t="str">
        <x:f>IF(B197="","",K197)</x:f>
      </x:c>
      <x:c r="AC197" s="85" t="str">
        <x:f>IF(B197="","",L197)</x:f>
      </x:c>
      <x:c r="AD197" s="85" t="str">
        <x:f>IF(B197="","",M197)</x:f>
      </x:c>
      <x:c r="AE197" s="85" t="str">
        <x:f>IF(B197="","",N197)</x:f>
      </x:c>
      <x:c r="AF197" s="85" t="str">
        <x:f>IF(B197="","",O197)</x:f>
      </x:c>
      <x:c r="AG197" s="85" t="str">
        <x:f>IF(B197="","",P197)</x:f>
      </x:c>
      <x:c r="AH197" s="85" t="str">
        <x:f>IF(B197="","",Q197)</x:f>
      </x:c>
      <x:c r="AI197" s="85" t="str">
        <x:f>IF(B197="","",R197)</x:f>
      </x:c>
      <x:c r="AJ197" s="85" t="str">
        <x:f>IF(B197="","",S197)</x:f>
      </x:c>
      <x:c r="AK197" s="85" t="str">
        <x:f>IF(B197="","",T197)</x:f>
      </x:c>
    </x:row>
    <x:row r="198">
      <x:c r="A198" s="94" t="str">
        <x:f>IF(OR(B198="",G198=""),"",B198&amp;"|"&amp;G198)</x:f>
      </x:c>
      <x:c r="B198" s="92"/>
      <x:c r="C198" s="94" t="str">
        <x:f>IFERROR(VLOOKUP(B198,'01 Staff Master'!$A$6:$M$105,2,FALSE),"")</x:f>
      </x:c>
      <x:c r="D198" s="94" t="str">
        <x:f>IFERROR(VLOOKUP(B198,'01 Staff Master'!$A$6:$M$105,3,FALSE),"")</x:f>
      </x:c>
      <x:c r="E198" s="94" t="str">
        <x:f>IFERROR(VLOOKUP(B198,'01 Staff Master'!$A$6:$M$105,5,FALSE),"")</x:f>
      </x:c>
      <x:c r="F198" s="94" t="str">
        <x:f>IFERROR(VLOOKUP(B198,'01 Staff Master'!$A$6:$M$105,4,FALSE),"")</x:f>
      </x:c>
      <x:c r="G198" s="92"/>
      <x:c r="H198" s="94" t="str">
        <x:f>IFERROR(VLOOKUP(G198,'02 Skill Catalogue'!$A$6:$K$95,4,FALSE),"")</x:f>
      </x:c>
      <x:c r="I198" s="94" t="str">
        <x:f>IFERROR(VLOOKUP(D198&amp;"|"&amp;E198&amp;"|"&amp;G198,'03 Position Requirements'!$A$6:$R$285,8,FALSE),"")</x:f>
      </x:c>
      <x:c r="J198" s="94" t="str">
        <x:f>IFERROR(VLOOKUP(D198&amp;"|"&amp;E198&amp;"|"&amp;G198,'03 Position Requirements'!$A$6:$R$285,10,FALSE),"")</x:f>
      </x:c>
      <x:c r="K198" s="94" t="str">
        <x:f>IF(OR(B198="",G198=""),"",IF(COUNTIFS('04 Assessment Log'!$D$6:$D$155,B198,'04 Assessment Log'!$J$6:$J$155,G198,'04 Assessment Log'!$AA$6:$AA$155,"Yes")=0,"",SUMIFS('04 Assessment Log'!$O$6:$O$155,'04 Assessment Log'!$D$6:$D$155,B198,'04 Assessment Log'!$J$6:$J$155,G198,'04 Assessment Log'!$AA$6:$AA$155,"Yes")))</x:f>
      </x:c>
      <x:c r="L198" s="94" t="str">
        <x:f>IF(OR(J198="",K198=""),"",MAX(J198-K198,0))</x:f>
      </x:c>
      <x:c r="M198" s="102" t="str">
        <x:f>IF(COUNTIFS('04 Assessment Log'!$D$6:$D$155,B198,'04 Assessment Log'!$J$6:$J$155,G198,'04 Assessment Log'!$AA$6:$AA$155,"Yes")=0,"",SUMIFS('04 Assessment Log'!$B$6:$B$155,'04 Assessment Log'!$D$6:$D$155,B198,'04 Assessment Log'!$J$6:$J$155,G198,'04 Assessment Log'!$AA$6:$AA$155,"Yes"))</x:f>
      </x:c>
      <x:c r="N198" s="102" t="str">
        <x:f>IF(M198="","",SUMIFS('04 Assessment Log'!$Z$6:$Z$155,'04 Assessment Log'!$D$6:$D$155,B198,'04 Assessment Log'!$J$6:$J$155,G198,'04 Assessment Log'!$AA$6:$AA$155,"Yes"))</x:f>
      </x:c>
      <x:c r="O198" s="94" t="str">
        <x:f>IF(M198="","Not Assessed",IF(N198&lt;TODAY(),"Expired",IF(N198&lt;=TODAY()+30,"Due Soon","Current")))</x:f>
        <x:v>Not Assessed</x:v>
      </x:c>
      <x:c r="P198" s="94" t="str">
        <x:f>IF(OR(B198="",G198=""),"",COUNTIFS('05 Development Actions'!$C$6:$C$105,B198,'05 Development Actions'!$G$6:$G$105,G198,'05 Development Actions'!$A$6:$A$105,"&lt;&gt;",'05 Development Actions'!$AB$6:$AB$105,"&lt;&gt;Closed — Competent",'05 Development Actions'!$AB$6:$AB$105,"&lt;&gt;Cancelled"))</x:f>
      </x:c>
      <x:c r="Q198" s="94" t="str">
        <x:f>IF(OR(B198="",G198=""),"",COUNTIFS('11 Training Attendance'!$E$6:$E$155,B198,'11 Training Attendance'!$K$6:$K$155,"Attended",'11 Training Attendance'!$I$6:$I$155,G198))</x:f>
      </x:c>
      <x:c r="R198" s="102" t="str">
        <x:f>IF(Q198=0,"",MAXIFS('11 Training Attendance'!$D$6:$D$155,'11 Training Attendance'!$E$6:$E$155,B198,'11 Training Attendance'!$K$6:$K$155,"Attended",'11 Training Attendance'!$I$6:$I$155,G198))</x:f>
      </x:c>
      <x:c r="S198" s="94" t="str">
        <x:f>IF(OR(B198="",G198=""),"",COUNTIFS('13 Effectiveness Review'!$C$6:$C$155,B198,'13 Effectiveness Review'!$F$6:$F$155,G198,'13 Effectiveness Review'!$X$6:$X$155,"Closed — Effective"))</x:f>
      </x:c>
      <x:c r="T198" s="94" t="str">
        <x:f>IF(B198="","",IF(K198="","Not Assessed",IF(O198="Expired","Renewal Due",IF(L198=0,"Competent","Skill Gap"))))</x:f>
      </x:c>
      <x:c r="U198" s="94" t="str">
        <x:f>IFERROR(VLOOKUP(D198&amp;"|"&amp;E198&amp;"|"&amp;G198,'03 Position Requirements'!$A$6:$R$285,14,FALSE),"")</x:f>
      </x:c>
      <x:c r="V198" s="92"/>
      <x:c r="W198" s="85" t="str">
        <x:f>IF(B198="","",B198&amp;"|"&amp;COUNTIF($B$6:B198,B198))</x:f>
      </x:c>
      <x:c r="X198" s="85" t="str">
        <x:f>IF(B198="","",G198)</x:f>
      </x:c>
      <x:c r="Y198" s="85" t="str">
        <x:f>IF(B198="","",H198)</x:f>
      </x:c>
      <x:c r="Z198" s="85" t="str">
        <x:f>IF(B198="","",I198)</x:f>
      </x:c>
      <x:c r="AA198" s="85" t="str">
        <x:f>IF(B198="","",J198)</x:f>
      </x:c>
      <x:c r="AB198" s="85" t="str">
        <x:f>IF(B198="","",K198)</x:f>
      </x:c>
      <x:c r="AC198" s="85" t="str">
        <x:f>IF(B198="","",L198)</x:f>
      </x:c>
      <x:c r="AD198" s="85" t="str">
        <x:f>IF(B198="","",M198)</x:f>
      </x:c>
      <x:c r="AE198" s="85" t="str">
        <x:f>IF(B198="","",N198)</x:f>
      </x:c>
      <x:c r="AF198" s="85" t="str">
        <x:f>IF(B198="","",O198)</x:f>
      </x:c>
      <x:c r="AG198" s="85" t="str">
        <x:f>IF(B198="","",P198)</x:f>
      </x:c>
      <x:c r="AH198" s="85" t="str">
        <x:f>IF(B198="","",Q198)</x:f>
      </x:c>
      <x:c r="AI198" s="85" t="str">
        <x:f>IF(B198="","",R198)</x:f>
      </x:c>
      <x:c r="AJ198" s="85" t="str">
        <x:f>IF(B198="","",S198)</x:f>
      </x:c>
      <x:c r="AK198" s="85" t="str">
        <x:f>IF(B198="","",T198)</x:f>
      </x:c>
    </x:row>
    <x:row r="199">
      <x:c r="A199" s="94" t="str">
        <x:f>IF(OR(B199="",G199=""),"",B199&amp;"|"&amp;G199)</x:f>
      </x:c>
      <x:c r="B199" s="92"/>
      <x:c r="C199" s="94" t="str">
        <x:f>IFERROR(VLOOKUP(B199,'01 Staff Master'!$A$6:$M$105,2,FALSE),"")</x:f>
      </x:c>
      <x:c r="D199" s="94" t="str">
        <x:f>IFERROR(VLOOKUP(B199,'01 Staff Master'!$A$6:$M$105,3,FALSE),"")</x:f>
      </x:c>
      <x:c r="E199" s="94" t="str">
        <x:f>IFERROR(VLOOKUP(B199,'01 Staff Master'!$A$6:$M$105,5,FALSE),"")</x:f>
      </x:c>
      <x:c r="F199" s="94" t="str">
        <x:f>IFERROR(VLOOKUP(B199,'01 Staff Master'!$A$6:$M$105,4,FALSE),"")</x:f>
      </x:c>
      <x:c r="G199" s="92"/>
      <x:c r="H199" s="94" t="str">
        <x:f>IFERROR(VLOOKUP(G199,'02 Skill Catalogue'!$A$6:$K$95,4,FALSE),"")</x:f>
      </x:c>
      <x:c r="I199" s="94" t="str">
        <x:f>IFERROR(VLOOKUP(D199&amp;"|"&amp;E199&amp;"|"&amp;G199,'03 Position Requirements'!$A$6:$R$285,8,FALSE),"")</x:f>
      </x:c>
      <x:c r="J199" s="94" t="str">
        <x:f>IFERROR(VLOOKUP(D199&amp;"|"&amp;E199&amp;"|"&amp;G199,'03 Position Requirements'!$A$6:$R$285,10,FALSE),"")</x:f>
      </x:c>
      <x:c r="K199" s="94" t="str">
        <x:f>IF(OR(B199="",G199=""),"",IF(COUNTIFS('04 Assessment Log'!$D$6:$D$155,B199,'04 Assessment Log'!$J$6:$J$155,G199,'04 Assessment Log'!$AA$6:$AA$155,"Yes")=0,"",SUMIFS('04 Assessment Log'!$O$6:$O$155,'04 Assessment Log'!$D$6:$D$155,B199,'04 Assessment Log'!$J$6:$J$155,G199,'04 Assessment Log'!$AA$6:$AA$155,"Yes")))</x:f>
      </x:c>
      <x:c r="L199" s="94" t="str">
        <x:f>IF(OR(J199="",K199=""),"",MAX(J199-K199,0))</x:f>
      </x:c>
      <x:c r="M199" s="102" t="str">
        <x:f>IF(COUNTIFS('04 Assessment Log'!$D$6:$D$155,B199,'04 Assessment Log'!$J$6:$J$155,G199,'04 Assessment Log'!$AA$6:$AA$155,"Yes")=0,"",SUMIFS('04 Assessment Log'!$B$6:$B$155,'04 Assessment Log'!$D$6:$D$155,B199,'04 Assessment Log'!$J$6:$J$155,G199,'04 Assessment Log'!$AA$6:$AA$155,"Yes"))</x:f>
      </x:c>
      <x:c r="N199" s="102" t="str">
        <x:f>IF(M199="","",SUMIFS('04 Assessment Log'!$Z$6:$Z$155,'04 Assessment Log'!$D$6:$D$155,B199,'04 Assessment Log'!$J$6:$J$155,G199,'04 Assessment Log'!$AA$6:$AA$155,"Yes"))</x:f>
      </x:c>
      <x:c r="O199" s="94" t="str">
        <x:f>IF(M199="","Not Assessed",IF(N199&lt;TODAY(),"Expired",IF(N199&lt;=TODAY()+30,"Due Soon","Current")))</x:f>
        <x:v>Not Assessed</x:v>
      </x:c>
      <x:c r="P199" s="94" t="str">
        <x:f>IF(OR(B199="",G199=""),"",COUNTIFS('05 Development Actions'!$C$6:$C$105,B199,'05 Development Actions'!$G$6:$G$105,G199,'05 Development Actions'!$A$6:$A$105,"&lt;&gt;",'05 Development Actions'!$AB$6:$AB$105,"&lt;&gt;Closed — Competent",'05 Development Actions'!$AB$6:$AB$105,"&lt;&gt;Cancelled"))</x:f>
      </x:c>
      <x:c r="Q199" s="94" t="str">
        <x:f>IF(OR(B199="",G199=""),"",COUNTIFS('11 Training Attendance'!$E$6:$E$155,B199,'11 Training Attendance'!$K$6:$K$155,"Attended",'11 Training Attendance'!$I$6:$I$155,G199))</x:f>
      </x:c>
      <x:c r="R199" s="102" t="str">
        <x:f>IF(Q199=0,"",MAXIFS('11 Training Attendance'!$D$6:$D$155,'11 Training Attendance'!$E$6:$E$155,B199,'11 Training Attendance'!$K$6:$K$155,"Attended",'11 Training Attendance'!$I$6:$I$155,G199))</x:f>
      </x:c>
      <x:c r="S199" s="94" t="str">
        <x:f>IF(OR(B199="",G199=""),"",COUNTIFS('13 Effectiveness Review'!$C$6:$C$155,B199,'13 Effectiveness Review'!$F$6:$F$155,G199,'13 Effectiveness Review'!$X$6:$X$155,"Closed — Effective"))</x:f>
      </x:c>
      <x:c r="T199" s="94" t="str">
        <x:f>IF(B199="","",IF(K199="","Not Assessed",IF(O199="Expired","Renewal Due",IF(L199=0,"Competent","Skill Gap"))))</x:f>
      </x:c>
      <x:c r="U199" s="94" t="str">
        <x:f>IFERROR(VLOOKUP(D199&amp;"|"&amp;E199&amp;"|"&amp;G199,'03 Position Requirements'!$A$6:$R$285,14,FALSE),"")</x:f>
      </x:c>
      <x:c r="V199" s="92"/>
      <x:c r="W199" s="85" t="str">
        <x:f>IF(B199="","",B199&amp;"|"&amp;COUNTIF($B$6:B199,B199))</x:f>
      </x:c>
      <x:c r="X199" s="85" t="str">
        <x:f>IF(B199="","",G199)</x:f>
      </x:c>
      <x:c r="Y199" s="85" t="str">
        <x:f>IF(B199="","",H199)</x:f>
      </x:c>
      <x:c r="Z199" s="85" t="str">
        <x:f>IF(B199="","",I199)</x:f>
      </x:c>
      <x:c r="AA199" s="85" t="str">
        <x:f>IF(B199="","",J199)</x:f>
      </x:c>
      <x:c r="AB199" s="85" t="str">
        <x:f>IF(B199="","",K199)</x:f>
      </x:c>
      <x:c r="AC199" s="85" t="str">
        <x:f>IF(B199="","",L199)</x:f>
      </x:c>
      <x:c r="AD199" s="85" t="str">
        <x:f>IF(B199="","",M199)</x:f>
      </x:c>
      <x:c r="AE199" s="85" t="str">
        <x:f>IF(B199="","",N199)</x:f>
      </x:c>
      <x:c r="AF199" s="85" t="str">
        <x:f>IF(B199="","",O199)</x:f>
      </x:c>
      <x:c r="AG199" s="85" t="str">
        <x:f>IF(B199="","",P199)</x:f>
      </x:c>
      <x:c r="AH199" s="85" t="str">
        <x:f>IF(B199="","",Q199)</x:f>
      </x:c>
      <x:c r="AI199" s="85" t="str">
        <x:f>IF(B199="","",R199)</x:f>
      </x:c>
      <x:c r="AJ199" s="85" t="str">
        <x:f>IF(B199="","",S199)</x:f>
      </x:c>
      <x:c r="AK199" s="85" t="str">
        <x:f>IF(B199="","",T199)</x:f>
      </x:c>
    </x:row>
    <x:row r="200">
      <x:c r="A200" s="94" t="str">
        <x:f>IF(OR(B200="",G200=""),"",B200&amp;"|"&amp;G200)</x:f>
      </x:c>
      <x:c r="B200" s="92"/>
      <x:c r="C200" s="94" t="str">
        <x:f>IFERROR(VLOOKUP(B200,'01 Staff Master'!$A$6:$M$105,2,FALSE),"")</x:f>
      </x:c>
      <x:c r="D200" s="94" t="str">
        <x:f>IFERROR(VLOOKUP(B200,'01 Staff Master'!$A$6:$M$105,3,FALSE),"")</x:f>
      </x:c>
      <x:c r="E200" s="94" t="str">
        <x:f>IFERROR(VLOOKUP(B200,'01 Staff Master'!$A$6:$M$105,5,FALSE),"")</x:f>
      </x:c>
      <x:c r="F200" s="94" t="str">
        <x:f>IFERROR(VLOOKUP(B200,'01 Staff Master'!$A$6:$M$105,4,FALSE),"")</x:f>
      </x:c>
      <x:c r="G200" s="92"/>
      <x:c r="H200" s="94" t="str">
        <x:f>IFERROR(VLOOKUP(G200,'02 Skill Catalogue'!$A$6:$K$95,4,FALSE),"")</x:f>
      </x:c>
      <x:c r="I200" s="94" t="str">
        <x:f>IFERROR(VLOOKUP(D200&amp;"|"&amp;E200&amp;"|"&amp;G200,'03 Position Requirements'!$A$6:$R$285,8,FALSE),"")</x:f>
      </x:c>
      <x:c r="J200" s="94" t="str">
        <x:f>IFERROR(VLOOKUP(D200&amp;"|"&amp;E200&amp;"|"&amp;G200,'03 Position Requirements'!$A$6:$R$285,10,FALSE),"")</x:f>
      </x:c>
      <x:c r="K200" s="94" t="str">
        <x:f>IF(OR(B200="",G200=""),"",IF(COUNTIFS('04 Assessment Log'!$D$6:$D$155,B200,'04 Assessment Log'!$J$6:$J$155,G200,'04 Assessment Log'!$AA$6:$AA$155,"Yes")=0,"",SUMIFS('04 Assessment Log'!$O$6:$O$155,'04 Assessment Log'!$D$6:$D$155,B200,'04 Assessment Log'!$J$6:$J$155,G200,'04 Assessment Log'!$AA$6:$AA$155,"Yes")))</x:f>
      </x:c>
      <x:c r="L200" s="94" t="str">
        <x:f>IF(OR(J200="",K200=""),"",MAX(J200-K200,0))</x:f>
      </x:c>
      <x:c r="M200" s="102" t="str">
        <x:f>IF(COUNTIFS('04 Assessment Log'!$D$6:$D$155,B200,'04 Assessment Log'!$J$6:$J$155,G200,'04 Assessment Log'!$AA$6:$AA$155,"Yes")=0,"",SUMIFS('04 Assessment Log'!$B$6:$B$155,'04 Assessment Log'!$D$6:$D$155,B200,'04 Assessment Log'!$J$6:$J$155,G200,'04 Assessment Log'!$AA$6:$AA$155,"Yes"))</x:f>
      </x:c>
      <x:c r="N200" s="102" t="str">
        <x:f>IF(M200="","",SUMIFS('04 Assessment Log'!$Z$6:$Z$155,'04 Assessment Log'!$D$6:$D$155,B200,'04 Assessment Log'!$J$6:$J$155,G200,'04 Assessment Log'!$AA$6:$AA$155,"Yes"))</x:f>
      </x:c>
      <x:c r="O200" s="94" t="str">
        <x:f>IF(M200="","Not Assessed",IF(N200&lt;TODAY(),"Expired",IF(N200&lt;=TODAY()+30,"Due Soon","Current")))</x:f>
        <x:v>Not Assessed</x:v>
      </x:c>
      <x:c r="P200" s="94" t="str">
        <x:f>IF(OR(B200="",G200=""),"",COUNTIFS('05 Development Actions'!$C$6:$C$105,B200,'05 Development Actions'!$G$6:$G$105,G200,'05 Development Actions'!$A$6:$A$105,"&lt;&gt;",'05 Development Actions'!$AB$6:$AB$105,"&lt;&gt;Closed — Competent",'05 Development Actions'!$AB$6:$AB$105,"&lt;&gt;Cancelled"))</x:f>
      </x:c>
      <x:c r="Q200" s="94" t="str">
        <x:f>IF(OR(B200="",G200=""),"",COUNTIFS('11 Training Attendance'!$E$6:$E$155,B200,'11 Training Attendance'!$K$6:$K$155,"Attended",'11 Training Attendance'!$I$6:$I$155,G200))</x:f>
      </x:c>
      <x:c r="R200" s="102" t="str">
        <x:f>IF(Q200=0,"",MAXIFS('11 Training Attendance'!$D$6:$D$155,'11 Training Attendance'!$E$6:$E$155,B200,'11 Training Attendance'!$K$6:$K$155,"Attended",'11 Training Attendance'!$I$6:$I$155,G200))</x:f>
      </x:c>
      <x:c r="S200" s="94" t="str">
        <x:f>IF(OR(B200="",G200=""),"",COUNTIFS('13 Effectiveness Review'!$C$6:$C$155,B200,'13 Effectiveness Review'!$F$6:$F$155,G200,'13 Effectiveness Review'!$X$6:$X$155,"Closed — Effective"))</x:f>
      </x:c>
      <x:c r="T200" s="94" t="str">
        <x:f>IF(B200="","",IF(K200="","Not Assessed",IF(O200="Expired","Renewal Due",IF(L200=0,"Competent","Skill Gap"))))</x:f>
      </x:c>
      <x:c r="U200" s="94" t="str">
        <x:f>IFERROR(VLOOKUP(D200&amp;"|"&amp;E200&amp;"|"&amp;G200,'03 Position Requirements'!$A$6:$R$285,14,FALSE),"")</x:f>
      </x:c>
      <x:c r="V200" s="92"/>
      <x:c r="W200" s="85" t="str">
        <x:f>IF(B200="","",B200&amp;"|"&amp;COUNTIF($B$6:B200,B200))</x:f>
      </x:c>
      <x:c r="X200" s="85" t="str">
        <x:f>IF(B200="","",G200)</x:f>
      </x:c>
      <x:c r="Y200" s="85" t="str">
        <x:f>IF(B200="","",H200)</x:f>
      </x:c>
      <x:c r="Z200" s="85" t="str">
        <x:f>IF(B200="","",I200)</x:f>
      </x:c>
      <x:c r="AA200" s="85" t="str">
        <x:f>IF(B200="","",J200)</x:f>
      </x:c>
      <x:c r="AB200" s="85" t="str">
        <x:f>IF(B200="","",K200)</x:f>
      </x:c>
      <x:c r="AC200" s="85" t="str">
        <x:f>IF(B200="","",L200)</x:f>
      </x:c>
      <x:c r="AD200" s="85" t="str">
        <x:f>IF(B200="","",M200)</x:f>
      </x:c>
      <x:c r="AE200" s="85" t="str">
        <x:f>IF(B200="","",N200)</x:f>
      </x:c>
      <x:c r="AF200" s="85" t="str">
        <x:f>IF(B200="","",O200)</x:f>
      </x:c>
      <x:c r="AG200" s="85" t="str">
        <x:f>IF(B200="","",P200)</x:f>
      </x:c>
      <x:c r="AH200" s="85" t="str">
        <x:f>IF(B200="","",Q200)</x:f>
      </x:c>
      <x:c r="AI200" s="85" t="str">
        <x:f>IF(B200="","",R200)</x:f>
      </x:c>
      <x:c r="AJ200" s="85" t="str">
        <x:f>IF(B200="","",S200)</x:f>
      </x:c>
      <x:c r="AK200" s="85" t="str">
        <x:f>IF(B200="","",T200)</x:f>
      </x:c>
    </x:row>
    <x:row r="201">
      <x:c r="A201" s="94" t="str">
        <x:f>IF(OR(B201="",G201=""),"",B201&amp;"|"&amp;G201)</x:f>
      </x:c>
      <x:c r="B201" s="92"/>
      <x:c r="C201" s="94" t="str">
        <x:f>IFERROR(VLOOKUP(B201,'01 Staff Master'!$A$6:$M$105,2,FALSE),"")</x:f>
      </x:c>
      <x:c r="D201" s="94" t="str">
        <x:f>IFERROR(VLOOKUP(B201,'01 Staff Master'!$A$6:$M$105,3,FALSE),"")</x:f>
      </x:c>
      <x:c r="E201" s="94" t="str">
        <x:f>IFERROR(VLOOKUP(B201,'01 Staff Master'!$A$6:$M$105,5,FALSE),"")</x:f>
      </x:c>
      <x:c r="F201" s="94" t="str">
        <x:f>IFERROR(VLOOKUP(B201,'01 Staff Master'!$A$6:$M$105,4,FALSE),"")</x:f>
      </x:c>
      <x:c r="G201" s="92"/>
      <x:c r="H201" s="94" t="str">
        <x:f>IFERROR(VLOOKUP(G201,'02 Skill Catalogue'!$A$6:$K$95,4,FALSE),"")</x:f>
      </x:c>
      <x:c r="I201" s="94" t="str">
        <x:f>IFERROR(VLOOKUP(D201&amp;"|"&amp;E201&amp;"|"&amp;G201,'03 Position Requirements'!$A$6:$R$285,8,FALSE),"")</x:f>
      </x:c>
      <x:c r="J201" s="94" t="str">
        <x:f>IFERROR(VLOOKUP(D201&amp;"|"&amp;E201&amp;"|"&amp;G201,'03 Position Requirements'!$A$6:$R$285,10,FALSE),"")</x:f>
      </x:c>
      <x:c r="K201" s="94" t="str">
        <x:f>IF(OR(B201="",G201=""),"",IF(COUNTIFS('04 Assessment Log'!$D$6:$D$155,B201,'04 Assessment Log'!$J$6:$J$155,G201,'04 Assessment Log'!$AA$6:$AA$155,"Yes")=0,"",SUMIFS('04 Assessment Log'!$O$6:$O$155,'04 Assessment Log'!$D$6:$D$155,B201,'04 Assessment Log'!$J$6:$J$155,G201,'04 Assessment Log'!$AA$6:$AA$155,"Yes")))</x:f>
      </x:c>
      <x:c r="L201" s="94" t="str">
        <x:f>IF(OR(J201="",K201=""),"",MAX(J201-K201,0))</x:f>
      </x:c>
      <x:c r="M201" s="102" t="str">
        <x:f>IF(COUNTIFS('04 Assessment Log'!$D$6:$D$155,B201,'04 Assessment Log'!$J$6:$J$155,G201,'04 Assessment Log'!$AA$6:$AA$155,"Yes")=0,"",SUMIFS('04 Assessment Log'!$B$6:$B$155,'04 Assessment Log'!$D$6:$D$155,B201,'04 Assessment Log'!$J$6:$J$155,G201,'04 Assessment Log'!$AA$6:$AA$155,"Yes"))</x:f>
      </x:c>
      <x:c r="N201" s="102" t="str">
        <x:f>IF(M201="","",SUMIFS('04 Assessment Log'!$Z$6:$Z$155,'04 Assessment Log'!$D$6:$D$155,B201,'04 Assessment Log'!$J$6:$J$155,G201,'04 Assessment Log'!$AA$6:$AA$155,"Yes"))</x:f>
      </x:c>
      <x:c r="O201" s="94" t="str">
        <x:f>IF(M201="","Not Assessed",IF(N201&lt;TODAY(),"Expired",IF(N201&lt;=TODAY()+30,"Due Soon","Current")))</x:f>
        <x:v>Not Assessed</x:v>
      </x:c>
      <x:c r="P201" s="94" t="str">
        <x:f>IF(OR(B201="",G201=""),"",COUNTIFS('05 Development Actions'!$C$6:$C$105,B201,'05 Development Actions'!$G$6:$G$105,G201,'05 Development Actions'!$A$6:$A$105,"&lt;&gt;",'05 Development Actions'!$AB$6:$AB$105,"&lt;&gt;Closed — Competent",'05 Development Actions'!$AB$6:$AB$105,"&lt;&gt;Cancelled"))</x:f>
      </x:c>
      <x:c r="Q201" s="94" t="str">
        <x:f>IF(OR(B201="",G201=""),"",COUNTIFS('11 Training Attendance'!$E$6:$E$155,B201,'11 Training Attendance'!$K$6:$K$155,"Attended",'11 Training Attendance'!$I$6:$I$155,G201))</x:f>
      </x:c>
      <x:c r="R201" s="102" t="str">
        <x:f>IF(Q201=0,"",MAXIFS('11 Training Attendance'!$D$6:$D$155,'11 Training Attendance'!$E$6:$E$155,B201,'11 Training Attendance'!$K$6:$K$155,"Attended",'11 Training Attendance'!$I$6:$I$155,G201))</x:f>
      </x:c>
      <x:c r="S201" s="94" t="str">
        <x:f>IF(OR(B201="",G201=""),"",COUNTIFS('13 Effectiveness Review'!$C$6:$C$155,B201,'13 Effectiveness Review'!$F$6:$F$155,G201,'13 Effectiveness Review'!$X$6:$X$155,"Closed — Effective"))</x:f>
      </x:c>
      <x:c r="T201" s="94" t="str">
        <x:f>IF(B201="","",IF(K201="","Not Assessed",IF(O201="Expired","Renewal Due",IF(L201=0,"Competent","Skill Gap"))))</x:f>
      </x:c>
      <x:c r="U201" s="94" t="str">
        <x:f>IFERROR(VLOOKUP(D201&amp;"|"&amp;E201&amp;"|"&amp;G201,'03 Position Requirements'!$A$6:$R$285,14,FALSE),"")</x:f>
      </x:c>
      <x:c r="V201" s="92"/>
      <x:c r="W201" s="85" t="str">
        <x:f>IF(B201="","",B201&amp;"|"&amp;COUNTIF($B$6:B201,B201))</x:f>
      </x:c>
      <x:c r="X201" s="85" t="str">
        <x:f>IF(B201="","",G201)</x:f>
      </x:c>
      <x:c r="Y201" s="85" t="str">
        <x:f>IF(B201="","",H201)</x:f>
      </x:c>
      <x:c r="Z201" s="85" t="str">
        <x:f>IF(B201="","",I201)</x:f>
      </x:c>
      <x:c r="AA201" s="85" t="str">
        <x:f>IF(B201="","",J201)</x:f>
      </x:c>
      <x:c r="AB201" s="85" t="str">
        <x:f>IF(B201="","",K201)</x:f>
      </x:c>
      <x:c r="AC201" s="85" t="str">
        <x:f>IF(B201="","",L201)</x:f>
      </x:c>
      <x:c r="AD201" s="85" t="str">
        <x:f>IF(B201="","",M201)</x:f>
      </x:c>
      <x:c r="AE201" s="85" t="str">
        <x:f>IF(B201="","",N201)</x:f>
      </x:c>
      <x:c r="AF201" s="85" t="str">
        <x:f>IF(B201="","",O201)</x:f>
      </x:c>
      <x:c r="AG201" s="85" t="str">
        <x:f>IF(B201="","",P201)</x:f>
      </x:c>
      <x:c r="AH201" s="85" t="str">
        <x:f>IF(B201="","",Q201)</x:f>
      </x:c>
      <x:c r="AI201" s="85" t="str">
        <x:f>IF(B201="","",R201)</x:f>
      </x:c>
      <x:c r="AJ201" s="85" t="str">
        <x:f>IF(B201="","",S201)</x:f>
      </x:c>
      <x:c r="AK201" s="85" t="str">
        <x:f>IF(B201="","",T201)</x:f>
      </x:c>
    </x:row>
    <x:row r="202">
      <x:c r="A202" s="94" t="str">
        <x:f>IF(OR(B202="",G202=""),"",B202&amp;"|"&amp;G202)</x:f>
      </x:c>
      <x:c r="B202" s="92"/>
      <x:c r="C202" s="94" t="str">
        <x:f>IFERROR(VLOOKUP(B202,'01 Staff Master'!$A$6:$M$105,2,FALSE),"")</x:f>
      </x:c>
      <x:c r="D202" s="94" t="str">
        <x:f>IFERROR(VLOOKUP(B202,'01 Staff Master'!$A$6:$M$105,3,FALSE),"")</x:f>
      </x:c>
      <x:c r="E202" s="94" t="str">
        <x:f>IFERROR(VLOOKUP(B202,'01 Staff Master'!$A$6:$M$105,5,FALSE),"")</x:f>
      </x:c>
      <x:c r="F202" s="94" t="str">
        <x:f>IFERROR(VLOOKUP(B202,'01 Staff Master'!$A$6:$M$105,4,FALSE),"")</x:f>
      </x:c>
      <x:c r="G202" s="92"/>
      <x:c r="H202" s="94" t="str">
        <x:f>IFERROR(VLOOKUP(G202,'02 Skill Catalogue'!$A$6:$K$95,4,FALSE),"")</x:f>
      </x:c>
      <x:c r="I202" s="94" t="str">
        <x:f>IFERROR(VLOOKUP(D202&amp;"|"&amp;E202&amp;"|"&amp;G202,'03 Position Requirements'!$A$6:$R$285,8,FALSE),"")</x:f>
      </x:c>
      <x:c r="J202" s="94" t="str">
        <x:f>IFERROR(VLOOKUP(D202&amp;"|"&amp;E202&amp;"|"&amp;G202,'03 Position Requirements'!$A$6:$R$285,10,FALSE),"")</x:f>
      </x:c>
      <x:c r="K202" s="94" t="str">
        <x:f>IF(OR(B202="",G202=""),"",IF(COUNTIFS('04 Assessment Log'!$D$6:$D$155,B202,'04 Assessment Log'!$J$6:$J$155,G202,'04 Assessment Log'!$AA$6:$AA$155,"Yes")=0,"",SUMIFS('04 Assessment Log'!$O$6:$O$155,'04 Assessment Log'!$D$6:$D$155,B202,'04 Assessment Log'!$J$6:$J$155,G202,'04 Assessment Log'!$AA$6:$AA$155,"Yes")))</x:f>
      </x:c>
      <x:c r="L202" s="94" t="str">
        <x:f>IF(OR(J202="",K202=""),"",MAX(J202-K202,0))</x:f>
      </x:c>
      <x:c r="M202" s="102" t="str">
        <x:f>IF(COUNTIFS('04 Assessment Log'!$D$6:$D$155,B202,'04 Assessment Log'!$J$6:$J$155,G202,'04 Assessment Log'!$AA$6:$AA$155,"Yes")=0,"",SUMIFS('04 Assessment Log'!$B$6:$B$155,'04 Assessment Log'!$D$6:$D$155,B202,'04 Assessment Log'!$J$6:$J$155,G202,'04 Assessment Log'!$AA$6:$AA$155,"Yes"))</x:f>
      </x:c>
      <x:c r="N202" s="102" t="str">
        <x:f>IF(M202="","",SUMIFS('04 Assessment Log'!$Z$6:$Z$155,'04 Assessment Log'!$D$6:$D$155,B202,'04 Assessment Log'!$J$6:$J$155,G202,'04 Assessment Log'!$AA$6:$AA$155,"Yes"))</x:f>
      </x:c>
      <x:c r="O202" s="94" t="str">
        <x:f>IF(M202="","Not Assessed",IF(N202&lt;TODAY(),"Expired",IF(N202&lt;=TODAY()+30,"Due Soon","Current")))</x:f>
        <x:v>Not Assessed</x:v>
      </x:c>
      <x:c r="P202" s="94" t="str">
        <x:f>IF(OR(B202="",G202=""),"",COUNTIFS('05 Development Actions'!$C$6:$C$105,B202,'05 Development Actions'!$G$6:$G$105,G202,'05 Development Actions'!$A$6:$A$105,"&lt;&gt;",'05 Development Actions'!$AB$6:$AB$105,"&lt;&gt;Closed — Competent",'05 Development Actions'!$AB$6:$AB$105,"&lt;&gt;Cancelled"))</x:f>
      </x:c>
      <x:c r="Q202" s="94" t="str">
        <x:f>IF(OR(B202="",G202=""),"",COUNTIFS('11 Training Attendance'!$E$6:$E$155,B202,'11 Training Attendance'!$K$6:$K$155,"Attended",'11 Training Attendance'!$I$6:$I$155,G202))</x:f>
      </x:c>
      <x:c r="R202" s="102" t="str">
        <x:f>IF(Q202=0,"",MAXIFS('11 Training Attendance'!$D$6:$D$155,'11 Training Attendance'!$E$6:$E$155,B202,'11 Training Attendance'!$K$6:$K$155,"Attended",'11 Training Attendance'!$I$6:$I$155,G202))</x:f>
      </x:c>
      <x:c r="S202" s="94" t="str">
        <x:f>IF(OR(B202="",G202=""),"",COUNTIFS('13 Effectiveness Review'!$C$6:$C$155,B202,'13 Effectiveness Review'!$F$6:$F$155,G202,'13 Effectiveness Review'!$X$6:$X$155,"Closed — Effective"))</x:f>
      </x:c>
      <x:c r="T202" s="94" t="str">
        <x:f>IF(B202="","",IF(K202="","Not Assessed",IF(O202="Expired","Renewal Due",IF(L202=0,"Competent","Skill Gap"))))</x:f>
      </x:c>
      <x:c r="U202" s="94" t="str">
        <x:f>IFERROR(VLOOKUP(D202&amp;"|"&amp;E202&amp;"|"&amp;G202,'03 Position Requirements'!$A$6:$R$285,14,FALSE),"")</x:f>
      </x:c>
      <x:c r="V202" s="92"/>
      <x:c r="W202" s="85" t="str">
        <x:f>IF(B202="","",B202&amp;"|"&amp;COUNTIF($B$6:B202,B202))</x:f>
      </x:c>
      <x:c r="X202" s="85" t="str">
        <x:f>IF(B202="","",G202)</x:f>
      </x:c>
      <x:c r="Y202" s="85" t="str">
        <x:f>IF(B202="","",H202)</x:f>
      </x:c>
      <x:c r="Z202" s="85" t="str">
        <x:f>IF(B202="","",I202)</x:f>
      </x:c>
      <x:c r="AA202" s="85" t="str">
        <x:f>IF(B202="","",J202)</x:f>
      </x:c>
      <x:c r="AB202" s="85" t="str">
        <x:f>IF(B202="","",K202)</x:f>
      </x:c>
      <x:c r="AC202" s="85" t="str">
        <x:f>IF(B202="","",L202)</x:f>
      </x:c>
      <x:c r="AD202" s="85" t="str">
        <x:f>IF(B202="","",M202)</x:f>
      </x:c>
      <x:c r="AE202" s="85" t="str">
        <x:f>IF(B202="","",N202)</x:f>
      </x:c>
      <x:c r="AF202" s="85" t="str">
        <x:f>IF(B202="","",O202)</x:f>
      </x:c>
      <x:c r="AG202" s="85" t="str">
        <x:f>IF(B202="","",P202)</x:f>
      </x:c>
      <x:c r="AH202" s="85" t="str">
        <x:f>IF(B202="","",Q202)</x:f>
      </x:c>
      <x:c r="AI202" s="85" t="str">
        <x:f>IF(B202="","",R202)</x:f>
      </x:c>
      <x:c r="AJ202" s="85" t="str">
        <x:f>IF(B202="","",S202)</x:f>
      </x:c>
      <x:c r="AK202" s="85" t="str">
        <x:f>IF(B202="","",T202)</x:f>
      </x:c>
    </x:row>
    <x:row r="203">
      <x:c r="A203" s="94" t="str">
        <x:f>IF(OR(B203="",G203=""),"",B203&amp;"|"&amp;G203)</x:f>
      </x:c>
      <x:c r="B203" s="92"/>
      <x:c r="C203" s="94" t="str">
        <x:f>IFERROR(VLOOKUP(B203,'01 Staff Master'!$A$6:$M$105,2,FALSE),"")</x:f>
      </x:c>
      <x:c r="D203" s="94" t="str">
        <x:f>IFERROR(VLOOKUP(B203,'01 Staff Master'!$A$6:$M$105,3,FALSE),"")</x:f>
      </x:c>
      <x:c r="E203" s="94" t="str">
        <x:f>IFERROR(VLOOKUP(B203,'01 Staff Master'!$A$6:$M$105,5,FALSE),"")</x:f>
      </x:c>
      <x:c r="F203" s="94" t="str">
        <x:f>IFERROR(VLOOKUP(B203,'01 Staff Master'!$A$6:$M$105,4,FALSE),"")</x:f>
      </x:c>
      <x:c r="G203" s="92"/>
      <x:c r="H203" s="94" t="str">
        <x:f>IFERROR(VLOOKUP(G203,'02 Skill Catalogue'!$A$6:$K$95,4,FALSE),"")</x:f>
      </x:c>
      <x:c r="I203" s="94" t="str">
        <x:f>IFERROR(VLOOKUP(D203&amp;"|"&amp;E203&amp;"|"&amp;G203,'03 Position Requirements'!$A$6:$R$285,8,FALSE),"")</x:f>
      </x:c>
      <x:c r="J203" s="94" t="str">
        <x:f>IFERROR(VLOOKUP(D203&amp;"|"&amp;E203&amp;"|"&amp;G203,'03 Position Requirements'!$A$6:$R$285,10,FALSE),"")</x:f>
      </x:c>
      <x:c r="K203" s="94" t="str">
        <x:f>IF(OR(B203="",G203=""),"",IF(COUNTIFS('04 Assessment Log'!$D$6:$D$155,B203,'04 Assessment Log'!$J$6:$J$155,G203,'04 Assessment Log'!$AA$6:$AA$155,"Yes")=0,"",SUMIFS('04 Assessment Log'!$O$6:$O$155,'04 Assessment Log'!$D$6:$D$155,B203,'04 Assessment Log'!$J$6:$J$155,G203,'04 Assessment Log'!$AA$6:$AA$155,"Yes")))</x:f>
      </x:c>
      <x:c r="L203" s="94" t="str">
        <x:f>IF(OR(J203="",K203=""),"",MAX(J203-K203,0))</x:f>
      </x:c>
      <x:c r="M203" s="102" t="str">
        <x:f>IF(COUNTIFS('04 Assessment Log'!$D$6:$D$155,B203,'04 Assessment Log'!$J$6:$J$155,G203,'04 Assessment Log'!$AA$6:$AA$155,"Yes")=0,"",SUMIFS('04 Assessment Log'!$B$6:$B$155,'04 Assessment Log'!$D$6:$D$155,B203,'04 Assessment Log'!$J$6:$J$155,G203,'04 Assessment Log'!$AA$6:$AA$155,"Yes"))</x:f>
      </x:c>
      <x:c r="N203" s="102" t="str">
        <x:f>IF(M203="","",SUMIFS('04 Assessment Log'!$Z$6:$Z$155,'04 Assessment Log'!$D$6:$D$155,B203,'04 Assessment Log'!$J$6:$J$155,G203,'04 Assessment Log'!$AA$6:$AA$155,"Yes"))</x:f>
      </x:c>
      <x:c r="O203" s="94" t="str">
        <x:f>IF(M203="","Not Assessed",IF(N203&lt;TODAY(),"Expired",IF(N203&lt;=TODAY()+30,"Due Soon","Current")))</x:f>
        <x:v>Not Assessed</x:v>
      </x:c>
      <x:c r="P203" s="94" t="str">
        <x:f>IF(OR(B203="",G203=""),"",COUNTIFS('05 Development Actions'!$C$6:$C$105,B203,'05 Development Actions'!$G$6:$G$105,G203,'05 Development Actions'!$A$6:$A$105,"&lt;&gt;",'05 Development Actions'!$AB$6:$AB$105,"&lt;&gt;Closed — Competent",'05 Development Actions'!$AB$6:$AB$105,"&lt;&gt;Cancelled"))</x:f>
      </x:c>
      <x:c r="Q203" s="94" t="str">
        <x:f>IF(OR(B203="",G203=""),"",COUNTIFS('11 Training Attendance'!$E$6:$E$155,B203,'11 Training Attendance'!$K$6:$K$155,"Attended",'11 Training Attendance'!$I$6:$I$155,G203))</x:f>
      </x:c>
      <x:c r="R203" s="102" t="str">
        <x:f>IF(Q203=0,"",MAXIFS('11 Training Attendance'!$D$6:$D$155,'11 Training Attendance'!$E$6:$E$155,B203,'11 Training Attendance'!$K$6:$K$155,"Attended",'11 Training Attendance'!$I$6:$I$155,G203))</x:f>
      </x:c>
      <x:c r="S203" s="94" t="str">
        <x:f>IF(OR(B203="",G203=""),"",COUNTIFS('13 Effectiveness Review'!$C$6:$C$155,B203,'13 Effectiveness Review'!$F$6:$F$155,G203,'13 Effectiveness Review'!$X$6:$X$155,"Closed — Effective"))</x:f>
      </x:c>
      <x:c r="T203" s="94" t="str">
        <x:f>IF(B203="","",IF(K203="","Not Assessed",IF(O203="Expired","Renewal Due",IF(L203=0,"Competent","Skill Gap"))))</x:f>
      </x:c>
      <x:c r="U203" s="94" t="str">
        <x:f>IFERROR(VLOOKUP(D203&amp;"|"&amp;E203&amp;"|"&amp;G203,'03 Position Requirements'!$A$6:$R$285,14,FALSE),"")</x:f>
      </x:c>
      <x:c r="V203" s="92"/>
      <x:c r="W203" s="85" t="str">
        <x:f>IF(B203="","",B203&amp;"|"&amp;COUNTIF($B$6:B203,B203))</x:f>
      </x:c>
      <x:c r="X203" s="85" t="str">
        <x:f>IF(B203="","",G203)</x:f>
      </x:c>
      <x:c r="Y203" s="85" t="str">
        <x:f>IF(B203="","",H203)</x:f>
      </x:c>
      <x:c r="Z203" s="85" t="str">
        <x:f>IF(B203="","",I203)</x:f>
      </x:c>
      <x:c r="AA203" s="85" t="str">
        <x:f>IF(B203="","",J203)</x:f>
      </x:c>
      <x:c r="AB203" s="85" t="str">
        <x:f>IF(B203="","",K203)</x:f>
      </x:c>
      <x:c r="AC203" s="85" t="str">
        <x:f>IF(B203="","",L203)</x:f>
      </x:c>
      <x:c r="AD203" s="85" t="str">
        <x:f>IF(B203="","",M203)</x:f>
      </x:c>
      <x:c r="AE203" s="85" t="str">
        <x:f>IF(B203="","",N203)</x:f>
      </x:c>
      <x:c r="AF203" s="85" t="str">
        <x:f>IF(B203="","",O203)</x:f>
      </x:c>
      <x:c r="AG203" s="85" t="str">
        <x:f>IF(B203="","",P203)</x:f>
      </x:c>
      <x:c r="AH203" s="85" t="str">
        <x:f>IF(B203="","",Q203)</x:f>
      </x:c>
      <x:c r="AI203" s="85" t="str">
        <x:f>IF(B203="","",R203)</x:f>
      </x:c>
      <x:c r="AJ203" s="85" t="str">
        <x:f>IF(B203="","",S203)</x:f>
      </x:c>
      <x:c r="AK203" s="85" t="str">
        <x:f>IF(B203="","",T203)</x:f>
      </x:c>
    </x:row>
    <x:row r="204">
      <x:c r="A204" s="94" t="str">
        <x:f>IF(OR(B204="",G204=""),"",B204&amp;"|"&amp;G204)</x:f>
      </x:c>
      <x:c r="B204" s="92"/>
      <x:c r="C204" s="94" t="str">
        <x:f>IFERROR(VLOOKUP(B204,'01 Staff Master'!$A$6:$M$105,2,FALSE),"")</x:f>
      </x:c>
      <x:c r="D204" s="94" t="str">
        <x:f>IFERROR(VLOOKUP(B204,'01 Staff Master'!$A$6:$M$105,3,FALSE),"")</x:f>
      </x:c>
      <x:c r="E204" s="94" t="str">
        <x:f>IFERROR(VLOOKUP(B204,'01 Staff Master'!$A$6:$M$105,5,FALSE),"")</x:f>
      </x:c>
      <x:c r="F204" s="94" t="str">
        <x:f>IFERROR(VLOOKUP(B204,'01 Staff Master'!$A$6:$M$105,4,FALSE),"")</x:f>
      </x:c>
      <x:c r="G204" s="92"/>
      <x:c r="H204" s="94" t="str">
        <x:f>IFERROR(VLOOKUP(G204,'02 Skill Catalogue'!$A$6:$K$95,4,FALSE),"")</x:f>
      </x:c>
      <x:c r="I204" s="94" t="str">
        <x:f>IFERROR(VLOOKUP(D204&amp;"|"&amp;E204&amp;"|"&amp;G204,'03 Position Requirements'!$A$6:$R$285,8,FALSE),"")</x:f>
      </x:c>
      <x:c r="J204" s="94" t="str">
        <x:f>IFERROR(VLOOKUP(D204&amp;"|"&amp;E204&amp;"|"&amp;G204,'03 Position Requirements'!$A$6:$R$285,10,FALSE),"")</x:f>
      </x:c>
      <x:c r="K204" s="94" t="str">
        <x:f>IF(OR(B204="",G204=""),"",IF(COUNTIFS('04 Assessment Log'!$D$6:$D$155,B204,'04 Assessment Log'!$J$6:$J$155,G204,'04 Assessment Log'!$AA$6:$AA$155,"Yes")=0,"",SUMIFS('04 Assessment Log'!$O$6:$O$155,'04 Assessment Log'!$D$6:$D$155,B204,'04 Assessment Log'!$J$6:$J$155,G204,'04 Assessment Log'!$AA$6:$AA$155,"Yes")))</x:f>
      </x:c>
      <x:c r="L204" s="94" t="str">
        <x:f>IF(OR(J204="",K204=""),"",MAX(J204-K204,0))</x:f>
      </x:c>
      <x:c r="M204" s="102" t="str">
        <x:f>IF(COUNTIFS('04 Assessment Log'!$D$6:$D$155,B204,'04 Assessment Log'!$J$6:$J$155,G204,'04 Assessment Log'!$AA$6:$AA$155,"Yes")=0,"",SUMIFS('04 Assessment Log'!$B$6:$B$155,'04 Assessment Log'!$D$6:$D$155,B204,'04 Assessment Log'!$J$6:$J$155,G204,'04 Assessment Log'!$AA$6:$AA$155,"Yes"))</x:f>
      </x:c>
      <x:c r="N204" s="102" t="str">
        <x:f>IF(M204="","",SUMIFS('04 Assessment Log'!$Z$6:$Z$155,'04 Assessment Log'!$D$6:$D$155,B204,'04 Assessment Log'!$J$6:$J$155,G204,'04 Assessment Log'!$AA$6:$AA$155,"Yes"))</x:f>
      </x:c>
      <x:c r="O204" s="94" t="str">
        <x:f>IF(M204="","Not Assessed",IF(N204&lt;TODAY(),"Expired",IF(N204&lt;=TODAY()+30,"Due Soon","Current")))</x:f>
        <x:v>Not Assessed</x:v>
      </x:c>
      <x:c r="P204" s="94" t="str">
        <x:f>IF(OR(B204="",G204=""),"",COUNTIFS('05 Development Actions'!$C$6:$C$105,B204,'05 Development Actions'!$G$6:$G$105,G204,'05 Development Actions'!$A$6:$A$105,"&lt;&gt;",'05 Development Actions'!$AB$6:$AB$105,"&lt;&gt;Closed — Competent",'05 Development Actions'!$AB$6:$AB$105,"&lt;&gt;Cancelled"))</x:f>
      </x:c>
      <x:c r="Q204" s="94" t="str">
        <x:f>IF(OR(B204="",G204=""),"",COUNTIFS('11 Training Attendance'!$E$6:$E$155,B204,'11 Training Attendance'!$K$6:$K$155,"Attended",'11 Training Attendance'!$I$6:$I$155,G204))</x:f>
      </x:c>
      <x:c r="R204" s="102" t="str">
        <x:f>IF(Q204=0,"",MAXIFS('11 Training Attendance'!$D$6:$D$155,'11 Training Attendance'!$E$6:$E$155,B204,'11 Training Attendance'!$K$6:$K$155,"Attended",'11 Training Attendance'!$I$6:$I$155,G204))</x:f>
      </x:c>
      <x:c r="S204" s="94" t="str">
        <x:f>IF(OR(B204="",G204=""),"",COUNTIFS('13 Effectiveness Review'!$C$6:$C$155,B204,'13 Effectiveness Review'!$F$6:$F$155,G204,'13 Effectiveness Review'!$X$6:$X$155,"Closed — Effective"))</x:f>
      </x:c>
      <x:c r="T204" s="94" t="str">
        <x:f>IF(B204="","",IF(K204="","Not Assessed",IF(O204="Expired","Renewal Due",IF(L204=0,"Competent","Skill Gap"))))</x:f>
      </x:c>
      <x:c r="U204" s="94" t="str">
        <x:f>IFERROR(VLOOKUP(D204&amp;"|"&amp;E204&amp;"|"&amp;G204,'03 Position Requirements'!$A$6:$R$285,14,FALSE),"")</x:f>
      </x:c>
      <x:c r="V204" s="92"/>
      <x:c r="W204" s="85" t="str">
        <x:f>IF(B204="","",B204&amp;"|"&amp;COUNTIF($B$6:B204,B204))</x:f>
      </x:c>
      <x:c r="X204" s="85" t="str">
        <x:f>IF(B204="","",G204)</x:f>
      </x:c>
      <x:c r="Y204" s="85" t="str">
        <x:f>IF(B204="","",H204)</x:f>
      </x:c>
      <x:c r="Z204" s="85" t="str">
        <x:f>IF(B204="","",I204)</x:f>
      </x:c>
      <x:c r="AA204" s="85" t="str">
        <x:f>IF(B204="","",J204)</x:f>
      </x:c>
      <x:c r="AB204" s="85" t="str">
        <x:f>IF(B204="","",K204)</x:f>
      </x:c>
      <x:c r="AC204" s="85" t="str">
        <x:f>IF(B204="","",L204)</x:f>
      </x:c>
      <x:c r="AD204" s="85" t="str">
        <x:f>IF(B204="","",M204)</x:f>
      </x:c>
      <x:c r="AE204" s="85" t="str">
        <x:f>IF(B204="","",N204)</x:f>
      </x:c>
      <x:c r="AF204" s="85" t="str">
        <x:f>IF(B204="","",O204)</x:f>
      </x:c>
      <x:c r="AG204" s="85" t="str">
        <x:f>IF(B204="","",P204)</x:f>
      </x:c>
      <x:c r="AH204" s="85" t="str">
        <x:f>IF(B204="","",Q204)</x:f>
      </x:c>
      <x:c r="AI204" s="85" t="str">
        <x:f>IF(B204="","",R204)</x:f>
      </x:c>
      <x:c r="AJ204" s="85" t="str">
        <x:f>IF(B204="","",S204)</x:f>
      </x:c>
      <x:c r="AK204" s="85" t="str">
        <x:f>IF(B204="","",T204)</x:f>
      </x:c>
    </x:row>
    <x:row r="205">
      <x:c r="A205" s="94" t="str">
        <x:f>IF(OR(B205="",G205=""),"",B205&amp;"|"&amp;G205)</x:f>
      </x:c>
      <x:c r="B205" s="92"/>
      <x:c r="C205" s="94" t="str">
        <x:f>IFERROR(VLOOKUP(B205,'01 Staff Master'!$A$6:$M$105,2,FALSE),"")</x:f>
      </x:c>
      <x:c r="D205" s="94" t="str">
        <x:f>IFERROR(VLOOKUP(B205,'01 Staff Master'!$A$6:$M$105,3,FALSE),"")</x:f>
      </x:c>
      <x:c r="E205" s="94" t="str">
        <x:f>IFERROR(VLOOKUP(B205,'01 Staff Master'!$A$6:$M$105,5,FALSE),"")</x:f>
      </x:c>
      <x:c r="F205" s="94" t="str">
        <x:f>IFERROR(VLOOKUP(B205,'01 Staff Master'!$A$6:$M$105,4,FALSE),"")</x:f>
      </x:c>
      <x:c r="G205" s="92"/>
      <x:c r="H205" s="94" t="str">
        <x:f>IFERROR(VLOOKUP(G205,'02 Skill Catalogue'!$A$6:$K$95,4,FALSE),"")</x:f>
      </x:c>
      <x:c r="I205" s="94" t="str">
        <x:f>IFERROR(VLOOKUP(D205&amp;"|"&amp;E205&amp;"|"&amp;G205,'03 Position Requirements'!$A$6:$R$285,8,FALSE),"")</x:f>
      </x:c>
      <x:c r="J205" s="94" t="str">
        <x:f>IFERROR(VLOOKUP(D205&amp;"|"&amp;E205&amp;"|"&amp;G205,'03 Position Requirements'!$A$6:$R$285,10,FALSE),"")</x:f>
      </x:c>
      <x:c r="K205" s="94" t="str">
        <x:f>IF(OR(B205="",G205=""),"",IF(COUNTIFS('04 Assessment Log'!$D$6:$D$155,B205,'04 Assessment Log'!$J$6:$J$155,G205,'04 Assessment Log'!$AA$6:$AA$155,"Yes")=0,"",SUMIFS('04 Assessment Log'!$O$6:$O$155,'04 Assessment Log'!$D$6:$D$155,B205,'04 Assessment Log'!$J$6:$J$155,G205,'04 Assessment Log'!$AA$6:$AA$155,"Yes")))</x:f>
      </x:c>
      <x:c r="L205" s="94" t="str">
        <x:f>IF(OR(J205="",K205=""),"",MAX(J205-K205,0))</x:f>
      </x:c>
      <x:c r="M205" s="102" t="str">
        <x:f>IF(COUNTIFS('04 Assessment Log'!$D$6:$D$155,B205,'04 Assessment Log'!$J$6:$J$155,G205,'04 Assessment Log'!$AA$6:$AA$155,"Yes")=0,"",SUMIFS('04 Assessment Log'!$B$6:$B$155,'04 Assessment Log'!$D$6:$D$155,B205,'04 Assessment Log'!$J$6:$J$155,G205,'04 Assessment Log'!$AA$6:$AA$155,"Yes"))</x:f>
      </x:c>
      <x:c r="N205" s="102" t="str">
        <x:f>IF(M205="","",SUMIFS('04 Assessment Log'!$Z$6:$Z$155,'04 Assessment Log'!$D$6:$D$155,B205,'04 Assessment Log'!$J$6:$J$155,G205,'04 Assessment Log'!$AA$6:$AA$155,"Yes"))</x:f>
      </x:c>
      <x:c r="O205" s="94" t="str">
        <x:f>IF(M205="","Not Assessed",IF(N205&lt;TODAY(),"Expired",IF(N205&lt;=TODAY()+30,"Due Soon","Current")))</x:f>
        <x:v>Not Assessed</x:v>
      </x:c>
      <x:c r="P205" s="94" t="str">
        <x:f>IF(OR(B205="",G205=""),"",COUNTIFS('05 Development Actions'!$C$6:$C$105,B205,'05 Development Actions'!$G$6:$G$105,G205,'05 Development Actions'!$A$6:$A$105,"&lt;&gt;",'05 Development Actions'!$AB$6:$AB$105,"&lt;&gt;Closed — Competent",'05 Development Actions'!$AB$6:$AB$105,"&lt;&gt;Cancelled"))</x:f>
      </x:c>
      <x:c r="Q205" s="94" t="str">
        <x:f>IF(OR(B205="",G205=""),"",COUNTIFS('11 Training Attendance'!$E$6:$E$155,B205,'11 Training Attendance'!$K$6:$K$155,"Attended",'11 Training Attendance'!$I$6:$I$155,G205))</x:f>
      </x:c>
      <x:c r="R205" s="102" t="str">
        <x:f>IF(Q205=0,"",MAXIFS('11 Training Attendance'!$D$6:$D$155,'11 Training Attendance'!$E$6:$E$155,B205,'11 Training Attendance'!$K$6:$K$155,"Attended",'11 Training Attendance'!$I$6:$I$155,G205))</x:f>
      </x:c>
      <x:c r="S205" s="94" t="str">
        <x:f>IF(OR(B205="",G205=""),"",COUNTIFS('13 Effectiveness Review'!$C$6:$C$155,B205,'13 Effectiveness Review'!$F$6:$F$155,G205,'13 Effectiveness Review'!$X$6:$X$155,"Closed — Effective"))</x:f>
      </x:c>
      <x:c r="T205" s="94" t="str">
        <x:f>IF(B205="","",IF(K205="","Not Assessed",IF(O205="Expired","Renewal Due",IF(L205=0,"Competent","Skill Gap"))))</x:f>
      </x:c>
      <x:c r="U205" s="94" t="str">
        <x:f>IFERROR(VLOOKUP(D205&amp;"|"&amp;E205&amp;"|"&amp;G205,'03 Position Requirements'!$A$6:$R$285,14,FALSE),"")</x:f>
      </x:c>
      <x:c r="V205" s="92"/>
      <x:c r="W205" s="85" t="str">
        <x:f>IF(B205="","",B205&amp;"|"&amp;COUNTIF($B$6:B205,B205))</x:f>
      </x:c>
      <x:c r="X205" s="85" t="str">
        <x:f>IF(B205="","",G205)</x:f>
      </x:c>
      <x:c r="Y205" s="85" t="str">
        <x:f>IF(B205="","",H205)</x:f>
      </x:c>
      <x:c r="Z205" s="85" t="str">
        <x:f>IF(B205="","",I205)</x:f>
      </x:c>
      <x:c r="AA205" s="85" t="str">
        <x:f>IF(B205="","",J205)</x:f>
      </x:c>
      <x:c r="AB205" s="85" t="str">
        <x:f>IF(B205="","",K205)</x:f>
      </x:c>
      <x:c r="AC205" s="85" t="str">
        <x:f>IF(B205="","",L205)</x:f>
      </x:c>
      <x:c r="AD205" s="85" t="str">
        <x:f>IF(B205="","",M205)</x:f>
      </x:c>
      <x:c r="AE205" s="85" t="str">
        <x:f>IF(B205="","",N205)</x:f>
      </x:c>
      <x:c r="AF205" s="85" t="str">
        <x:f>IF(B205="","",O205)</x:f>
      </x:c>
      <x:c r="AG205" s="85" t="str">
        <x:f>IF(B205="","",P205)</x:f>
      </x:c>
      <x:c r="AH205" s="85" t="str">
        <x:f>IF(B205="","",Q205)</x:f>
      </x:c>
      <x:c r="AI205" s="85" t="str">
        <x:f>IF(B205="","",R205)</x:f>
      </x:c>
      <x:c r="AJ205" s="85" t="str">
        <x:f>IF(B205="","",S205)</x:f>
      </x:c>
      <x:c r="AK205" s="85" t="str">
        <x:f>IF(B205="","",T205)</x:f>
      </x:c>
    </x:row>
  </x:sheetData>
  <x:mergeCells>
    <x:mergeCell ref="A1:V1"/>
    <x:mergeCell ref="A2:V2"/>
    <x:mergeCell ref="A4:V4"/>
  </x:mergeCells>
  <x:conditionalFormatting sqref="L6:L205">
    <x:cfRule type="cellIs" dxfId="24" priority="1" operator="greaterThan">
      <x:formula>0</x:formula>
    </x:cfRule>
  </x:conditionalFormatting>
  <x:conditionalFormatting sqref="T6:T205">
    <x:cfRule type="cellIs" dxfId="25" priority="2">
      <x:formula>"Competent"</x:formula>
    </x:cfRule>
    <x:cfRule type="cellIs" dxfId="26" priority="3">
      <x:formula>"Skill Gap"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396df0325084f9c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6" hidden="0" customWidth="1"/>
    <x:col min="3" max="3" width="14" hidden="0" customWidth="1"/>
    <x:col min="4" max="4" width="16" hidden="0" customWidth="1"/>
    <x:col min="5" max="5" width="14" hidden="0" customWidth="1"/>
    <x:col min="6" max="6" width="10" hidden="0" customWidth="1"/>
    <x:col min="7" max="7" width="17" hidden="0" customWidth="1"/>
    <x:col min="8" max="8" width="16" hidden="0" customWidth="1"/>
    <x:col min="9" max="9" width="18" hidden="0" customWidth="1"/>
    <x:col min="10" max="10" width="16" hidden="0" customWidth="1"/>
    <x:col min="11" max="11" width="18" hidden="0" customWidth="1"/>
    <x:col min="12" max="12" width="28" hidden="0" customWidth="1"/>
    <x:col min="13" max="13" width="16" hidden="0" customWidth="1"/>
    <x:col min="14" max="14" width="18" hidden="0" customWidth="1"/>
  </x:cols>
  <x:sheetData>
    <x:row r="1" ht="30" customHeight="1">
      <x:c r="A1" s="70" t="str">
        <x:v>SBTG Individual Staff Skill &amp; Training Passport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0"/>
      <x:c r="L1" s="70"/>
      <x:c r="M1" s="70"/>
      <x:c r="N1" s="70"/>
    </x:row>
    <x:row r="2" ht="36" customHeight="1">
      <x:c r="A2" s="74" t="str">
        <x:v>Select one Staff ID in B4. The individual skill matrix and training history below populate from the official registers; use this page for review, appraisal, succession and development discussions.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</x:row>
    <x:row r="4">
      <x:c r="A4" s="111" t="str">
        <x:v>Staff ID</x:v>
      </x:c>
      <x:c r="B4" s="108"/>
      <x:c r="C4" s="14"/>
      <x:c r="D4" s="111" t="str">
        <x:v>Staff Name</x:v>
      </x:c>
      <x:c r="E4" s="112" t="str">
        <x:f>IFERROR(VLOOKUP($B$4,'01 Staff Master'!$A$6:$M$105,2,FALSE),"")</x:f>
      </x:c>
      <x:c r="F4" s="14"/>
      <x:c r="G4" s="111" t="str">
        <x:v>Department</x:v>
      </x:c>
      <x:c r="H4" s="112" t="str">
        <x:f>IFERROR(VLOOKUP($B$4,'01 Staff Master'!$A$6:$M$105,3,FALSE),"")</x:f>
      </x:c>
      <x:c r="I4" s="14"/>
      <x:c r="J4" s="111" t="str">
        <x:v>Position</x:v>
      </x:c>
      <x:c r="K4" s="112" t="str">
        <x:f>IFERROR(VLOOKUP($B$4,'01 Staff Master'!$A$6:$M$105,5,FALSE),"")</x:f>
      </x:c>
      <x:c r="L4" s="14"/>
      <x:c r="M4" s="111" t="str">
        <x:v>Tier</x:v>
      </x:c>
      <x:c r="N4" s="112" t="str">
        <x:f>IFERROR(VLOOKUP($B$4,'01 Staff Master'!$A$6:$M$105,4,FALSE),"")</x:f>
      </x:c>
    </x:row>
    <x:row r="5">
      <x:c r="A5" s="111" t="str">
        <x:v>Manager</x:v>
      </x:c>
      <x:c r="B5" s="112" t="str">
        <x:f>IFERROR(VLOOKUP($B$4,'01 Staff Master'!$A$6:$M$105,6,FALSE),"")</x:f>
      </x:c>
      <x:c r="C5" s="14"/>
      <x:c r="D5" s="111" t="str">
        <x:v>Hire Date</x:v>
      </x:c>
      <x:c r="E5" s="113" t="str">
        <x:f>IFERROR(VLOOKUP($B$4,'01 Staff Master'!$A$6:$M$105,8,FALSE),"")</x:f>
      </x:c>
      <x:c r="F5" s="14"/>
      <x:c r="G5" s="111" t="str">
        <x:v>Active</x:v>
      </x:c>
      <x:c r="H5" s="112" t="str">
        <x:f>IFERROR(VLOOKUP($B$4,'01 Staff Master'!$A$6:$M$105,11,FALSE),"")</x:f>
      </x:c>
      <x:c r="I5" s="14"/>
      <x:c r="J5" s="111" t="str">
        <x:v>Skill Records</x:v>
      </x:c>
      <x:c r="K5" s="112" t="str">
        <x:f>IF($B$4="","",COUNTIFS('14 Employee Skill Register'!$B$6:$B$205,$B$4,'14 Employee Skill Register'!$A$6:$A$205,"&lt;&gt;"))</x:f>
      </x:c>
      <x:c r="L5" s="14"/>
      <x:c r="M5" s="111" t="str">
        <x:v>Training Events</x:v>
      </x:c>
      <x:c r="N5" s="112" t="str">
        <x:f>IF($B$4="","",COUNTIFS('11 Training Attendance'!$E$6:$E$155,$B$4,'11 Training Attendance'!$K$6:$K$155,"Attended"))</x:f>
      </x:c>
    </x:row>
    <x:row r="7">
      <x:c r="A7" s="114" t="str">
        <x:v>Skill Coverage</x:v>
      </x:c>
      <x:c r="B7" s="118" t="n">
        <x:f>IFERROR(COUNTIFS('14 Employee Skill Register'!$B$6:$B$205,$B$4,'14 Employee Skill Register'!$T$6:$T$205,"Competent")/COUNTIFS('14 Employee Skill Register'!$B$6:$B$205,$B$4,'14 Employee Skill Register'!$A$6:$A$205,"&lt;&gt;"),0)</x:f>
        <x:v>0</x:v>
      </x:c>
      <x:c r="D7" s="114" t="str">
        <x:v>Open Skill Gaps</x:v>
      </x:c>
      <x:c r="E7" s="117" t="str">
        <x:f>IF($B$4="","",COUNTIFS('14 Employee Skill Register'!$B$6:$B$205,$B$4,'14 Employee Skill Register'!$T$6:$T$205,"Skill Gap"))</x:f>
      </x:c>
      <x:c r="G7" s="114" t="str">
        <x:v>Open Development Actions</x:v>
      </x:c>
      <x:c r="H7" s="117" t="str">
        <x:f>IF($B$4="","",SUMIFS('14 Employee Skill Register'!$P$6:$P$205,'14 Employee Skill Register'!$B$6:$B$205,$B$4))</x:f>
      </x:c>
      <x:c r="J7" s="114" t="str">
        <x:v>Training Hours</x:v>
      </x:c>
      <x:c r="K7" s="117" t="str">
        <x:f>IF($B$4="","",SUMIFS('11 Training Attendance'!$L$6:$L$155,'11 Training Attendance'!$E$6:$E$155,$B$4,'11 Training Attendance'!$K$6:$K$155,"Attended"))</x:f>
      </x:c>
      <x:c r="M7" s="114" t="str">
        <x:v>Effective Reviews</x:v>
      </x:c>
      <x:c r="N7" s="117" t="str">
        <x:f>IF($B$4="","",COUNTIFS('13 Effectiveness Review'!$C$6:$C$155,$B$4,'13 Effectiveness Review'!$X$6:$X$155,"Closed — Effective"))</x:f>
      </x:c>
    </x:row>
    <x:row r="9" ht="24" customHeight="1">
      <x:c r="A9" s="77" t="str">
        <x:v>CURRENT INDIVIDUAL SKILL MATRIX</x:v>
      </x:c>
      <x:c r="B9" s="77"/>
      <x:c r="C9" s="77"/>
      <x:c r="D9" s="77"/>
      <x:c r="E9" s="77"/>
      <x:c r="F9" s="77"/>
      <x:c r="G9" s="77"/>
      <x:c r="H9" s="77"/>
      <x:c r="I9" s="77"/>
      <x:c r="J9" s="77"/>
      <x:c r="K9" s="77"/>
      <x:c r="L9" s="77"/>
      <x:c r="M9" s="77"/>
      <x:c r="N9" s="77"/>
    </x:row>
    <x:row r="10" ht="38" customHeight="1">
      <x:c r="A10" s="83" t="str">
        <x:v>Skill ID</x:v>
      </x:c>
      <x:c r="B10" s="83" t="str">
        <x:v>Skill Name</x:v>
      </x:c>
      <x:c r="C10" s="83" t="str">
        <x:v>Criticality</x:v>
      </x:c>
      <x:c r="D10" s="83" t="str">
        <x:v>Required</x:v>
      </x:c>
      <x:c r="E10" s="83" t="str">
        <x:v>Current</x:v>
      </x:c>
      <x:c r="F10" s="83" t="str">
        <x:v>Gap</x:v>
      </x:c>
      <x:c r="G10" s="83" t="str">
        <x:v>Latest Assessment</x:v>
      </x:c>
      <x:c r="H10" s="83" t="str">
        <x:v>Next Due</x:v>
      </x:c>
      <x:c r="I10" s="83" t="str">
        <x:v>Assessment Status</x:v>
      </x:c>
      <x:c r="J10" s="83" t="str">
        <x:v>Open Actions</x:v>
      </x:c>
      <x:c r="K10" s="83" t="str">
        <x:v>Training Events</x:v>
      </x:c>
      <x:c r="L10" s="83" t="str">
        <x:v>Last Training</x:v>
      </x:c>
      <x:c r="M10" s="83" t="str">
        <x:v>Effective Reviews</x:v>
      </x:c>
      <x:c r="N10" s="83" t="str">
        <x:v>Competency Status</x:v>
      </x:c>
    </x:row>
    <x:row r="11">
      <x:c r="A11" s="112" t="str">
        <x:f>IF($B$4="","",IFERROR(VLOOKUP($B$4&amp;"|"&amp;1,'14 Employee Skill Register'!$W$6:$AK$205,2,FALSE),""))</x:f>
      </x:c>
      <x:c r="B11" s="112" t="str">
        <x:f>IF($B$4="","",IFERROR(VLOOKUP($B$4&amp;"|"&amp;1,'14 Employee Skill Register'!$W$6:$AK$205,3,FALSE),""))</x:f>
      </x:c>
      <x:c r="C11" s="112" t="str">
        <x:f>IF($B$4="","",IFERROR(VLOOKUP($B$4&amp;"|"&amp;1,'14 Employee Skill Register'!$W$6:$AK$205,4,FALSE),""))</x:f>
      </x:c>
      <x:c r="D11" s="112" t="str">
        <x:f>IF($B$4="","",IFERROR(VLOOKUP($B$4&amp;"|"&amp;1,'14 Employee Skill Register'!$W$6:$AK$205,5,FALSE),""))</x:f>
      </x:c>
      <x:c r="E11" s="112" t="str">
        <x:f>IF($B$4="","",IFERROR(VLOOKUP($B$4&amp;"|"&amp;1,'14 Employee Skill Register'!$W$6:$AK$205,6,FALSE),""))</x:f>
      </x:c>
      <x:c r="F11" s="112" t="str">
        <x:f>IF($B$4="","",IFERROR(VLOOKUP($B$4&amp;"|"&amp;1,'14 Employee Skill Register'!$W$6:$AK$205,7,FALSE),""))</x:f>
      </x:c>
      <x:c r="G11" s="113" t="str">
        <x:f>IF($B$4="","",IFERROR(VLOOKUP($B$4&amp;"|"&amp;1,'14 Employee Skill Register'!$W$6:$AK$205,8,FALSE),""))</x:f>
      </x:c>
      <x:c r="H11" s="113" t="str">
        <x:f>IF($B$4="","",IFERROR(VLOOKUP($B$4&amp;"|"&amp;1,'14 Employee Skill Register'!$W$6:$AK$205,9,FALSE),""))</x:f>
      </x:c>
      <x:c r="I11" s="112" t="str">
        <x:f>IF($B$4="","",IFERROR(VLOOKUP($B$4&amp;"|"&amp;1,'14 Employee Skill Register'!$W$6:$AK$205,10,FALSE),""))</x:f>
      </x:c>
      <x:c r="J11" s="112" t="str">
        <x:f>IF($B$4="","",IFERROR(VLOOKUP($B$4&amp;"|"&amp;1,'14 Employee Skill Register'!$W$6:$AK$205,11,FALSE),""))</x:f>
      </x:c>
      <x:c r="K11" s="112" t="str">
        <x:f>IF($B$4="","",IFERROR(VLOOKUP($B$4&amp;"|"&amp;1,'14 Employee Skill Register'!$W$6:$AK$205,12,FALSE),""))</x:f>
      </x:c>
      <x:c r="L11" s="113" t="str">
        <x:f>IF($B$4="","",IFERROR(VLOOKUP($B$4&amp;"|"&amp;1,'14 Employee Skill Register'!$W$6:$AK$205,13,FALSE),""))</x:f>
      </x:c>
      <x:c r="M11" s="112" t="str">
        <x:f>IF($B$4="","",IFERROR(VLOOKUP($B$4&amp;"|"&amp;1,'14 Employee Skill Register'!$W$6:$AK$205,14,FALSE),""))</x:f>
      </x:c>
      <x:c r="N11" s="112" t="str">
        <x:f>IF($B$4="","",IFERROR(VLOOKUP($B$4&amp;"|"&amp;1,'14 Employee Skill Register'!$W$6:$AK$205,15,FALSE),""))</x:f>
      </x:c>
    </x:row>
    <x:row r="12">
      <x:c r="A12" s="112" t="str">
        <x:f>IF($B$4="","",IFERROR(VLOOKUP($B$4&amp;"|"&amp;2,'14 Employee Skill Register'!$W$6:$AK$205,2,FALSE),""))</x:f>
      </x:c>
      <x:c r="B12" s="112" t="str">
        <x:f>IF($B$4="","",IFERROR(VLOOKUP($B$4&amp;"|"&amp;2,'14 Employee Skill Register'!$W$6:$AK$205,3,FALSE),""))</x:f>
      </x:c>
      <x:c r="C12" s="112" t="str">
        <x:f>IF($B$4="","",IFERROR(VLOOKUP($B$4&amp;"|"&amp;2,'14 Employee Skill Register'!$W$6:$AK$205,4,FALSE),""))</x:f>
      </x:c>
      <x:c r="D12" s="112" t="str">
        <x:f>IF($B$4="","",IFERROR(VLOOKUP($B$4&amp;"|"&amp;2,'14 Employee Skill Register'!$W$6:$AK$205,5,FALSE),""))</x:f>
      </x:c>
      <x:c r="E12" s="112" t="str">
        <x:f>IF($B$4="","",IFERROR(VLOOKUP($B$4&amp;"|"&amp;2,'14 Employee Skill Register'!$W$6:$AK$205,6,FALSE),""))</x:f>
      </x:c>
      <x:c r="F12" s="112" t="str">
        <x:f>IF($B$4="","",IFERROR(VLOOKUP($B$4&amp;"|"&amp;2,'14 Employee Skill Register'!$W$6:$AK$205,7,FALSE),""))</x:f>
      </x:c>
      <x:c r="G12" s="113" t="str">
        <x:f>IF($B$4="","",IFERROR(VLOOKUP($B$4&amp;"|"&amp;2,'14 Employee Skill Register'!$W$6:$AK$205,8,FALSE),""))</x:f>
      </x:c>
      <x:c r="H12" s="113" t="str">
        <x:f>IF($B$4="","",IFERROR(VLOOKUP($B$4&amp;"|"&amp;2,'14 Employee Skill Register'!$W$6:$AK$205,9,FALSE),""))</x:f>
      </x:c>
      <x:c r="I12" s="112" t="str">
        <x:f>IF($B$4="","",IFERROR(VLOOKUP($B$4&amp;"|"&amp;2,'14 Employee Skill Register'!$W$6:$AK$205,10,FALSE),""))</x:f>
      </x:c>
      <x:c r="J12" s="112" t="str">
        <x:f>IF($B$4="","",IFERROR(VLOOKUP($B$4&amp;"|"&amp;2,'14 Employee Skill Register'!$W$6:$AK$205,11,FALSE),""))</x:f>
      </x:c>
      <x:c r="K12" s="112" t="str">
        <x:f>IF($B$4="","",IFERROR(VLOOKUP($B$4&amp;"|"&amp;2,'14 Employee Skill Register'!$W$6:$AK$205,12,FALSE),""))</x:f>
      </x:c>
      <x:c r="L12" s="113" t="str">
        <x:f>IF($B$4="","",IFERROR(VLOOKUP($B$4&amp;"|"&amp;2,'14 Employee Skill Register'!$W$6:$AK$205,13,FALSE),""))</x:f>
      </x:c>
      <x:c r="M12" s="112" t="str">
        <x:f>IF($B$4="","",IFERROR(VLOOKUP($B$4&amp;"|"&amp;2,'14 Employee Skill Register'!$W$6:$AK$205,14,FALSE),""))</x:f>
      </x:c>
      <x:c r="N12" s="112" t="str">
        <x:f>IF($B$4="","",IFERROR(VLOOKUP($B$4&amp;"|"&amp;2,'14 Employee Skill Register'!$W$6:$AK$205,15,FALSE),""))</x:f>
      </x:c>
    </x:row>
    <x:row r="13">
      <x:c r="A13" s="112" t="str">
        <x:f>IF($B$4="","",IFERROR(VLOOKUP($B$4&amp;"|"&amp;3,'14 Employee Skill Register'!$W$6:$AK$205,2,FALSE),""))</x:f>
      </x:c>
      <x:c r="B13" s="112" t="str">
        <x:f>IF($B$4="","",IFERROR(VLOOKUP($B$4&amp;"|"&amp;3,'14 Employee Skill Register'!$W$6:$AK$205,3,FALSE),""))</x:f>
      </x:c>
      <x:c r="C13" s="112" t="str">
        <x:f>IF($B$4="","",IFERROR(VLOOKUP($B$4&amp;"|"&amp;3,'14 Employee Skill Register'!$W$6:$AK$205,4,FALSE),""))</x:f>
      </x:c>
      <x:c r="D13" s="112" t="str">
        <x:f>IF($B$4="","",IFERROR(VLOOKUP($B$4&amp;"|"&amp;3,'14 Employee Skill Register'!$W$6:$AK$205,5,FALSE),""))</x:f>
      </x:c>
      <x:c r="E13" s="112" t="str">
        <x:f>IF($B$4="","",IFERROR(VLOOKUP($B$4&amp;"|"&amp;3,'14 Employee Skill Register'!$W$6:$AK$205,6,FALSE),""))</x:f>
      </x:c>
      <x:c r="F13" s="112" t="str">
        <x:f>IF($B$4="","",IFERROR(VLOOKUP($B$4&amp;"|"&amp;3,'14 Employee Skill Register'!$W$6:$AK$205,7,FALSE),""))</x:f>
      </x:c>
      <x:c r="G13" s="113" t="str">
        <x:f>IF($B$4="","",IFERROR(VLOOKUP($B$4&amp;"|"&amp;3,'14 Employee Skill Register'!$W$6:$AK$205,8,FALSE),""))</x:f>
      </x:c>
      <x:c r="H13" s="113" t="str">
        <x:f>IF($B$4="","",IFERROR(VLOOKUP($B$4&amp;"|"&amp;3,'14 Employee Skill Register'!$W$6:$AK$205,9,FALSE),""))</x:f>
      </x:c>
      <x:c r="I13" s="112" t="str">
        <x:f>IF($B$4="","",IFERROR(VLOOKUP($B$4&amp;"|"&amp;3,'14 Employee Skill Register'!$W$6:$AK$205,10,FALSE),""))</x:f>
      </x:c>
      <x:c r="J13" s="112" t="str">
        <x:f>IF($B$4="","",IFERROR(VLOOKUP($B$4&amp;"|"&amp;3,'14 Employee Skill Register'!$W$6:$AK$205,11,FALSE),""))</x:f>
      </x:c>
      <x:c r="K13" s="112" t="str">
        <x:f>IF($B$4="","",IFERROR(VLOOKUP($B$4&amp;"|"&amp;3,'14 Employee Skill Register'!$W$6:$AK$205,12,FALSE),""))</x:f>
      </x:c>
      <x:c r="L13" s="113" t="str">
        <x:f>IF($B$4="","",IFERROR(VLOOKUP($B$4&amp;"|"&amp;3,'14 Employee Skill Register'!$W$6:$AK$205,13,FALSE),""))</x:f>
      </x:c>
      <x:c r="M13" s="112" t="str">
        <x:f>IF($B$4="","",IFERROR(VLOOKUP($B$4&amp;"|"&amp;3,'14 Employee Skill Register'!$W$6:$AK$205,14,FALSE),""))</x:f>
      </x:c>
      <x:c r="N13" s="112" t="str">
        <x:f>IF($B$4="","",IFERROR(VLOOKUP($B$4&amp;"|"&amp;3,'14 Employee Skill Register'!$W$6:$AK$205,15,FALSE),""))</x:f>
      </x:c>
    </x:row>
    <x:row r="14">
      <x:c r="A14" s="112" t="str">
        <x:f>IF($B$4="","",IFERROR(VLOOKUP($B$4&amp;"|"&amp;4,'14 Employee Skill Register'!$W$6:$AK$205,2,FALSE),""))</x:f>
      </x:c>
      <x:c r="B14" s="112" t="str">
        <x:f>IF($B$4="","",IFERROR(VLOOKUP($B$4&amp;"|"&amp;4,'14 Employee Skill Register'!$W$6:$AK$205,3,FALSE),""))</x:f>
      </x:c>
      <x:c r="C14" s="112" t="str">
        <x:f>IF($B$4="","",IFERROR(VLOOKUP($B$4&amp;"|"&amp;4,'14 Employee Skill Register'!$W$6:$AK$205,4,FALSE),""))</x:f>
      </x:c>
      <x:c r="D14" s="112" t="str">
        <x:f>IF($B$4="","",IFERROR(VLOOKUP($B$4&amp;"|"&amp;4,'14 Employee Skill Register'!$W$6:$AK$205,5,FALSE),""))</x:f>
      </x:c>
      <x:c r="E14" s="112" t="str">
        <x:f>IF($B$4="","",IFERROR(VLOOKUP($B$4&amp;"|"&amp;4,'14 Employee Skill Register'!$W$6:$AK$205,6,FALSE),""))</x:f>
      </x:c>
      <x:c r="F14" s="112" t="str">
        <x:f>IF($B$4="","",IFERROR(VLOOKUP($B$4&amp;"|"&amp;4,'14 Employee Skill Register'!$W$6:$AK$205,7,FALSE),""))</x:f>
      </x:c>
      <x:c r="G14" s="113" t="str">
        <x:f>IF($B$4="","",IFERROR(VLOOKUP($B$4&amp;"|"&amp;4,'14 Employee Skill Register'!$W$6:$AK$205,8,FALSE),""))</x:f>
      </x:c>
      <x:c r="H14" s="113" t="str">
        <x:f>IF($B$4="","",IFERROR(VLOOKUP($B$4&amp;"|"&amp;4,'14 Employee Skill Register'!$W$6:$AK$205,9,FALSE),""))</x:f>
      </x:c>
      <x:c r="I14" s="112" t="str">
        <x:f>IF($B$4="","",IFERROR(VLOOKUP($B$4&amp;"|"&amp;4,'14 Employee Skill Register'!$W$6:$AK$205,10,FALSE),""))</x:f>
      </x:c>
      <x:c r="J14" s="112" t="str">
        <x:f>IF($B$4="","",IFERROR(VLOOKUP($B$4&amp;"|"&amp;4,'14 Employee Skill Register'!$W$6:$AK$205,11,FALSE),""))</x:f>
      </x:c>
      <x:c r="K14" s="112" t="str">
        <x:f>IF($B$4="","",IFERROR(VLOOKUP($B$4&amp;"|"&amp;4,'14 Employee Skill Register'!$W$6:$AK$205,12,FALSE),""))</x:f>
      </x:c>
      <x:c r="L14" s="113" t="str">
        <x:f>IF($B$4="","",IFERROR(VLOOKUP($B$4&amp;"|"&amp;4,'14 Employee Skill Register'!$W$6:$AK$205,13,FALSE),""))</x:f>
      </x:c>
      <x:c r="M14" s="112" t="str">
        <x:f>IF($B$4="","",IFERROR(VLOOKUP($B$4&amp;"|"&amp;4,'14 Employee Skill Register'!$W$6:$AK$205,14,FALSE),""))</x:f>
      </x:c>
      <x:c r="N14" s="112" t="str">
        <x:f>IF($B$4="","",IFERROR(VLOOKUP($B$4&amp;"|"&amp;4,'14 Employee Skill Register'!$W$6:$AK$205,15,FALSE),""))</x:f>
      </x:c>
    </x:row>
    <x:row r="15">
      <x:c r="A15" s="112" t="str">
        <x:f>IF($B$4="","",IFERROR(VLOOKUP($B$4&amp;"|"&amp;5,'14 Employee Skill Register'!$W$6:$AK$205,2,FALSE),""))</x:f>
      </x:c>
      <x:c r="B15" s="112" t="str">
        <x:f>IF($B$4="","",IFERROR(VLOOKUP($B$4&amp;"|"&amp;5,'14 Employee Skill Register'!$W$6:$AK$205,3,FALSE),""))</x:f>
      </x:c>
      <x:c r="C15" s="112" t="str">
        <x:f>IF($B$4="","",IFERROR(VLOOKUP($B$4&amp;"|"&amp;5,'14 Employee Skill Register'!$W$6:$AK$205,4,FALSE),""))</x:f>
      </x:c>
      <x:c r="D15" s="112" t="str">
        <x:f>IF($B$4="","",IFERROR(VLOOKUP($B$4&amp;"|"&amp;5,'14 Employee Skill Register'!$W$6:$AK$205,5,FALSE),""))</x:f>
      </x:c>
      <x:c r="E15" s="112" t="str">
        <x:f>IF($B$4="","",IFERROR(VLOOKUP($B$4&amp;"|"&amp;5,'14 Employee Skill Register'!$W$6:$AK$205,6,FALSE),""))</x:f>
      </x:c>
      <x:c r="F15" s="112" t="str">
        <x:f>IF($B$4="","",IFERROR(VLOOKUP($B$4&amp;"|"&amp;5,'14 Employee Skill Register'!$W$6:$AK$205,7,FALSE),""))</x:f>
      </x:c>
      <x:c r="G15" s="113" t="str">
        <x:f>IF($B$4="","",IFERROR(VLOOKUP($B$4&amp;"|"&amp;5,'14 Employee Skill Register'!$W$6:$AK$205,8,FALSE),""))</x:f>
      </x:c>
      <x:c r="H15" s="113" t="str">
        <x:f>IF($B$4="","",IFERROR(VLOOKUP($B$4&amp;"|"&amp;5,'14 Employee Skill Register'!$W$6:$AK$205,9,FALSE),""))</x:f>
      </x:c>
      <x:c r="I15" s="112" t="str">
        <x:f>IF($B$4="","",IFERROR(VLOOKUP($B$4&amp;"|"&amp;5,'14 Employee Skill Register'!$W$6:$AK$205,10,FALSE),""))</x:f>
      </x:c>
      <x:c r="J15" s="112" t="str">
        <x:f>IF($B$4="","",IFERROR(VLOOKUP($B$4&amp;"|"&amp;5,'14 Employee Skill Register'!$W$6:$AK$205,11,FALSE),""))</x:f>
      </x:c>
      <x:c r="K15" s="112" t="str">
        <x:f>IF($B$4="","",IFERROR(VLOOKUP($B$4&amp;"|"&amp;5,'14 Employee Skill Register'!$W$6:$AK$205,12,FALSE),""))</x:f>
      </x:c>
      <x:c r="L15" s="113" t="str">
        <x:f>IF($B$4="","",IFERROR(VLOOKUP($B$4&amp;"|"&amp;5,'14 Employee Skill Register'!$W$6:$AK$205,13,FALSE),""))</x:f>
      </x:c>
      <x:c r="M15" s="112" t="str">
        <x:f>IF($B$4="","",IFERROR(VLOOKUP($B$4&amp;"|"&amp;5,'14 Employee Skill Register'!$W$6:$AK$205,14,FALSE),""))</x:f>
      </x:c>
      <x:c r="N15" s="112" t="str">
        <x:f>IF($B$4="","",IFERROR(VLOOKUP($B$4&amp;"|"&amp;5,'14 Employee Skill Register'!$W$6:$AK$205,15,FALSE),""))</x:f>
      </x:c>
    </x:row>
    <x:row r="16">
      <x:c r="A16" s="112" t="str">
        <x:f>IF($B$4="","",IFERROR(VLOOKUP($B$4&amp;"|"&amp;6,'14 Employee Skill Register'!$W$6:$AK$205,2,FALSE),""))</x:f>
      </x:c>
      <x:c r="B16" s="112" t="str">
        <x:f>IF($B$4="","",IFERROR(VLOOKUP($B$4&amp;"|"&amp;6,'14 Employee Skill Register'!$W$6:$AK$205,3,FALSE),""))</x:f>
      </x:c>
      <x:c r="C16" s="112" t="str">
        <x:f>IF($B$4="","",IFERROR(VLOOKUP($B$4&amp;"|"&amp;6,'14 Employee Skill Register'!$W$6:$AK$205,4,FALSE),""))</x:f>
      </x:c>
      <x:c r="D16" s="112" t="str">
        <x:f>IF($B$4="","",IFERROR(VLOOKUP($B$4&amp;"|"&amp;6,'14 Employee Skill Register'!$W$6:$AK$205,5,FALSE),""))</x:f>
      </x:c>
      <x:c r="E16" s="112" t="str">
        <x:f>IF($B$4="","",IFERROR(VLOOKUP($B$4&amp;"|"&amp;6,'14 Employee Skill Register'!$W$6:$AK$205,6,FALSE),""))</x:f>
      </x:c>
      <x:c r="F16" s="112" t="str">
        <x:f>IF($B$4="","",IFERROR(VLOOKUP($B$4&amp;"|"&amp;6,'14 Employee Skill Register'!$W$6:$AK$205,7,FALSE),""))</x:f>
      </x:c>
      <x:c r="G16" s="113" t="str">
        <x:f>IF($B$4="","",IFERROR(VLOOKUP($B$4&amp;"|"&amp;6,'14 Employee Skill Register'!$W$6:$AK$205,8,FALSE),""))</x:f>
      </x:c>
      <x:c r="H16" s="113" t="str">
        <x:f>IF($B$4="","",IFERROR(VLOOKUP($B$4&amp;"|"&amp;6,'14 Employee Skill Register'!$W$6:$AK$205,9,FALSE),""))</x:f>
      </x:c>
      <x:c r="I16" s="112" t="str">
        <x:f>IF($B$4="","",IFERROR(VLOOKUP($B$4&amp;"|"&amp;6,'14 Employee Skill Register'!$W$6:$AK$205,10,FALSE),""))</x:f>
      </x:c>
      <x:c r="J16" s="112" t="str">
        <x:f>IF($B$4="","",IFERROR(VLOOKUP($B$4&amp;"|"&amp;6,'14 Employee Skill Register'!$W$6:$AK$205,11,FALSE),""))</x:f>
      </x:c>
      <x:c r="K16" s="112" t="str">
        <x:f>IF($B$4="","",IFERROR(VLOOKUP($B$4&amp;"|"&amp;6,'14 Employee Skill Register'!$W$6:$AK$205,12,FALSE),""))</x:f>
      </x:c>
      <x:c r="L16" s="113" t="str">
        <x:f>IF($B$4="","",IFERROR(VLOOKUP($B$4&amp;"|"&amp;6,'14 Employee Skill Register'!$W$6:$AK$205,13,FALSE),""))</x:f>
      </x:c>
      <x:c r="M16" s="112" t="str">
        <x:f>IF($B$4="","",IFERROR(VLOOKUP($B$4&amp;"|"&amp;6,'14 Employee Skill Register'!$W$6:$AK$205,14,FALSE),""))</x:f>
      </x:c>
      <x:c r="N16" s="112" t="str">
        <x:f>IF($B$4="","",IFERROR(VLOOKUP($B$4&amp;"|"&amp;6,'14 Employee Skill Register'!$W$6:$AK$205,15,FALSE),""))</x:f>
      </x:c>
    </x:row>
    <x:row r="17">
      <x:c r="A17" s="112" t="str">
        <x:f>IF($B$4="","",IFERROR(VLOOKUP($B$4&amp;"|"&amp;7,'14 Employee Skill Register'!$W$6:$AK$205,2,FALSE),""))</x:f>
      </x:c>
      <x:c r="B17" s="112" t="str">
        <x:f>IF($B$4="","",IFERROR(VLOOKUP($B$4&amp;"|"&amp;7,'14 Employee Skill Register'!$W$6:$AK$205,3,FALSE),""))</x:f>
      </x:c>
      <x:c r="C17" s="112" t="str">
        <x:f>IF($B$4="","",IFERROR(VLOOKUP($B$4&amp;"|"&amp;7,'14 Employee Skill Register'!$W$6:$AK$205,4,FALSE),""))</x:f>
      </x:c>
      <x:c r="D17" s="112" t="str">
        <x:f>IF($B$4="","",IFERROR(VLOOKUP($B$4&amp;"|"&amp;7,'14 Employee Skill Register'!$W$6:$AK$205,5,FALSE),""))</x:f>
      </x:c>
      <x:c r="E17" s="112" t="str">
        <x:f>IF($B$4="","",IFERROR(VLOOKUP($B$4&amp;"|"&amp;7,'14 Employee Skill Register'!$W$6:$AK$205,6,FALSE),""))</x:f>
      </x:c>
      <x:c r="F17" s="112" t="str">
        <x:f>IF($B$4="","",IFERROR(VLOOKUP($B$4&amp;"|"&amp;7,'14 Employee Skill Register'!$W$6:$AK$205,7,FALSE),""))</x:f>
      </x:c>
      <x:c r="G17" s="113" t="str">
        <x:f>IF($B$4="","",IFERROR(VLOOKUP($B$4&amp;"|"&amp;7,'14 Employee Skill Register'!$W$6:$AK$205,8,FALSE),""))</x:f>
      </x:c>
      <x:c r="H17" s="113" t="str">
        <x:f>IF($B$4="","",IFERROR(VLOOKUP($B$4&amp;"|"&amp;7,'14 Employee Skill Register'!$W$6:$AK$205,9,FALSE),""))</x:f>
      </x:c>
      <x:c r="I17" s="112" t="str">
        <x:f>IF($B$4="","",IFERROR(VLOOKUP($B$4&amp;"|"&amp;7,'14 Employee Skill Register'!$W$6:$AK$205,10,FALSE),""))</x:f>
      </x:c>
      <x:c r="J17" s="112" t="str">
        <x:f>IF($B$4="","",IFERROR(VLOOKUP($B$4&amp;"|"&amp;7,'14 Employee Skill Register'!$W$6:$AK$205,11,FALSE),""))</x:f>
      </x:c>
      <x:c r="K17" s="112" t="str">
        <x:f>IF($B$4="","",IFERROR(VLOOKUP($B$4&amp;"|"&amp;7,'14 Employee Skill Register'!$W$6:$AK$205,12,FALSE),""))</x:f>
      </x:c>
      <x:c r="L17" s="113" t="str">
        <x:f>IF($B$4="","",IFERROR(VLOOKUP($B$4&amp;"|"&amp;7,'14 Employee Skill Register'!$W$6:$AK$205,13,FALSE),""))</x:f>
      </x:c>
      <x:c r="M17" s="112" t="str">
        <x:f>IF($B$4="","",IFERROR(VLOOKUP($B$4&amp;"|"&amp;7,'14 Employee Skill Register'!$W$6:$AK$205,14,FALSE),""))</x:f>
      </x:c>
      <x:c r="N17" s="112" t="str">
        <x:f>IF($B$4="","",IFERROR(VLOOKUP($B$4&amp;"|"&amp;7,'14 Employee Skill Register'!$W$6:$AK$205,15,FALSE),""))</x:f>
      </x:c>
    </x:row>
    <x:row r="18">
      <x:c r="A18" s="112" t="str">
        <x:f>IF($B$4="","",IFERROR(VLOOKUP($B$4&amp;"|"&amp;8,'14 Employee Skill Register'!$W$6:$AK$205,2,FALSE),""))</x:f>
      </x:c>
      <x:c r="B18" s="112" t="str">
        <x:f>IF($B$4="","",IFERROR(VLOOKUP($B$4&amp;"|"&amp;8,'14 Employee Skill Register'!$W$6:$AK$205,3,FALSE),""))</x:f>
      </x:c>
      <x:c r="C18" s="112" t="str">
        <x:f>IF($B$4="","",IFERROR(VLOOKUP($B$4&amp;"|"&amp;8,'14 Employee Skill Register'!$W$6:$AK$205,4,FALSE),""))</x:f>
      </x:c>
      <x:c r="D18" s="112" t="str">
        <x:f>IF($B$4="","",IFERROR(VLOOKUP($B$4&amp;"|"&amp;8,'14 Employee Skill Register'!$W$6:$AK$205,5,FALSE),""))</x:f>
      </x:c>
      <x:c r="E18" s="112" t="str">
        <x:f>IF($B$4="","",IFERROR(VLOOKUP($B$4&amp;"|"&amp;8,'14 Employee Skill Register'!$W$6:$AK$205,6,FALSE),""))</x:f>
      </x:c>
      <x:c r="F18" s="112" t="str">
        <x:f>IF($B$4="","",IFERROR(VLOOKUP($B$4&amp;"|"&amp;8,'14 Employee Skill Register'!$W$6:$AK$205,7,FALSE),""))</x:f>
      </x:c>
      <x:c r="G18" s="113" t="str">
        <x:f>IF($B$4="","",IFERROR(VLOOKUP($B$4&amp;"|"&amp;8,'14 Employee Skill Register'!$W$6:$AK$205,8,FALSE),""))</x:f>
      </x:c>
      <x:c r="H18" s="113" t="str">
        <x:f>IF($B$4="","",IFERROR(VLOOKUP($B$4&amp;"|"&amp;8,'14 Employee Skill Register'!$W$6:$AK$205,9,FALSE),""))</x:f>
      </x:c>
      <x:c r="I18" s="112" t="str">
        <x:f>IF($B$4="","",IFERROR(VLOOKUP($B$4&amp;"|"&amp;8,'14 Employee Skill Register'!$W$6:$AK$205,10,FALSE),""))</x:f>
      </x:c>
      <x:c r="J18" s="112" t="str">
        <x:f>IF($B$4="","",IFERROR(VLOOKUP($B$4&amp;"|"&amp;8,'14 Employee Skill Register'!$W$6:$AK$205,11,FALSE),""))</x:f>
      </x:c>
      <x:c r="K18" s="112" t="str">
        <x:f>IF($B$4="","",IFERROR(VLOOKUP($B$4&amp;"|"&amp;8,'14 Employee Skill Register'!$W$6:$AK$205,12,FALSE),""))</x:f>
      </x:c>
      <x:c r="L18" s="113" t="str">
        <x:f>IF($B$4="","",IFERROR(VLOOKUP($B$4&amp;"|"&amp;8,'14 Employee Skill Register'!$W$6:$AK$205,13,FALSE),""))</x:f>
      </x:c>
      <x:c r="M18" s="112" t="str">
        <x:f>IF($B$4="","",IFERROR(VLOOKUP($B$4&amp;"|"&amp;8,'14 Employee Skill Register'!$W$6:$AK$205,14,FALSE),""))</x:f>
      </x:c>
      <x:c r="N18" s="112" t="str">
        <x:f>IF($B$4="","",IFERROR(VLOOKUP($B$4&amp;"|"&amp;8,'14 Employee Skill Register'!$W$6:$AK$205,15,FALSE),""))</x:f>
      </x:c>
    </x:row>
    <x:row r="19">
      <x:c r="A19" s="112" t="str">
        <x:f>IF($B$4="","",IFERROR(VLOOKUP($B$4&amp;"|"&amp;9,'14 Employee Skill Register'!$W$6:$AK$205,2,FALSE),""))</x:f>
      </x:c>
      <x:c r="B19" s="112" t="str">
        <x:f>IF($B$4="","",IFERROR(VLOOKUP($B$4&amp;"|"&amp;9,'14 Employee Skill Register'!$W$6:$AK$205,3,FALSE),""))</x:f>
      </x:c>
      <x:c r="C19" s="112" t="str">
        <x:f>IF($B$4="","",IFERROR(VLOOKUP($B$4&amp;"|"&amp;9,'14 Employee Skill Register'!$W$6:$AK$205,4,FALSE),""))</x:f>
      </x:c>
      <x:c r="D19" s="112" t="str">
        <x:f>IF($B$4="","",IFERROR(VLOOKUP($B$4&amp;"|"&amp;9,'14 Employee Skill Register'!$W$6:$AK$205,5,FALSE),""))</x:f>
      </x:c>
      <x:c r="E19" s="112" t="str">
        <x:f>IF($B$4="","",IFERROR(VLOOKUP($B$4&amp;"|"&amp;9,'14 Employee Skill Register'!$W$6:$AK$205,6,FALSE),""))</x:f>
      </x:c>
      <x:c r="F19" s="112" t="str">
        <x:f>IF($B$4="","",IFERROR(VLOOKUP($B$4&amp;"|"&amp;9,'14 Employee Skill Register'!$W$6:$AK$205,7,FALSE),""))</x:f>
      </x:c>
      <x:c r="G19" s="113" t="str">
        <x:f>IF($B$4="","",IFERROR(VLOOKUP($B$4&amp;"|"&amp;9,'14 Employee Skill Register'!$W$6:$AK$205,8,FALSE),""))</x:f>
      </x:c>
      <x:c r="H19" s="113" t="str">
        <x:f>IF($B$4="","",IFERROR(VLOOKUP($B$4&amp;"|"&amp;9,'14 Employee Skill Register'!$W$6:$AK$205,9,FALSE),""))</x:f>
      </x:c>
      <x:c r="I19" s="112" t="str">
        <x:f>IF($B$4="","",IFERROR(VLOOKUP($B$4&amp;"|"&amp;9,'14 Employee Skill Register'!$W$6:$AK$205,10,FALSE),""))</x:f>
      </x:c>
      <x:c r="J19" s="112" t="str">
        <x:f>IF($B$4="","",IFERROR(VLOOKUP($B$4&amp;"|"&amp;9,'14 Employee Skill Register'!$W$6:$AK$205,11,FALSE),""))</x:f>
      </x:c>
      <x:c r="K19" s="112" t="str">
        <x:f>IF($B$4="","",IFERROR(VLOOKUP($B$4&amp;"|"&amp;9,'14 Employee Skill Register'!$W$6:$AK$205,12,FALSE),""))</x:f>
      </x:c>
      <x:c r="L19" s="113" t="str">
        <x:f>IF($B$4="","",IFERROR(VLOOKUP($B$4&amp;"|"&amp;9,'14 Employee Skill Register'!$W$6:$AK$205,13,FALSE),""))</x:f>
      </x:c>
      <x:c r="M19" s="112" t="str">
        <x:f>IF($B$4="","",IFERROR(VLOOKUP($B$4&amp;"|"&amp;9,'14 Employee Skill Register'!$W$6:$AK$205,14,FALSE),""))</x:f>
      </x:c>
      <x:c r="N19" s="112" t="str">
        <x:f>IF($B$4="","",IFERROR(VLOOKUP($B$4&amp;"|"&amp;9,'14 Employee Skill Register'!$W$6:$AK$205,15,FALSE),""))</x:f>
      </x:c>
    </x:row>
    <x:row r="20">
      <x:c r="A20" s="112" t="str">
        <x:f>IF($B$4="","",IFERROR(VLOOKUP($B$4&amp;"|"&amp;10,'14 Employee Skill Register'!$W$6:$AK$205,2,FALSE),""))</x:f>
      </x:c>
      <x:c r="B20" s="112" t="str">
        <x:f>IF($B$4="","",IFERROR(VLOOKUP($B$4&amp;"|"&amp;10,'14 Employee Skill Register'!$W$6:$AK$205,3,FALSE),""))</x:f>
      </x:c>
      <x:c r="C20" s="112" t="str">
        <x:f>IF($B$4="","",IFERROR(VLOOKUP($B$4&amp;"|"&amp;10,'14 Employee Skill Register'!$W$6:$AK$205,4,FALSE),""))</x:f>
      </x:c>
      <x:c r="D20" s="112" t="str">
        <x:f>IF($B$4="","",IFERROR(VLOOKUP($B$4&amp;"|"&amp;10,'14 Employee Skill Register'!$W$6:$AK$205,5,FALSE),""))</x:f>
      </x:c>
      <x:c r="E20" s="112" t="str">
        <x:f>IF($B$4="","",IFERROR(VLOOKUP($B$4&amp;"|"&amp;10,'14 Employee Skill Register'!$W$6:$AK$205,6,FALSE),""))</x:f>
      </x:c>
      <x:c r="F20" s="112" t="str">
        <x:f>IF($B$4="","",IFERROR(VLOOKUP($B$4&amp;"|"&amp;10,'14 Employee Skill Register'!$W$6:$AK$205,7,FALSE),""))</x:f>
      </x:c>
      <x:c r="G20" s="113" t="str">
        <x:f>IF($B$4="","",IFERROR(VLOOKUP($B$4&amp;"|"&amp;10,'14 Employee Skill Register'!$W$6:$AK$205,8,FALSE),""))</x:f>
      </x:c>
      <x:c r="H20" s="113" t="str">
        <x:f>IF($B$4="","",IFERROR(VLOOKUP($B$4&amp;"|"&amp;10,'14 Employee Skill Register'!$W$6:$AK$205,9,FALSE),""))</x:f>
      </x:c>
      <x:c r="I20" s="112" t="str">
        <x:f>IF($B$4="","",IFERROR(VLOOKUP($B$4&amp;"|"&amp;10,'14 Employee Skill Register'!$W$6:$AK$205,10,FALSE),""))</x:f>
      </x:c>
      <x:c r="J20" s="112" t="str">
        <x:f>IF($B$4="","",IFERROR(VLOOKUP($B$4&amp;"|"&amp;10,'14 Employee Skill Register'!$W$6:$AK$205,11,FALSE),""))</x:f>
      </x:c>
      <x:c r="K20" s="112" t="str">
        <x:f>IF($B$4="","",IFERROR(VLOOKUP($B$4&amp;"|"&amp;10,'14 Employee Skill Register'!$W$6:$AK$205,12,FALSE),""))</x:f>
      </x:c>
      <x:c r="L20" s="113" t="str">
        <x:f>IF($B$4="","",IFERROR(VLOOKUP($B$4&amp;"|"&amp;10,'14 Employee Skill Register'!$W$6:$AK$205,13,FALSE),""))</x:f>
      </x:c>
      <x:c r="M20" s="112" t="str">
        <x:f>IF($B$4="","",IFERROR(VLOOKUP($B$4&amp;"|"&amp;10,'14 Employee Skill Register'!$W$6:$AK$205,14,FALSE),""))</x:f>
      </x:c>
      <x:c r="N20" s="112" t="str">
        <x:f>IF($B$4="","",IFERROR(VLOOKUP($B$4&amp;"|"&amp;10,'14 Employee Skill Register'!$W$6:$AK$205,15,FALSE),""))</x:f>
      </x:c>
    </x:row>
    <x:row r="21">
      <x:c r="A21" s="112" t="str">
        <x:f>IF($B$4="","",IFERROR(VLOOKUP($B$4&amp;"|"&amp;11,'14 Employee Skill Register'!$W$6:$AK$205,2,FALSE),""))</x:f>
      </x:c>
      <x:c r="B21" s="112" t="str">
        <x:f>IF($B$4="","",IFERROR(VLOOKUP($B$4&amp;"|"&amp;11,'14 Employee Skill Register'!$W$6:$AK$205,3,FALSE),""))</x:f>
      </x:c>
      <x:c r="C21" s="112" t="str">
        <x:f>IF($B$4="","",IFERROR(VLOOKUP($B$4&amp;"|"&amp;11,'14 Employee Skill Register'!$W$6:$AK$205,4,FALSE),""))</x:f>
      </x:c>
      <x:c r="D21" s="112" t="str">
        <x:f>IF($B$4="","",IFERROR(VLOOKUP($B$4&amp;"|"&amp;11,'14 Employee Skill Register'!$W$6:$AK$205,5,FALSE),""))</x:f>
      </x:c>
      <x:c r="E21" s="112" t="str">
        <x:f>IF($B$4="","",IFERROR(VLOOKUP($B$4&amp;"|"&amp;11,'14 Employee Skill Register'!$W$6:$AK$205,6,FALSE),""))</x:f>
      </x:c>
      <x:c r="F21" s="112" t="str">
        <x:f>IF($B$4="","",IFERROR(VLOOKUP($B$4&amp;"|"&amp;11,'14 Employee Skill Register'!$W$6:$AK$205,7,FALSE),""))</x:f>
      </x:c>
      <x:c r="G21" s="113" t="str">
        <x:f>IF($B$4="","",IFERROR(VLOOKUP($B$4&amp;"|"&amp;11,'14 Employee Skill Register'!$W$6:$AK$205,8,FALSE),""))</x:f>
      </x:c>
      <x:c r="H21" s="113" t="str">
        <x:f>IF($B$4="","",IFERROR(VLOOKUP($B$4&amp;"|"&amp;11,'14 Employee Skill Register'!$W$6:$AK$205,9,FALSE),""))</x:f>
      </x:c>
      <x:c r="I21" s="112" t="str">
        <x:f>IF($B$4="","",IFERROR(VLOOKUP($B$4&amp;"|"&amp;11,'14 Employee Skill Register'!$W$6:$AK$205,10,FALSE),""))</x:f>
      </x:c>
      <x:c r="J21" s="112" t="str">
        <x:f>IF($B$4="","",IFERROR(VLOOKUP($B$4&amp;"|"&amp;11,'14 Employee Skill Register'!$W$6:$AK$205,11,FALSE),""))</x:f>
      </x:c>
      <x:c r="K21" s="112" t="str">
        <x:f>IF($B$4="","",IFERROR(VLOOKUP($B$4&amp;"|"&amp;11,'14 Employee Skill Register'!$W$6:$AK$205,12,FALSE),""))</x:f>
      </x:c>
      <x:c r="L21" s="113" t="str">
        <x:f>IF($B$4="","",IFERROR(VLOOKUP($B$4&amp;"|"&amp;11,'14 Employee Skill Register'!$W$6:$AK$205,13,FALSE),""))</x:f>
      </x:c>
      <x:c r="M21" s="112" t="str">
        <x:f>IF($B$4="","",IFERROR(VLOOKUP($B$4&amp;"|"&amp;11,'14 Employee Skill Register'!$W$6:$AK$205,14,FALSE),""))</x:f>
      </x:c>
      <x:c r="N21" s="112" t="str">
        <x:f>IF($B$4="","",IFERROR(VLOOKUP($B$4&amp;"|"&amp;11,'14 Employee Skill Register'!$W$6:$AK$205,15,FALSE),""))</x:f>
      </x:c>
    </x:row>
    <x:row r="22">
      <x:c r="A22" s="112" t="str">
        <x:f>IF($B$4="","",IFERROR(VLOOKUP($B$4&amp;"|"&amp;12,'14 Employee Skill Register'!$W$6:$AK$205,2,FALSE),""))</x:f>
      </x:c>
      <x:c r="B22" s="112" t="str">
        <x:f>IF($B$4="","",IFERROR(VLOOKUP($B$4&amp;"|"&amp;12,'14 Employee Skill Register'!$W$6:$AK$205,3,FALSE),""))</x:f>
      </x:c>
      <x:c r="C22" s="112" t="str">
        <x:f>IF($B$4="","",IFERROR(VLOOKUP($B$4&amp;"|"&amp;12,'14 Employee Skill Register'!$W$6:$AK$205,4,FALSE),""))</x:f>
      </x:c>
      <x:c r="D22" s="112" t="str">
        <x:f>IF($B$4="","",IFERROR(VLOOKUP($B$4&amp;"|"&amp;12,'14 Employee Skill Register'!$W$6:$AK$205,5,FALSE),""))</x:f>
      </x:c>
      <x:c r="E22" s="112" t="str">
        <x:f>IF($B$4="","",IFERROR(VLOOKUP($B$4&amp;"|"&amp;12,'14 Employee Skill Register'!$W$6:$AK$205,6,FALSE),""))</x:f>
      </x:c>
      <x:c r="F22" s="112" t="str">
        <x:f>IF($B$4="","",IFERROR(VLOOKUP($B$4&amp;"|"&amp;12,'14 Employee Skill Register'!$W$6:$AK$205,7,FALSE),""))</x:f>
      </x:c>
      <x:c r="G22" s="113" t="str">
        <x:f>IF($B$4="","",IFERROR(VLOOKUP($B$4&amp;"|"&amp;12,'14 Employee Skill Register'!$W$6:$AK$205,8,FALSE),""))</x:f>
      </x:c>
      <x:c r="H22" s="113" t="str">
        <x:f>IF($B$4="","",IFERROR(VLOOKUP($B$4&amp;"|"&amp;12,'14 Employee Skill Register'!$W$6:$AK$205,9,FALSE),""))</x:f>
      </x:c>
      <x:c r="I22" s="112" t="str">
        <x:f>IF($B$4="","",IFERROR(VLOOKUP($B$4&amp;"|"&amp;12,'14 Employee Skill Register'!$W$6:$AK$205,10,FALSE),""))</x:f>
      </x:c>
      <x:c r="J22" s="112" t="str">
        <x:f>IF($B$4="","",IFERROR(VLOOKUP($B$4&amp;"|"&amp;12,'14 Employee Skill Register'!$W$6:$AK$205,11,FALSE),""))</x:f>
      </x:c>
      <x:c r="K22" s="112" t="str">
        <x:f>IF($B$4="","",IFERROR(VLOOKUP($B$4&amp;"|"&amp;12,'14 Employee Skill Register'!$W$6:$AK$205,12,FALSE),""))</x:f>
      </x:c>
      <x:c r="L22" s="113" t="str">
        <x:f>IF($B$4="","",IFERROR(VLOOKUP($B$4&amp;"|"&amp;12,'14 Employee Skill Register'!$W$6:$AK$205,13,FALSE),""))</x:f>
      </x:c>
      <x:c r="M22" s="112" t="str">
        <x:f>IF($B$4="","",IFERROR(VLOOKUP($B$4&amp;"|"&amp;12,'14 Employee Skill Register'!$W$6:$AK$205,14,FALSE),""))</x:f>
      </x:c>
      <x:c r="N22" s="112" t="str">
        <x:f>IF($B$4="","",IFERROR(VLOOKUP($B$4&amp;"|"&amp;12,'14 Employee Skill Register'!$W$6:$AK$205,15,FALSE),""))</x:f>
      </x:c>
    </x:row>
    <x:row r="23">
      <x:c r="A23" s="112" t="str">
        <x:f>IF($B$4="","",IFERROR(VLOOKUP($B$4&amp;"|"&amp;13,'14 Employee Skill Register'!$W$6:$AK$205,2,FALSE),""))</x:f>
      </x:c>
      <x:c r="B23" s="112" t="str">
        <x:f>IF($B$4="","",IFERROR(VLOOKUP($B$4&amp;"|"&amp;13,'14 Employee Skill Register'!$W$6:$AK$205,3,FALSE),""))</x:f>
      </x:c>
      <x:c r="C23" s="112" t="str">
        <x:f>IF($B$4="","",IFERROR(VLOOKUP($B$4&amp;"|"&amp;13,'14 Employee Skill Register'!$W$6:$AK$205,4,FALSE),""))</x:f>
      </x:c>
      <x:c r="D23" s="112" t="str">
        <x:f>IF($B$4="","",IFERROR(VLOOKUP($B$4&amp;"|"&amp;13,'14 Employee Skill Register'!$W$6:$AK$205,5,FALSE),""))</x:f>
      </x:c>
      <x:c r="E23" s="112" t="str">
        <x:f>IF($B$4="","",IFERROR(VLOOKUP($B$4&amp;"|"&amp;13,'14 Employee Skill Register'!$W$6:$AK$205,6,FALSE),""))</x:f>
      </x:c>
      <x:c r="F23" s="112" t="str">
        <x:f>IF($B$4="","",IFERROR(VLOOKUP($B$4&amp;"|"&amp;13,'14 Employee Skill Register'!$W$6:$AK$205,7,FALSE),""))</x:f>
      </x:c>
      <x:c r="G23" s="113" t="str">
        <x:f>IF($B$4="","",IFERROR(VLOOKUP($B$4&amp;"|"&amp;13,'14 Employee Skill Register'!$W$6:$AK$205,8,FALSE),""))</x:f>
      </x:c>
      <x:c r="H23" s="113" t="str">
        <x:f>IF($B$4="","",IFERROR(VLOOKUP($B$4&amp;"|"&amp;13,'14 Employee Skill Register'!$W$6:$AK$205,9,FALSE),""))</x:f>
      </x:c>
      <x:c r="I23" s="112" t="str">
        <x:f>IF($B$4="","",IFERROR(VLOOKUP($B$4&amp;"|"&amp;13,'14 Employee Skill Register'!$W$6:$AK$205,10,FALSE),""))</x:f>
      </x:c>
      <x:c r="J23" s="112" t="str">
        <x:f>IF($B$4="","",IFERROR(VLOOKUP($B$4&amp;"|"&amp;13,'14 Employee Skill Register'!$W$6:$AK$205,11,FALSE),""))</x:f>
      </x:c>
      <x:c r="K23" s="112" t="str">
        <x:f>IF($B$4="","",IFERROR(VLOOKUP($B$4&amp;"|"&amp;13,'14 Employee Skill Register'!$W$6:$AK$205,12,FALSE),""))</x:f>
      </x:c>
      <x:c r="L23" s="113" t="str">
        <x:f>IF($B$4="","",IFERROR(VLOOKUP($B$4&amp;"|"&amp;13,'14 Employee Skill Register'!$W$6:$AK$205,13,FALSE),""))</x:f>
      </x:c>
      <x:c r="M23" s="112" t="str">
        <x:f>IF($B$4="","",IFERROR(VLOOKUP($B$4&amp;"|"&amp;13,'14 Employee Skill Register'!$W$6:$AK$205,14,FALSE),""))</x:f>
      </x:c>
      <x:c r="N23" s="112" t="str">
        <x:f>IF($B$4="","",IFERROR(VLOOKUP($B$4&amp;"|"&amp;13,'14 Employee Skill Register'!$W$6:$AK$205,15,FALSE),""))</x:f>
      </x:c>
    </x:row>
    <x:row r="24">
      <x:c r="A24" s="112" t="str">
        <x:f>IF($B$4="","",IFERROR(VLOOKUP($B$4&amp;"|"&amp;14,'14 Employee Skill Register'!$W$6:$AK$205,2,FALSE),""))</x:f>
      </x:c>
      <x:c r="B24" s="112" t="str">
        <x:f>IF($B$4="","",IFERROR(VLOOKUP($B$4&amp;"|"&amp;14,'14 Employee Skill Register'!$W$6:$AK$205,3,FALSE),""))</x:f>
      </x:c>
      <x:c r="C24" s="112" t="str">
        <x:f>IF($B$4="","",IFERROR(VLOOKUP($B$4&amp;"|"&amp;14,'14 Employee Skill Register'!$W$6:$AK$205,4,FALSE),""))</x:f>
      </x:c>
      <x:c r="D24" s="112" t="str">
        <x:f>IF($B$4="","",IFERROR(VLOOKUP($B$4&amp;"|"&amp;14,'14 Employee Skill Register'!$W$6:$AK$205,5,FALSE),""))</x:f>
      </x:c>
      <x:c r="E24" s="112" t="str">
        <x:f>IF($B$4="","",IFERROR(VLOOKUP($B$4&amp;"|"&amp;14,'14 Employee Skill Register'!$W$6:$AK$205,6,FALSE),""))</x:f>
      </x:c>
      <x:c r="F24" s="112" t="str">
        <x:f>IF($B$4="","",IFERROR(VLOOKUP($B$4&amp;"|"&amp;14,'14 Employee Skill Register'!$W$6:$AK$205,7,FALSE),""))</x:f>
      </x:c>
      <x:c r="G24" s="113" t="str">
        <x:f>IF($B$4="","",IFERROR(VLOOKUP($B$4&amp;"|"&amp;14,'14 Employee Skill Register'!$W$6:$AK$205,8,FALSE),""))</x:f>
      </x:c>
      <x:c r="H24" s="113" t="str">
        <x:f>IF($B$4="","",IFERROR(VLOOKUP($B$4&amp;"|"&amp;14,'14 Employee Skill Register'!$W$6:$AK$205,9,FALSE),""))</x:f>
      </x:c>
      <x:c r="I24" s="112" t="str">
        <x:f>IF($B$4="","",IFERROR(VLOOKUP($B$4&amp;"|"&amp;14,'14 Employee Skill Register'!$W$6:$AK$205,10,FALSE),""))</x:f>
      </x:c>
      <x:c r="J24" s="112" t="str">
        <x:f>IF($B$4="","",IFERROR(VLOOKUP($B$4&amp;"|"&amp;14,'14 Employee Skill Register'!$W$6:$AK$205,11,FALSE),""))</x:f>
      </x:c>
      <x:c r="K24" s="112" t="str">
        <x:f>IF($B$4="","",IFERROR(VLOOKUP($B$4&amp;"|"&amp;14,'14 Employee Skill Register'!$W$6:$AK$205,12,FALSE),""))</x:f>
      </x:c>
      <x:c r="L24" s="113" t="str">
        <x:f>IF($B$4="","",IFERROR(VLOOKUP($B$4&amp;"|"&amp;14,'14 Employee Skill Register'!$W$6:$AK$205,13,FALSE),""))</x:f>
      </x:c>
      <x:c r="M24" s="112" t="str">
        <x:f>IF($B$4="","",IFERROR(VLOOKUP($B$4&amp;"|"&amp;14,'14 Employee Skill Register'!$W$6:$AK$205,14,FALSE),""))</x:f>
      </x:c>
      <x:c r="N24" s="112" t="str">
        <x:f>IF($B$4="","",IFERROR(VLOOKUP($B$4&amp;"|"&amp;14,'14 Employee Skill Register'!$W$6:$AK$205,15,FALSE),""))</x:f>
      </x:c>
    </x:row>
    <x:row r="25">
      <x:c r="A25" s="112" t="str">
        <x:f>IF($B$4="","",IFERROR(VLOOKUP($B$4&amp;"|"&amp;15,'14 Employee Skill Register'!$W$6:$AK$205,2,FALSE),""))</x:f>
      </x:c>
      <x:c r="B25" s="112" t="str">
        <x:f>IF($B$4="","",IFERROR(VLOOKUP($B$4&amp;"|"&amp;15,'14 Employee Skill Register'!$W$6:$AK$205,3,FALSE),""))</x:f>
      </x:c>
      <x:c r="C25" s="112" t="str">
        <x:f>IF($B$4="","",IFERROR(VLOOKUP($B$4&amp;"|"&amp;15,'14 Employee Skill Register'!$W$6:$AK$205,4,FALSE),""))</x:f>
      </x:c>
      <x:c r="D25" s="112" t="str">
        <x:f>IF($B$4="","",IFERROR(VLOOKUP($B$4&amp;"|"&amp;15,'14 Employee Skill Register'!$W$6:$AK$205,5,FALSE),""))</x:f>
      </x:c>
      <x:c r="E25" s="112" t="str">
        <x:f>IF($B$4="","",IFERROR(VLOOKUP($B$4&amp;"|"&amp;15,'14 Employee Skill Register'!$W$6:$AK$205,6,FALSE),""))</x:f>
      </x:c>
      <x:c r="F25" s="112" t="str">
        <x:f>IF($B$4="","",IFERROR(VLOOKUP($B$4&amp;"|"&amp;15,'14 Employee Skill Register'!$W$6:$AK$205,7,FALSE),""))</x:f>
      </x:c>
      <x:c r="G25" s="113" t="str">
        <x:f>IF($B$4="","",IFERROR(VLOOKUP($B$4&amp;"|"&amp;15,'14 Employee Skill Register'!$W$6:$AK$205,8,FALSE),""))</x:f>
      </x:c>
      <x:c r="H25" s="113" t="str">
        <x:f>IF($B$4="","",IFERROR(VLOOKUP($B$4&amp;"|"&amp;15,'14 Employee Skill Register'!$W$6:$AK$205,9,FALSE),""))</x:f>
      </x:c>
      <x:c r="I25" s="112" t="str">
        <x:f>IF($B$4="","",IFERROR(VLOOKUP($B$4&amp;"|"&amp;15,'14 Employee Skill Register'!$W$6:$AK$205,10,FALSE),""))</x:f>
      </x:c>
      <x:c r="J25" s="112" t="str">
        <x:f>IF($B$4="","",IFERROR(VLOOKUP($B$4&amp;"|"&amp;15,'14 Employee Skill Register'!$W$6:$AK$205,11,FALSE),""))</x:f>
      </x:c>
      <x:c r="K25" s="112" t="str">
        <x:f>IF($B$4="","",IFERROR(VLOOKUP($B$4&amp;"|"&amp;15,'14 Employee Skill Register'!$W$6:$AK$205,12,FALSE),""))</x:f>
      </x:c>
      <x:c r="L25" s="113" t="str">
        <x:f>IF($B$4="","",IFERROR(VLOOKUP($B$4&amp;"|"&amp;15,'14 Employee Skill Register'!$W$6:$AK$205,13,FALSE),""))</x:f>
      </x:c>
      <x:c r="M25" s="112" t="str">
        <x:f>IF($B$4="","",IFERROR(VLOOKUP($B$4&amp;"|"&amp;15,'14 Employee Skill Register'!$W$6:$AK$205,14,FALSE),""))</x:f>
      </x:c>
      <x:c r="N25" s="112" t="str">
        <x:f>IF($B$4="","",IFERROR(VLOOKUP($B$4&amp;"|"&amp;15,'14 Employee Skill Register'!$W$6:$AK$205,15,FALSE),""))</x:f>
      </x:c>
    </x:row>
    <x:row r="26">
      <x:c r="A26" s="112" t="str">
        <x:f>IF($B$4="","",IFERROR(VLOOKUP($B$4&amp;"|"&amp;16,'14 Employee Skill Register'!$W$6:$AK$205,2,FALSE),""))</x:f>
      </x:c>
      <x:c r="B26" s="112" t="str">
        <x:f>IF($B$4="","",IFERROR(VLOOKUP($B$4&amp;"|"&amp;16,'14 Employee Skill Register'!$W$6:$AK$205,3,FALSE),""))</x:f>
      </x:c>
      <x:c r="C26" s="112" t="str">
        <x:f>IF($B$4="","",IFERROR(VLOOKUP($B$4&amp;"|"&amp;16,'14 Employee Skill Register'!$W$6:$AK$205,4,FALSE),""))</x:f>
      </x:c>
      <x:c r="D26" s="112" t="str">
        <x:f>IF($B$4="","",IFERROR(VLOOKUP($B$4&amp;"|"&amp;16,'14 Employee Skill Register'!$W$6:$AK$205,5,FALSE),""))</x:f>
      </x:c>
      <x:c r="E26" s="112" t="str">
        <x:f>IF($B$4="","",IFERROR(VLOOKUP($B$4&amp;"|"&amp;16,'14 Employee Skill Register'!$W$6:$AK$205,6,FALSE),""))</x:f>
      </x:c>
      <x:c r="F26" s="112" t="str">
        <x:f>IF($B$4="","",IFERROR(VLOOKUP($B$4&amp;"|"&amp;16,'14 Employee Skill Register'!$W$6:$AK$205,7,FALSE),""))</x:f>
      </x:c>
      <x:c r="G26" s="113" t="str">
        <x:f>IF($B$4="","",IFERROR(VLOOKUP($B$4&amp;"|"&amp;16,'14 Employee Skill Register'!$W$6:$AK$205,8,FALSE),""))</x:f>
      </x:c>
      <x:c r="H26" s="113" t="str">
        <x:f>IF($B$4="","",IFERROR(VLOOKUP($B$4&amp;"|"&amp;16,'14 Employee Skill Register'!$W$6:$AK$205,9,FALSE),""))</x:f>
      </x:c>
      <x:c r="I26" s="112" t="str">
        <x:f>IF($B$4="","",IFERROR(VLOOKUP($B$4&amp;"|"&amp;16,'14 Employee Skill Register'!$W$6:$AK$205,10,FALSE),""))</x:f>
      </x:c>
      <x:c r="J26" s="112" t="str">
        <x:f>IF($B$4="","",IFERROR(VLOOKUP($B$4&amp;"|"&amp;16,'14 Employee Skill Register'!$W$6:$AK$205,11,FALSE),""))</x:f>
      </x:c>
      <x:c r="K26" s="112" t="str">
        <x:f>IF($B$4="","",IFERROR(VLOOKUP($B$4&amp;"|"&amp;16,'14 Employee Skill Register'!$W$6:$AK$205,12,FALSE),""))</x:f>
      </x:c>
      <x:c r="L26" s="113" t="str">
        <x:f>IF($B$4="","",IFERROR(VLOOKUP($B$4&amp;"|"&amp;16,'14 Employee Skill Register'!$W$6:$AK$205,13,FALSE),""))</x:f>
      </x:c>
      <x:c r="M26" s="112" t="str">
        <x:f>IF($B$4="","",IFERROR(VLOOKUP($B$4&amp;"|"&amp;16,'14 Employee Skill Register'!$W$6:$AK$205,14,FALSE),""))</x:f>
      </x:c>
      <x:c r="N26" s="112" t="str">
        <x:f>IF($B$4="","",IFERROR(VLOOKUP($B$4&amp;"|"&amp;16,'14 Employee Skill Register'!$W$6:$AK$205,15,FALSE),""))</x:f>
      </x:c>
    </x:row>
    <x:row r="27">
      <x:c r="A27" s="112" t="str">
        <x:f>IF($B$4="","",IFERROR(VLOOKUP($B$4&amp;"|"&amp;17,'14 Employee Skill Register'!$W$6:$AK$205,2,FALSE),""))</x:f>
      </x:c>
      <x:c r="B27" s="112" t="str">
        <x:f>IF($B$4="","",IFERROR(VLOOKUP($B$4&amp;"|"&amp;17,'14 Employee Skill Register'!$W$6:$AK$205,3,FALSE),""))</x:f>
      </x:c>
      <x:c r="C27" s="112" t="str">
        <x:f>IF($B$4="","",IFERROR(VLOOKUP($B$4&amp;"|"&amp;17,'14 Employee Skill Register'!$W$6:$AK$205,4,FALSE),""))</x:f>
      </x:c>
      <x:c r="D27" s="112" t="str">
        <x:f>IF($B$4="","",IFERROR(VLOOKUP($B$4&amp;"|"&amp;17,'14 Employee Skill Register'!$W$6:$AK$205,5,FALSE),""))</x:f>
      </x:c>
      <x:c r="E27" s="112" t="str">
        <x:f>IF($B$4="","",IFERROR(VLOOKUP($B$4&amp;"|"&amp;17,'14 Employee Skill Register'!$W$6:$AK$205,6,FALSE),""))</x:f>
      </x:c>
      <x:c r="F27" s="112" t="str">
        <x:f>IF($B$4="","",IFERROR(VLOOKUP($B$4&amp;"|"&amp;17,'14 Employee Skill Register'!$W$6:$AK$205,7,FALSE),""))</x:f>
      </x:c>
      <x:c r="G27" s="113" t="str">
        <x:f>IF($B$4="","",IFERROR(VLOOKUP($B$4&amp;"|"&amp;17,'14 Employee Skill Register'!$W$6:$AK$205,8,FALSE),""))</x:f>
      </x:c>
      <x:c r="H27" s="113" t="str">
        <x:f>IF($B$4="","",IFERROR(VLOOKUP($B$4&amp;"|"&amp;17,'14 Employee Skill Register'!$W$6:$AK$205,9,FALSE),""))</x:f>
      </x:c>
      <x:c r="I27" s="112" t="str">
        <x:f>IF($B$4="","",IFERROR(VLOOKUP($B$4&amp;"|"&amp;17,'14 Employee Skill Register'!$W$6:$AK$205,10,FALSE),""))</x:f>
      </x:c>
      <x:c r="J27" s="112" t="str">
        <x:f>IF($B$4="","",IFERROR(VLOOKUP($B$4&amp;"|"&amp;17,'14 Employee Skill Register'!$W$6:$AK$205,11,FALSE),""))</x:f>
      </x:c>
      <x:c r="K27" s="112" t="str">
        <x:f>IF($B$4="","",IFERROR(VLOOKUP($B$4&amp;"|"&amp;17,'14 Employee Skill Register'!$W$6:$AK$205,12,FALSE),""))</x:f>
      </x:c>
      <x:c r="L27" s="113" t="str">
        <x:f>IF($B$4="","",IFERROR(VLOOKUP($B$4&amp;"|"&amp;17,'14 Employee Skill Register'!$W$6:$AK$205,13,FALSE),""))</x:f>
      </x:c>
      <x:c r="M27" s="112" t="str">
        <x:f>IF($B$4="","",IFERROR(VLOOKUP($B$4&amp;"|"&amp;17,'14 Employee Skill Register'!$W$6:$AK$205,14,FALSE),""))</x:f>
      </x:c>
      <x:c r="N27" s="112" t="str">
        <x:f>IF($B$4="","",IFERROR(VLOOKUP($B$4&amp;"|"&amp;17,'14 Employee Skill Register'!$W$6:$AK$205,15,FALSE),""))</x:f>
      </x:c>
    </x:row>
    <x:row r="28">
      <x:c r="A28" s="112" t="str">
        <x:f>IF($B$4="","",IFERROR(VLOOKUP($B$4&amp;"|"&amp;18,'14 Employee Skill Register'!$W$6:$AK$205,2,FALSE),""))</x:f>
      </x:c>
      <x:c r="B28" s="112" t="str">
        <x:f>IF($B$4="","",IFERROR(VLOOKUP($B$4&amp;"|"&amp;18,'14 Employee Skill Register'!$W$6:$AK$205,3,FALSE),""))</x:f>
      </x:c>
      <x:c r="C28" s="112" t="str">
        <x:f>IF($B$4="","",IFERROR(VLOOKUP($B$4&amp;"|"&amp;18,'14 Employee Skill Register'!$W$6:$AK$205,4,FALSE),""))</x:f>
      </x:c>
      <x:c r="D28" s="112" t="str">
        <x:f>IF($B$4="","",IFERROR(VLOOKUP($B$4&amp;"|"&amp;18,'14 Employee Skill Register'!$W$6:$AK$205,5,FALSE),""))</x:f>
      </x:c>
      <x:c r="E28" s="112" t="str">
        <x:f>IF($B$4="","",IFERROR(VLOOKUP($B$4&amp;"|"&amp;18,'14 Employee Skill Register'!$W$6:$AK$205,6,FALSE),""))</x:f>
      </x:c>
      <x:c r="F28" s="112" t="str">
        <x:f>IF($B$4="","",IFERROR(VLOOKUP($B$4&amp;"|"&amp;18,'14 Employee Skill Register'!$W$6:$AK$205,7,FALSE),""))</x:f>
      </x:c>
      <x:c r="G28" s="113" t="str">
        <x:f>IF($B$4="","",IFERROR(VLOOKUP($B$4&amp;"|"&amp;18,'14 Employee Skill Register'!$W$6:$AK$205,8,FALSE),""))</x:f>
      </x:c>
      <x:c r="H28" s="113" t="str">
        <x:f>IF($B$4="","",IFERROR(VLOOKUP($B$4&amp;"|"&amp;18,'14 Employee Skill Register'!$W$6:$AK$205,9,FALSE),""))</x:f>
      </x:c>
      <x:c r="I28" s="112" t="str">
        <x:f>IF($B$4="","",IFERROR(VLOOKUP($B$4&amp;"|"&amp;18,'14 Employee Skill Register'!$W$6:$AK$205,10,FALSE),""))</x:f>
      </x:c>
      <x:c r="J28" s="112" t="str">
        <x:f>IF($B$4="","",IFERROR(VLOOKUP($B$4&amp;"|"&amp;18,'14 Employee Skill Register'!$W$6:$AK$205,11,FALSE),""))</x:f>
      </x:c>
      <x:c r="K28" s="112" t="str">
        <x:f>IF($B$4="","",IFERROR(VLOOKUP($B$4&amp;"|"&amp;18,'14 Employee Skill Register'!$W$6:$AK$205,12,FALSE),""))</x:f>
      </x:c>
      <x:c r="L28" s="113" t="str">
        <x:f>IF($B$4="","",IFERROR(VLOOKUP($B$4&amp;"|"&amp;18,'14 Employee Skill Register'!$W$6:$AK$205,13,FALSE),""))</x:f>
      </x:c>
      <x:c r="M28" s="112" t="str">
        <x:f>IF($B$4="","",IFERROR(VLOOKUP($B$4&amp;"|"&amp;18,'14 Employee Skill Register'!$W$6:$AK$205,14,FALSE),""))</x:f>
      </x:c>
      <x:c r="N28" s="112" t="str">
        <x:f>IF($B$4="","",IFERROR(VLOOKUP($B$4&amp;"|"&amp;18,'14 Employee Skill Register'!$W$6:$AK$205,15,FALSE),""))</x:f>
      </x:c>
    </x:row>
    <x:row r="29">
      <x:c r="A29" s="112" t="str">
        <x:f>IF($B$4="","",IFERROR(VLOOKUP($B$4&amp;"|"&amp;19,'14 Employee Skill Register'!$W$6:$AK$205,2,FALSE),""))</x:f>
      </x:c>
      <x:c r="B29" s="112" t="str">
        <x:f>IF($B$4="","",IFERROR(VLOOKUP($B$4&amp;"|"&amp;19,'14 Employee Skill Register'!$W$6:$AK$205,3,FALSE),""))</x:f>
      </x:c>
      <x:c r="C29" s="112" t="str">
        <x:f>IF($B$4="","",IFERROR(VLOOKUP($B$4&amp;"|"&amp;19,'14 Employee Skill Register'!$W$6:$AK$205,4,FALSE),""))</x:f>
      </x:c>
      <x:c r="D29" s="112" t="str">
        <x:f>IF($B$4="","",IFERROR(VLOOKUP($B$4&amp;"|"&amp;19,'14 Employee Skill Register'!$W$6:$AK$205,5,FALSE),""))</x:f>
      </x:c>
      <x:c r="E29" s="112" t="str">
        <x:f>IF($B$4="","",IFERROR(VLOOKUP($B$4&amp;"|"&amp;19,'14 Employee Skill Register'!$W$6:$AK$205,6,FALSE),""))</x:f>
      </x:c>
      <x:c r="F29" s="112" t="str">
        <x:f>IF($B$4="","",IFERROR(VLOOKUP($B$4&amp;"|"&amp;19,'14 Employee Skill Register'!$W$6:$AK$205,7,FALSE),""))</x:f>
      </x:c>
      <x:c r="G29" s="113" t="str">
        <x:f>IF($B$4="","",IFERROR(VLOOKUP($B$4&amp;"|"&amp;19,'14 Employee Skill Register'!$W$6:$AK$205,8,FALSE),""))</x:f>
      </x:c>
      <x:c r="H29" s="113" t="str">
        <x:f>IF($B$4="","",IFERROR(VLOOKUP($B$4&amp;"|"&amp;19,'14 Employee Skill Register'!$W$6:$AK$205,9,FALSE),""))</x:f>
      </x:c>
      <x:c r="I29" s="112" t="str">
        <x:f>IF($B$4="","",IFERROR(VLOOKUP($B$4&amp;"|"&amp;19,'14 Employee Skill Register'!$W$6:$AK$205,10,FALSE),""))</x:f>
      </x:c>
      <x:c r="J29" s="112" t="str">
        <x:f>IF($B$4="","",IFERROR(VLOOKUP($B$4&amp;"|"&amp;19,'14 Employee Skill Register'!$W$6:$AK$205,11,FALSE),""))</x:f>
      </x:c>
      <x:c r="K29" s="112" t="str">
        <x:f>IF($B$4="","",IFERROR(VLOOKUP($B$4&amp;"|"&amp;19,'14 Employee Skill Register'!$W$6:$AK$205,12,FALSE),""))</x:f>
      </x:c>
      <x:c r="L29" s="113" t="str">
        <x:f>IF($B$4="","",IFERROR(VLOOKUP($B$4&amp;"|"&amp;19,'14 Employee Skill Register'!$W$6:$AK$205,13,FALSE),""))</x:f>
      </x:c>
      <x:c r="M29" s="112" t="str">
        <x:f>IF($B$4="","",IFERROR(VLOOKUP($B$4&amp;"|"&amp;19,'14 Employee Skill Register'!$W$6:$AK$205,14,FALSE),""))</x:f>
      </x:c>
      <x:c r="N29" s="112" t="str">
        <x:f>IF($B$4="","",IFERROR(VLOOKUP($B$4&amp;"|"&amp;19,'14 Employee Skill Register'!$W$6:$AK$205,15,FALSE),""))</x:f>
      </x:c>
    </x:row>
    <x:row r="30">
      <x:c r="A30" s="112" t="str">
        <x:f>IF($B$4="","",IFERROR(VLOOKUP($B$4&amp;"|"&amp;20,'14 Employee Skill Register'!$W$6:$AK$205,2,FALSE),""))</x:f>
      </x:c>
      <x:c r="B30" s="112" t="str">
        <x:f>IF($B$4="","",IFERROR(VLOOKUP($B$4&amp;"|"&amp;20,'14 Employee Skill Register'!$W$6:$AK$205,3,FALSE),""))</x:f>
      </x:c>
      <x:c r="C30" s="112" t="str">
        <x:f>IF($B$4="","",IFERROR(VLOOKUP($B$4&amp;"|"&amp;20,'14 Employee Skill Register'!$W$6:$AK$205,4,FALSE),""))</x:f>
      </x:c>
      <x:c r="D30" s="112" t="str">
        <x:f>IF($B$4="","",IFERROR(VLOOKUP($B$4&amp;"|"&amp;20,'14 Employee Skill Register'!$W$6:$AK$205,5,FALSE),""))</x:f>
      </x:c>
      <x:c r="E30" s="112" t="str">
        <x:f>IF($B$4="","",IFERROR(VLOOKUP($B$4&amp;"|"&amp;20,'14 Employee Skill Register'!$W$6:$AK$205,6,FALSE),""))</x:f>
      </x:c>
      <x:c r="F30" s="112" t="str">
        <x:f>IF($B$4="","",IFERROR(VLOOKUP($B$4&amp;"|"&amp;20,'14 Employee Skill Register'!$W$6:$AK$205,7,FALSE),""))</x:f>
      </x:c>
      <x:c r="G30" s="113" t="str">
        <x:f>IF($B$4="","",IFERROR(VLOOKUP($B$4&amp;"|"&amp;20,'14 Employee Skill Register'!$W$6:$AK$205,8,FALSE),""))</x:f>
      </x:c>
      <x:c r="H30" s="113" t="str">
        <x:f>IF($B$4="","",IFERROR(VLOOKUP($B$4&amp;"|"&amp;20,'14 Employee Skill Register'!$W$6:$AK$205,9,FALSE),""))</x:f>
      </x:c>
      <x:c r="I30" s="112" t="str">
        <x:f>IF($B$4="","",IFERROR(VLOOKUP($B$4&amp;"|"&amp;20,'14 Employee Skill Register'!$W$6:$AK$205,10,FALSE),""))</x:f>
      </x:c>
      <x:c r="J30" s="112" t="str">
        <x:f>IF($B$4="","",IFERROR(VLOOKUP($B$4&amp;"|"&amp;20,'14 Employee Skill Register'!$W$6:$AK$205,11,FALSE),""))</x:f>
      </x:c>
      <x:c r="K30" s="112" t="str">
        <x:f>IF($B$4="","",IFERROR(VLOOKUP($B$4&amp;"|"&amp;20,'14 Employee Skill Register'!$W$6:$AK$205,12,FALSE),""))</x:f>
      </x:c>
      <x:c r="L30" s="113" t="str">
        <x:f>IF($B$4="","",IFERROR(VLOOKUP($B$4&amp;"|"&amp;20,'14 Employee Skill Register'!$W$6:$AK$205,13,FALSE),""))</x:f>
      </x:c>
      <x:c r="M30" s="112" t="str">
        <x:f>IF($B$4="","",IFERROR(VLOOKUP($B$4&amp;"|"&amp;20,'14 Employee Skill Register'!$W$6:$AK$205,14,FALSE),""))</x:f>
      </x:c>
      <x:c r="N30" s="112" t="str">
        <x:f>IF($B$4="","",IFERROR(VLOOKUP($B$4&amp;"|"&amp;20,'14 Employee Skill Register'!$W$6:$AK$205,15,FALSE),""))</x:f>
      </x:c>
    </x:row>
    <x:row r="31">
      <x:c r="A31" s="112" t="str">
        <x:f>IF($B$4="","",IFERROR(VLOOKUP($B$4&amp;"|"&amp;21,'14 Employee Skill Register'!$W$6:$AK$205,2,FALSE),""))</x:f>
      </x:c>
      <x:c r="B31" s="112" t="str">
        <x:f>IF($B$4="","",IFERROR(VLOOKUP($B$4&amp;"|"&amp;21,'14 Employee Skill Register'!$W$6:$AK$205,3,FALSE),""))</x:f>
      </x:c>
      <x:c r="C31" s="112" t="str">
        <x:f>IF($B$4="","",IFERROR(VLOOKUP($B$4&amp;"|"&amp;21,'14 Employee Skill Register'!$W$6:$AK$205,4,FALSE),""))</x:f>
      </x:c>
      <x:c r="D31" s="112" t="str">
        <x:f>IF($B$4="","",IFERROR(VLOOKUP($B$4&amp;"|"&amp;21,'14 Employee Skill Register'!$W$6:$AK$205,5,FALSE),""))</x:f>
      </x:c>
      <x:c r="E31" s="112" t="str">
        <x:f>IF($B$4="","",IFERROR(VLOOKUP($B$4&amp;"|"&amp;21,'14 Employee Skill Register'!$W$6:$AK$205,6,FALSE),""))</x:f>
      </x:c>
      <x:c r="F31" s="112" t="str">
        <x:f>IF($B$4="","",IFERROR(VLOOKUP($B$4&amp;"|"&amp;21,'14 Employee Skill Register'!$W$6:$AK$205,7,FALSE),""))</x:f>
      </x:c>
      <x:c r="G31" s="113" t="str">
        <x:f>IF($B$4="","",IFERROR(VLOOKUP($B$4&amp;"|"&amp;21,'14 Employee Skill Register'!$W$6:$AK$205,8,FALSE),""))</x:f>
      </x:c>
      <x:c r="H31" s="113" t="str">
        <x:f>IF($B$4="","",IFERROR(VLOOKUP($B$4&amp;"|"&amp;21,'14 Employee Skill Register'!$W$6:$AK$205,9,FALSE),""))</x:f>
      </x:c>
      <x:c r="I31" s="112" t="str">
        <x:f>IF($B$4="","",IFERROR(VLOOKUP($B$4&amp;"|"&amp;21,'14 Employee Skill Register'!$W$6:$AK$205,10,FALSE),""))</x:f>
      </x:c>
      <x:c r="J31" s="112" t="str">
        <x:f>IF($B$4="","",IFERROR(VLOOKUP($B$4&amp;"|"&amp;21,'14 Employee Skill Register'!$W$6:$AK$205,11,FALSE),""))</x:f>
      </x:c>
      <x:c r="K31" s="112" t="str">
        <x:f>IF($B$4="","",IFERROR(VLOOKUP($B$4&amp;"|"&amp;21,'14 Employee Skill Register'!$W$6:$AK$205,12,FALSE),""))</x:f>
      </x:c>
      <x:c r="L31" s="113" t="str">
        <x:f>IF($B$4="","",IFERROR(VLOOKUP($B$4&amp;"|"&amp;21,'14 Employee Skill Register'!$W$6:$AK$205,13,FALSE),""))</x:f>
      </x:c>
      <x:c r="M31" s="112" t="str">
        <x:f>IF($B$4="","",IFERROR(VLOOKUP($B$4&amp;"|"&amp;21,'14 Employee Skill Register'!$W$6:$AK$205,14,FALSE),""))</x:f>
      </x:c>
      <x:c r="N31" s="112" t="str">
        <x:f>IF($B$4="","",IFERROR(VLOOKUP($B$4&amp;"|"&amp;21,'14 Employee Skill Register'!$W$6:$AK$205,15,FALSE),""))</x:f>
      </x:c>
    </x:row>
    <x:row r="32">
      <x:c r="A32" s="112" t="str">
        <x:f>IF($B$4="","",IFERROR(VLOOKUP($B$4&amp;"|"&amp;22,'14 Employee Skill Register'!$W$6:$AK$205,2,FALSE),""))</x:f>
      </x:c>
      <x:c r="B32" s="112" t="str">
        <x:f>IF($B$4="","",IFERROR(VLOOKUP($B$4&amp;"|"&amp;22,'14 Employee Skill Register'!$W$6:$AK$205,3,FALSE),""))</x:f>
      </x:c>
      <x:c r="C32" s="112" t="str">
        <x:f>IF($B$4="","",IFERROR(VLOOKUP($B$4&amp;"|"&amp;22,'14 Employee Skill Register'!$W$6:$AK$205,4,FALSE),""))</x:f>
      </x:c>
      <x:c r="D32" s="112" t="str">
        <x:f>IF($B$4="","",IFERROR(VLOOKUP($B$4&amp;"|"&amp;22,'14 Employee Skill Register'!$W$6:$AK$205,5,FALSE),""))</x:f>
      </x:c>
      <x:c r="E32" s="112" t="str">
        <x:f>IF($B$4="","",IFERROR(VLOOKUP($B$4&amp;"|"&amp;22,'14 Employee Skill Register'!$W$6:$AK$205,6,FALSE),""))</x:f>
      </x:c>
      <x:c r="F32" s="112" t="str">
        <x:f>IF($B$4="","",IFERROR(VLOOKUP($B$4&amp;"|"&amp;22,'14 Employee Skill Register'!$W$6:$AK$205,7,FALSE),""))</x:f>
      </x:c>
      <x:c r="G32" s="113" t="str">
        <x:f>IF($B$4="","",IFERROR(VLOOKUP($B$4&amp;"|"&amp;22,'14 Employee Skill Register'!$W$6:$AK$205,8,FALSE),""))</x:f>
      </x:c>
      <x:c r="H32" s="113" t="str">
        <x:f>IF($B$4="","",IFERROR(VLOOKUP($B$4&amp;"|"&amp;22,'14 Employee Skill Register'!$W$6:$AK$205,9,FALSE),""))</x:f>
      </x:c>
      <x:c r="I32" s="112" t="str">
        <x:f>IF($B$4="","",IFERROR(VLOOKUP($B$4&amp;"|"&amp;22,'14 Employee Skill Register'!$W$6:$AK$205,10,FALSE),""))</x:f>
      </x:c>
      <x:c r="J32" s="112" t="str">
        <x:f>IF($B$4="","",IFERROR(VLOOKUP($B$4&amp;"|"&amp;22,'14 Employee Skill Register'!$W$6:$AK$205,11,FALSE),""))</x:f>
      </x:c>
      <x:c r="K32" s="112" t="str">
        <x:f>IF($B$4="","",IFERROR(VLOOKUP($B$4&amp;"|"&amp;22,'14 Employee Skill Register'!$W$6:$AK$205,12,FALSE),""))</x:f>
      </x:c>
      <x:c r="L32" s="113" t="str">
        <x:f>IF($B$4="","",IFERROR(VLOOKUP($B$4&amp;"|"&amp;22,'14 Employee Skill Register'!$W$6:$AK$205,13,FALSE),""))</x:f>
      </x:c>
      <x:c r="M32" s="112" t="str">
        <x:f>IF($B$4="","",IFERROR(VLOOKUP($B$4&amp;"|"&amp;22,'14 Employee Skill Register'!$W$6:$AK$205,14,FALSE),""))</x:f>
      </x:c>
      <x:c r="N32" s="112" t="str">
        <x:f>IF($B$4="","",IFERROR(VLOOKUP($B$4&amp;"|"&amp;22,'14 Employee Skill Register'!$W$6:$AK$205,15,FALSE),""))</x:f>
      </x:c>
    </x:row>
    <x:row r="33">
      <x:c r="A33" s="112" t="str">
        <x:f>IF($B$4="","",IFERROR(VLOOKUP($B$4&amp;"|"&amp;23,'14 Employee Skill Register'!$W$6:$AK$205,2,FALSE),""))</x:f>
      </x:c>
      <x:c r="B33" s="112" t="str">
        <x:f>IF($B$4="","",IFERROR(VLOOKUP($B$4&amp;"|"&amp;23,'14 Employee Skill Register'!$W$6:$AK$205,3,FALSE),""))</x:f>
      </x:c>
      <x:c r="C33" s="112" t="str">
        <x:f>IF($B$4="","",IFERROR(VLOOKUP($B$4&amp;"|"&amp;23,'14 Employee Skill Register'!$W$6:$AK$205,4,FALSE),""))</x:f>
      </x:c>
      <x:c r="D33" s="112" t="str">
        <x:f>IF($B$4="","",IFERROR(VLOOKUP($B$4&amp;"|"&amp;23,'14 Employee Skill Register'!$W$6:$AK$205,5,FALSE),""))</x:f>
      </x:c>
      <x:c r="E33" s="112" t="str">
        <x:f>IF($B$4="","",IFERROR(VLOOKUP($B$4&amp;"|"&amp;23,'14 Employee Skill Register'!$W$6:$AK$205,6,FALSE),""))</x:f>
      </x:c>
      <x:c r="F33" s="112" t="str">
        <x:f>IF($B$4="","",IFERROR(VLOOKUP($B$4&amp;"|"&amp;23,'14 Employee Skill Register'!$W$6:$AK$205,7,FALSE),""))</x:f>
      </x:c>
      <x:c r="G33" s="113" t="str">
        <x:f>IF($B$4="","",IFERROR(VLOOKUP($B$4&amp;"|"&amp;23,'14 Employee Skill Register'!$W$6:$AK$205,8,FALSE),""))</x:f>
      </x:c>
      <x:c r="H33" s="113" t="str">
        <x:f>IF($B$4="","",IFERROR(VLOOKUP($B$4&amp;"|"&amp;23,'14 Employee Skill Register'!$W$6:$AK$205,9,FALSE),""))</x:f>
      </x:c>
      <x:c r="I33" s="112" t="str">
        <x:f>IF($B$4="","",IFERROR(VLOOKUP($B$4&amp;"|"&amp;23,'14 Employee Skill Register'!$W$6:$AK$205,10,FALSE),""))</x:f>
      </x:c>
      <x:c r="J33" s="112" t="str">
        <x:f>IF($B$4="","",IFERROR(VLOOKUP($B$4&amp;"|"&amp;23,'14 Employee Skill Register'!$W$6:$AK$205,11,FALSE),""))</x:f>
      </x:c>
      <x:c r="K33" s="112" t="str">
        <x:f>IF($B$4="","",IFERROR(VLOOKUP($B$4&amp;"|"&amp;23,'14 Employee Skill Register'!$W$6:$AK$205,12,FALSE),""))</x:f>
      </x:c>
      <x:c r="L33" s="113" t="str">
        <x:f>IF($B$4="","",IFERROR(VLOOKUP($B$4&amp;"|"&amp;23,'14 Employee Skill Register'!$W$6:$AK$205,13,FALSE),""))</x:f>
      </x:c>
      <x:c r="M33" s="112" t="str">
        <x:f>IF($B$4="","",IFERROR(VLOOKUP($B$4&amp;"|"&amp;23,'14 Employee Skill Register'!$W$6:$AK$205,14,FALSE),""))</x:f>
      </x:c>
      <x:c r="N33" s="112" t="str">
        <x:f>IF($B$4="","",IFERROR(VLOOKUP($B$4&amp;"|"&amp;23,'14 Employee Skill Register'!$W$6:$AK$205,15,FALSE),""))</x:f>
      </x:c>
    </x:row>
    <x:row r="34">
      <x:c r="A34" s="112" t="str">
        <x:f>IF($B$4="","",IFERROR(VLOOKUP($B$4&amp;"|"&amp;24,'14 Employee Skill Register'!$W$6:$AK$205,2,FALSE),""))</x:f>
      </x:c>
      <x:c r="B34" s="112" t="str">
        <x:f>IF($B$4="","",IFERROR(VLOOKUP($B$4&amp;"|"&amp;24,'14 Employee Skill Register'!$W$6:$AK$205,3,FALSE),""))</x:f>
      </x:c>
      <x:c r="C34" s="112" t="str">
        <x:f>IF($B$4="","",IFERROR(VLOOKUP($B$4&amp;"|"&amp;24,'14 Employee Skill Register'!$W$6:$AK$205,4,FALSE),""))</x:f>
      </x:c>
      <x:c r="D34" s="112" t="str">
        <x:f>IF($B$4="","",IFERROR(VLOOKUP($B$4&amp;"|"&amp;24,'14 Employee Skill Register'!$W$6:$AK$205,5,FALSE),""))</x:f>
      </x:c>
      <x:c r="E34" s="112" t="str">
        <x:f>IF($B$4="","",IFERROR(VLOOKUP($B$4&amp;"|"&amp;24,'14 Employee Skill Register'!$W$6:$AK$205,6,FALSE),""))</x:f>
      </x:c>
      <x:c r="F34" s="112" t="str">
        <x:f>IF($B$4="","",IFERROR(VLOOKUP($B$4&amp;"|"&amp;24,'14 Employee Skill Register'!$W$6:$AK$205,7,FALSE),""))</x:f>
      </x:c>
      <x:c r="G34" s="113" t="str">
        <x:f>IF($B$4="","",IFERROR(VLOOKUP($B$4&amp;"|"&amp;24,'14 Employee Skill Register'!$W$6:$AK$205,8,FALSE),""))</x:f>
      </x:c>
      <x:c r="H34" s="113" t="str">
        <x:f>IF($B$4="","",IFERROR(VLOOKUP($B$4&amp;"|"&amp;24,'14 Employee Skill Register'!$W$6:$AK$205,9,FALSE),""))</x:f>
      </x:c>
      <x:c r="I34" s="112" t="str">
        <x:f>IF($B$4="","",IFERROR(VLOOKUP($B$4&amp;"|"&amp;24,'14 Employee Skill Register'!$W$6:$AK$205,10,FALSE),""))</x:f>
      </x:c>
      <x:c r="J34" s="112" t="str">
        <x:f>IF($B$4="","",IFERROR(VLOOKUP($B$4&amp;"|"&amp;24,'14 Employee Skill Register'!$W$6:$AK$205,11,FALSE),""))</x:f>
      </x:c>
      <x:c r="K34" s="112" t="str">
        <x:f>IF($B$4="","",IFERROR(VLOOKUP($B$4&amp;"|"&amp;24,'14 Employee Skill Register'!$W$6:$AK$205,12,FALSE),""))</x:f>
      </x:c>
      <x:c r="L34" s="113" t="str">
        <x:f>IF($B$4="","",IFERROR(VLOOKUP($B$4&amp;"|"&amp;24,'14 Employee Skill Register'!$W$6:$AK$205,13,FALSE),""))</x:f>
      </x:c>
      <x:c r="M34" s="112" t="str">
        <x:f>IF($B$4="","",IFERROR(VLOOKUP($B$4&amp;"|"&amp;24,'14 Employee Skill Register'!$W$6:$AK$205,14,FALSE),""))</x:f>
      </x:c>
      <x:c r="N34" s="112" t="str">
        <x:f>IF($B$4="","",IFERROR(VLOOKUP($B$4&amp;"|"&amp;24,'14 Employee Skill Register'!$W$6:$AK$205,15,FALSE),""))</x:f>
      </x:c>
    </x:row>
    <x:row r="35">
      <x:c r="A35" s="112" t="str">
        <x:f>IF($B$4="","",IFERROR(VLOOKUP($B$4&amp;"|"&amp;25,'14 Employee Skill Register'!$W$6:$AK$205,2,FALSE),""))</x:f>
      </x:c>
      <x:c r="B35" s="112" t="str">
        <x:f>IF($B$4="","",IFERROR(VLOOKUP($B$4&amp;"|"&amp;25,'14 Employee Skill Register'!$W$6:$AK$205,3,FALSE),""))</x:f>
      </x:c>
      <x:c r="C35" s="112" t="str">
        <x:f>IF($B$4="","",IFERROR(VLOOKUP($B$4&amp;"|"&amp;25,'14 Employee Skill Register'!$W$6:$AK$205,4,FALSE),""))</x:f>
      </x:c>
      <x:c r="D35" s="112" t="str">
        <x:f>IF($B$4="","",IFERROR(VLOOKUP($B$4&amp;"|"&amp;25,'14 Employee Skill Register'!$W$6:$AK$205,5,FALSE),""))</x:f>
      </x:c>
      <x:c r="E35" s="112" t="str">
        <x:f>IF($B$4="","",IFERROR(VLOOKUP($B$4&amp;"|"&amp;25,'14 Employee Skill Register'!$W$6:$AK$205,6,FALSE),""))</x:f>
      </x:c>
      <x:c r="F35" s="112" t="str">
        <x:f>IF($B$4="","",IFERROR(VLOOKUP($B$4&amp;"|"&amp;25,'14 Employee Skill Register'!$W$6:$AK$205,7,FALSE),""))</x:f>
      </x:c>
      <x:c r="G35" s="113" t="str">
        <x:f>IF($B$4="","",IFERROR(VLOOKUP($B$4&amp;"|"&amp;25,'14 Employee Skill Register'!$W$6:$AK$205,8,FALSE),""))</x:f>
      </x:c>
      <x:c r="H35" s="113" t="str">
        <x:f>IF($B$4="","",IFERROR(VLOOKUP($B$4&amp;"|"&amp;25,'14 Employee Skill Register'!$W$6:$AK$205,9,FALSE),""))</x:f>
      </x:c>
      <x:c r="I35" s="112" t="str">
        <x:f>IF($B$4="","",IFERROR(VLOOKUP($B$4&amp;"|"&amp;25,'14 Employee Skill Register'!$W$6:$AK$205,10,FALSE),""))</x:f>
      </x:c>
      <x:c r="J35" s="112" t="str">
        <x:f>IF($B$4="","",IFERROR(VLOOKUP($B$4&amp;"|"&amp;25,'14 Employee Skill Register'!$W$6:$AK$205,11,FALSE),""))</x:f>
      </x:c>
      <x:c r="K35" s="112" t="str">
        <x:f>IF($B$4="","",IFERROR(VLOOKUP($B$4&amp;"|"&amp;25,'14 Employee Skill Register'!$W$6:$AK$205,12,FALSE),""))</x:f>
      </x:c>
      <x:c r="L35" s="113" t="str">
        <x:f>IF($B$4="","",IFERROR(VLOOKUP($B$4&amp;"|"&amp;25,'14 Employee Skill Register'!$W$6:$AK$205,13,FALSE),""))</x:f>
      </x:c>
      <x:c r="M35" s="112" t="str">
        <x:f>IF($B$4="","",IFERROR(VLOOKUP($B$4&amp;"|"&amp;25,'14 Employee Skill Register'!$W$6:$AK$205,14,FALSE),""))</x:f>
      </x:c>
      <x:c r="N35" s="112" t="str">
        <x:f>IF($B$4="","",IFERROR(VLOOKUP($B$4&amp;"|"&amp;25,'14 Employee Skill Register'!$W$6:$AK$205,15,FALSE),""))</x:f>
      </x:c>
    </x:row>
    <x:row r="38" ht="24" customHeight="1">
      <x:c r="A38" s="77" t="str">
        <x:v>INDIVIDUAL TRAINING HISTORY</x:v>
      </x:c>
      <x:c r="B38" s="77"/>
      <x:c r="C38" s="77"/>
      <x:c r="D38" s="77"/>
      <x:c r="E38" s="77"/>
      <x:c r="F38" s="77"/>
      <x:c r="G38" s="77"/>
      <x:c r="H38" s="77"/>
      <x:c r="I38" s="77"/>
      <x:c r="J38" s="77"/>
      <x:c r="K38" s="77"/>
      <x:c r="L38" s="77"/>
      <x:c r="M38" s="77"/>
      <x:c r="N38" s="77"/>
    </x:row>
    <x:row r="39" ht="38" customHeight="1">
      <x:c r="A39" s="83" t="str">
        <x:v>Attendance ID</x:v>
      </x:c>
      <x:c r="B39" s="83" t="str">
        <x:v>Training ID</x:v>
      </x:c>
      <x:c r="C39" s="83" t="str">
        <x:v>Training Title</x:v>
      </x:c>
      <x:c r="D39" s="83" t="str">
        <x:v>Training Date</x:v>
      </x:c>
      <x:c r="E39" s="83" t="str">
        <x:v>Hours</x:v>
      </x:c>
      <x:c r="F39" s="83" t="str">
        <x:v>Attendance</x:v>
      </x:c>
      <x:c r="G39" s="83" t="str">
        <x:v>Test Result</x:v>
      </x:c>
      <x:c r="H39" s="83" t="str">
        <x:v>Certificate</x:v>
      </x:c>
      <x:c r="I39" s="83" t="str">
        <x:v>Evaluation</x:v>
      </x:c>
      <x:c r="J39" s="83" t="str">
        <x:v>Effectiveness</x:v>
      </x:c>
      <x:c r="K39" s="83" t="str">
        <x:v>Evidence</x:v>
      </x:c>
      <x:c r="L39" s="83" t="str">
        <x:v>Notes</x:v>
      </x:c>
    </x:row>
    <x:row r="40">
      <x:c r="A40" s="112" t="str">
        <x:f>IF($B$4="","",IFERROR(VLOOKUP($B$4&amp;"|"&amp;1,'11 Training Attendance'!$AA$6:$AM$155,2,FALSE),""))</x:f>
      </x:c>
      <x:c r="B40" s="112" t="str">
        <x:f>IF($B$4="","",IFERROR(VLOOKUP($B$4&amp;"|"&amp;1,'11 Training Attendance'!$AA$6:$AM$155,3,FALSE),""))</x:f>
      </x:c>
      <x:c r="C40" s="112" t="str">
        <x:f>IF($B$4="","",IFERROR(VLOOKUP($B$4&amp;"|"&amp;1,'11 Training Attendance'!$AA$6:$AM$155,4,FALSE),""))</x:f>
      </x:c>
      <x:c r="D40" s="113" t="str">
        <x:f>IF($B$4="","",IFERROR(VLOOKUP($B$4&amp;"|"&amp;1,'11 Training Attendance'!$AA$6:$AM$155,5,FALSE),""))</x:f>
      </x:c>
      <x:c r="E40" s="112" t="str">
        <x:f>IF($B$4="","",IFERROR(VLOOKUP($B$4&amp;"|"&amp;1,'11 Training Attendance'!$AA$6:$AM$155,6,FALSE),""))</x:f>
      </x:c>
      <x:c r="F40" s="112" t="str">
        <x:f>IF($B$4="","",IFERROR(VLOOKUP($B$4&amp;"|"&amp;1,'11 Training Attendance'!$AA$6:$AM$155,7,FALSE),""))</x:f>
      </x:c>
      <x:c r="G40" s="112" t="str">
        <x:f>IF($B$4="","",IFERROR(VLOOKUP($B$4&amp;"|"&amp;1,'11 Training Attendance'!$AA$6:$AM$155,8,FALSE),""))</x:f>
      </x:c>
      <x:c r="H40" s="112" t="str">
        <x:f>IF($B$4="","",IFERROR(VLOOKUP($B$4&amp;"|"&amp;1,'11 Training Attendance'!$AA$6:$AM$155,9,FALSE),""))</x:f>
      </x:c>
      <x:c r="I40" s="112" t="str">
        <x:f>IF($B$4="","",IFERROR(VLOOKUP($B$4&amp;"|"&amp;1,'11 Training Attendance'!$AA$6:$AM$155,10,FALSE),""))</x:f>
      </x:c>
      <x:c r="J40" s="112" t="str">
        <x:f>IF($B$4="","",IFERROR(VLOOKUP($B$4&amp;"|"&amp;1,'11 Training Attendance'!$AA$6:$AM$155,11,FALSE),""))</x:f>
      </x:c>
      <x:c r="K40" s="112" t="str">
        <x:f>IF($B$4="","",IFERROR(VLOOKUP($B$4&amp;"|"&amp;1,'11 Training Attendance'!$AA$6:$AM$155,12,FALSE),""))</x:f>
      </x:c>
      <x:c r="L40" s="112" t="str">
        <x:f>IF($B$4="","",IFERROR(VLOOKUP($B$4&amp;"|"&amp;1,'11 Training Attendance'!$AA$6:$AM$155,13,FALSE),""))</x:f>
      </x:c>
    </x:row>
    <x:row r="41">
      <x:c r="A41" s="112" t="str">
        <x:f>IF($B$4="","",IFERROR(VLOOKUP($B$4&amp;"|"&amp;2,'11 Training Attendance'!$AA$6:$AM$155,2,FALSE),""))</x:f>
      </x:c>
      <x:c r="B41" s="112" t="str">
        <x:f>IF($B$4="","",IFERROR(VLOOKUP($B$4&amp;"|"&amp;2,'11 Training Attendance'!$AA$6:$AM$155,3,FALSE),""))</x:f>
      </x:c>
      <x:c r="C41" s="112" t="str">
        <x:f>IF($B$4="","",IFERROR(VLOOKUP($B$4&amp;"|"&amp;2,'11 Training Attendance'!$AA$6:$AM$155,4,FALSE),""))</x:f>
      </x:c>
      <x:c r="D41" s="113" t="str">
        <x:f>IF($B$4="","",IFERROR(VLOOKUP($B$4&amp;"|"&amp;2,'11 Training Attendance'!$AA$6:$AM$155,5,FALSE),""))</x:f>
      </x:c>
      <x:c r="E41" s="112" t="str">
        <x:f>IF($B$4="","",IFERROR(VLOOKUP($B$4&amp;"|"&amp;2,'11 Training Attendance'!$AA$6:$AM$155,6,FALSE),""))</x:f>
      </x:c>
      <x:c r="F41" s="112" t="str">
        <x:f>IF($B$4="","",IFERROR(VLOOKUP($B$4&amp;"|"&amp;2,'11 Training Attendance'!$AA$6:$AM$155,7,FALSE),""))</x:f>
      </x:c>
      <x:c r="G41" s="112" t="str">
        <x:f>IF($B$4="","",IFERROR(VLOOKUP($B$4&amp;"|"&amp;2,'11 Training Attendance'!$AA$6:$AM$155,8,FALSE),""))</x:f>
      </x:c>
      <x:c r="H41" s="112" t="str">
        <x:f>IF($B$4="","",IFERROR(VLOOKUP($B$4&amp;"|"&amp;2,'11 Training Attendance'!$AA$6:$AM$155,9,FALSE),""))</x:f>
      </x:c>
      <x:c r="I41" s="112" t="str">
        <x:f>IF($B$4="","",IFERROR(VLOOKUP($B$4&amp;"|"&amp;2,'11 Training Attendance'!$AA$6:$AM$155,10,FALSE),""))</x:f>
      </x:c>
      <x:c r="J41" s="112" t="str">
        <x:f>IF($B$4="","",IFERROR(VLOOKUP($B$4&amp;"|"&amp;2,'11 Training Attendance'!$AA$6:$AM$155,11,FALSE),""))</x:f>
      </x:c>
      <x:c r="K41" s="112" t="str">
        <x:f>IF($B$4="","",IFERROR(VLOOKUP($B$4&amp;"|"&amp;2,'11 Training Attendance'!$AA$6:$AM$155,12,FALSE),""))</x:f>
      </x:c>
      <x:c r="L41" s="112" t="str">
        <x:f>IF($B$4="","",IFERROR(VLOOKUP($B$4&amp;"|"&amp;2,'11 Training Attendance'!$AA$6:$AM$155,13,FALSE),""))</x:f>
      </x:c>
    </x:row>
    <x:row r="42">
      <x:c r="A42" s="112" t="str">
        <x:f>IF($B$4="","",IFERROR(VLOOKUP($B$4&amp;"|"&amp;3,'11 Training Attendance'!$AA$6:$AM$155,2,FALSE),""))</x:f>
      </x:c>
      <x:c r="B42" s="112" t="str">
        <x:f>IF($B$4="","",IFERROR(VLOOKUP($B$4&amp;"|"&amp;3,'11 Training Attendance'!$AA$6:$AM$155,3,FALSE),""))</x:f>
      </x:c>
      <x:c r="C42" s="112" t="str">
        <x:f>IF($B$4="","",IFERROR(VLOOKUP($B$4&amp;"|"&amp;3,'11 Training Attendance'!$AA$6:$AM$155,4,FALSE),""))</x:f>
      </x:c>
      <x:c r="D42" s="113" t="str">
        <x:f>IF($B$4="","",IFERROR(VLOOKUP($B$4&amp;"|"&amp;3,'11 Training Attendance'!$AA$6:$AM$155,5,FALSE),""))</x:f>
      </x:c>
      <x:c r="E42" s="112" t="str">
        <x:f>IF($B$4="","",IFERROR(VLOOKUP($B$4&amp;"|"&amp;3,'11 Training Attendance'!$AA$6:$AM$155,6,FALSE),""))</x:f>
      </x:c>
      <x:c r="F42" s="112" t="str">
        <x:f>IF($B$4="","",IFERROR(VLOOKUP($B$4&amp;"|"&amp;3,'11 Training Attendance'!$AA$6:$AM$155,7,FALSE),""))</x:f>
      </x:c>
      <x:c r="G42" s="112" t="str">
        <x:f>IF($B$4="","",IFERROR(VLOOKUP($B$4&amp;"|"&amp;3,'11 Training Attendance'!$AA$6:$AM$155,8,FALSE),""))</x:f>
      </x:c>
      <x:c r="H42" s="112" t="str">
        <x:f>IF($B$4="","",IFERROR(VLOOKUP($B$4&amp;"|"&amp;3,'11 Training Attendance'!$AA$6:$AM$155,9,FALSE),""))</x:f>
      </x:c>
      <x:c r="I42" s="112" t="str">
        <x:f>IF($B$4="","",IFERROR(VLOOKUP($B$4&amp;"|"&amp;3,'11 Training Attendance'!$AA$6:$AM$155,10,FALSE),""))</x:f>
      </x:c>
      <x:c r="J42" s="112" t="str">
        <x:f>IF($B$4="","",IFERROR(VLOOKUP($B$4&amp;"|"&amp;3,'11 Training Attendance'!$AA$6:$AM$155,11,FALSE),""))</x:f>
      </x:c>
      <x:c r="K42" s="112" t="str">
        <x:f>IF($B$4="","",IFERROR(VLOOKUP($B$4&amp;"|"&amp;3,'11 Training Attendance'!$AA$6:$AM$155,12,FALSE),""))</x:f>
      </x:c>
      <x:c r="L42" s="112" t="str">
        <x:f>IF($B$4="","",IFERROR(VLOOKUP($B$4&amp;"|"&amp;3,'11 Training Attendance'!$AA$6:$AM$155,13,FALSE),""))</x:f>
      </x:c>
    </x:row>
    <x:row r="43">
      <x:c r="A43" s="112" t="str">
        <x:f>IF($B$4="","",IFERROR(VLOOKUP($B$4&amp;"|"&amp;4,'11 Training Attendance'!$AA$6:$AM$155,2,FALSE),""))</x:f>
      </x:c>
      <x:c r="B43" s="112" t="str">
        <x:f>IF($B$4="","",IFERROR(VLOOKUP($B$4&amp;"|"&amp;4,'11 Training Attendance'!$AA$6:$AM$155,3,FALSE),""))</x:f>
      </x:c>
      <x:c r="C43" s="112" t="str">
        <x:f>IF($B$4="","",IFERROR(VLOOKUP($B$4&amp;"|"&amp;4,'11 Training Attendance'!$AA$6:$AM$155,4,FALSE),""))</x:f>
      </x:c>
      <x:c r="D43" s="113" t="str">
        <x:f>IF($B$4="","",IFERROR(VLOOKUP($B$4&amp;"|"&amp;4,'11 Training Attendance'!$AA$6:$AM$155,5,FALSE),""))</x:f>
      </x:c>
      <x:c r="E43" s="112" t="str">
        <x:f>IF($B$4="","",IFERROR(VLOOKUP($B$4&amp;"|"&amp;4,'11 Training Attendance'!$AA$6:$AM$155,6,FALSE),""))</x:f>
      </x:c>
      <x:c r="F43" s="112" t="str">
        <x:f>IF($B$4="","",IFERROR(VLOOKUP($B$4&amp;"|"&amp;4,'11 Training Attendance'!$AA$6:$AM$155,7,FALSE),""))</x:f>
      </x:c>
      <x:c r="G43" s="112" t="str">
        <x:f>IF($B$4="","",IFERROR(VLOOKUP($B$4&amp;"|"&amp;4,'11 Training Attendance'!$AA$6:$AM$155,8,FALSE),""))</x:f>
      </x:c>
      <x:c r="H43" s="112" t="str">
        <x:f>IF($B$4="","",IFERROR(VLOOKUP($B$4&amp;"|"&amp;4,'11 Training Attendance'!$AA$6:$AM$155,9,FALSE),""))</x:f>
      </x:c>
      <x:c r="I43" s="112" t="str">
        <x:f>IF($B$4="","",IFERROR(VLOOKUP($B$4&amp;"|"&amp;4,'11 Training Attendance'!$AA$6:$AM$155,10,FALSE),""))</x:f>
      </x:c>
      <x:c r="J43" s="112" t="str">
        <x:f>IF($B$4="","",IFERROR(VLOOKUP($B$4&amp;"|"&amp;4,'11 Training Attendance'!$AA$6:$AM$155,11,FALSE),""))</x:f>
      </x:c>
      <x:c r="K43" s="112" t="str">
        <x:f>IF($B$4="","",IFERROR(VLOOKUP($B$4&amp;"|"&amp;4,'11 Training Attendance'!$AA$6:$AM$155,12,FALSE),""))</x:f>
      </x:c>
      <x:c r="L43" s="112" t="str">
        <x:f>IF($B$4="","",IFERROR(VLOOKUP($B$4&amp;"|"&amp;4,'11 Training Attendance'!$AA$6:$AM$155,13,FALSE),""))</x:f>
      </x:c>
    </x:row>
    <x:row r="44">
      <x:c r="A44" s="112" t="str">
        <x:f>IF($B$4="","",IFERROR(VLOOKUP($B$4&amp;"|"&amp;5,'11 Training Attendance'!$AA$6:$AM$155,2,FALSE),""))</x:f>
      </x:c>
      <x:c r="B44" s="112" t="str">
        <x:f>IF($B$4="","",IFERROR(VLOOKUP($B$4&amp;"|"&amp;5,'11 Training Attendance'!$AA$6:$AM$155,3,FALSE),""))</x:f>
      </x:c>
      <x:c r="C44" s="112" t="str">
        <x:f>IF($B$4="","",IFERROR(VLOOKUP($B$4&amp;"|"&amp;5,'11 Training Attendance'!$AA$6:$AM$155,4,FALSE),""))</x:f>
      </x:c>
      <x:c r="D44" s="113" t="str">
        <x:f>IF($B$4="","",IFERROR(VLOOKUP($B$4&amp;"|"&amp;5,'11 Training Attendance'!$AA$6:$AM$155,5,FALSE),""))</x:f>
      </x:c>
      <x:c r="E44" s="112" t="str">
        <x:f>IF($B$4="","",IFERROR(VLOOKUP($B$4&amp;"|"&amp;5,'11 Training Attendance'!$AA$6:$AM$155,6,FALSE),""))</x:f>
      </x:c>
      <x:c r="F44" s="112" t="str">
        <x:f>IF($B$4="","",IFERROR(VLOOKUP($B$4&amp;"|"&amp;5,'11 Training Attendance'!$AA$6:$AM$155,7,FALSE),""))</x:f>
      </x:c>
      <x:c r="G44" s="112" t="str">
        <x:f>IF($B$4="","",IFERROR(VLOOKUP($B$4&amp;"|"&amp;5,'11 Training Attendance'!$AA$6:$AM$155,8,FALSE),""))</x:f>
      </x:c>
      <x:c r="H44" s="112" t="str">
        <x:f>IF($B$4="","",IFERROR(VLOOKUP($B$4&amp;"|"&amp;5,'11 Training Attendance'!$AA$6:$AM$155,9,FALSE),""))</x:f>
      </x:c>
      <x:c r="I44" s="112" t="str">
        <x:f>IF($B$4="","",IFERROR(VLOOKUP($B$4&amp;"|"&amp;5,'11 Training Attendance'!$AA$6:$AM$155,10,FALSE),""))</x:f>
      </x:c>
      <x:c r="J44" s="112" t="str">
        <x:f>IF($B$4="","",IFERROR(VLOOKUP($B$4&amp;"|"&amp;5,'11 Training Attendance'!$AA$6:$AM$155,11,FALSE),""))</x:f>
      </x:c>
      <x:c r="K44" s="112" t="str">
        <x:f>IF($B$4="","",IFERROR(VLOOKUP($B$4&amp;"|"&amp;5,'11 Training Attendance'!$AA$6:$AM$155,12,FALSE),""))</x:f>
      </x:c>
      <x:c r="L44" s="112" t="str">
        <x:f>IF($B$4="","",IFERROR(VLOOKUP($B$4&amp;"|"&amp;5,'11 Training Attendance'!$AA$6:$AM$155,13,FALSE),""))</x:f>
      </x:c>
    </x:row>
    <x:row r="45">
      <x:c r="A45" s="112" t="str">
        <x:f>IF($B$4="","",IFERROR(VLOOKUP($B$4&amp;"|"&amp;6,'11 Training Attendance'!$AA$6:$AM$155,2,FALSE),""))</x:f>
      </x:c>
      <x:c r="B45" s="112" t="str">
        <x:f>IF($B$4="","",IFERROR(VLOOKUP($B$4&amp;"|"&amp;6,'11 Training Attendance'!$AA$6:$AM$155,3,FALSE),""))</x:f>
      </x:c>
      <x:c r="C45" s="112" t="str">
        <x:f>IF($B$4="","",IFERROR(VLOOKUP($B$4&amp;"|"&amp;6,'11 Training Attendance'!$AA$6:$AM$155,4,FALSE),""))</x:f>
      </x:c>
      <x:c r="D45" s="113" t="str">
        <x:f>IF($B$4="","",IFERROR(VLOOKUP($B$4&amp;"|"&amp;6,'11 Training Attendance'!$AA$6:$AM$155,5,FALSE),""))</x:f>
      </x:c>
      <x:c r="E45" s="112" t="str">
        <x:f>IF($B$4="","",IFERROR(VLOOKUP($B$4&amp;"|"&amp;6,'11 Training Attendance'!$AA$6:$AM$155,6,FALSE),""))</x:f>
      </x:c>
      <x:c r="F45" s="112" t="str">
        <x:f>IF($B$4="","",IFERROR(VLOOKUP($B$4&amp;"|"&amp;6,'11 Training Attendance'!$AA$6:$AM$155,7,FALSE),""))</x:f>
      </x:c>
      <x:c r="G45" s="112" t="str">
        <x:f>IF($B$4="","",IFERROR(VLOOKUP($B$4&amp;"|"&amp;6,'11 Training Attendance'!$AA$6:$AM$155,8,FALSE),""))</x:f>
      </x:c>
      <x:c r="H45" s="112" t="str">
        <x:f>IF($B$4="","",IFERROR(VLOOKUP($B$4&amp;"|"&amp;6,'11 Training Attendance'!$AA$6:$AM$155,9,FALSE),""))</x:f>
      </x:c>
      <x:c r="I45" s="112" t="str">
        <x:f>IF($B$4="","",IFERROR(VLOOKUP($B$4&amp;"|"&amp;6,'11 Training Attendance'!$AA$6:$AM$155,10,FALSE),""))</x:f>
      </x:c>
      <x:c r="J45" s="112" t="str">
        <x:f>IF($B$4="","",IFERROR(VLOOKUP($B$4&amp;"|"&amp;6,'11 Training Attendance'!$AA$6:$AM$155,11,FALSE),""))</x:f>
      </x:c>
      <x:c r="K45" s="112" t="str">
        <x:f>IF($B$4="","",IFERROR(VLOOKUP($B$4&amp;"|"&amp;6,'11 Training Attendance'!$AA$6:$AM$155,12,FALSE),""))</x:f>
      </x:c>
      <x:c r="L45" s="112" t="str">
        <x:f>IF($B$4="","",IFERROR(VLOOKUP($B$4&amp;"|"&amp;6,'11 Training Attendance'!$AA$6:$AM$155,13,FALSE),""))</x:f>
      </x:c>
    </x:row>
    <x:row r="46">
      <x:c r="A46" s="112" t="str">
        <x:f>IF($B$4="","",IFERROR(VLOOKUP($B$4&amp;"|"&amp;7,'11 Training Attendance'!$AA$6:$AM$155,2,FALSE),""))</x:f>
      </x:c>
      <x:c r="B46" s="112" t="str">
        <x:f>IF($B$4="","",IFERROR(VLOOKUP($B$4&amp;"|"&amp;7,'11 Training Attendance'!$AA$6:$AM$155,3,FALSE),""))</x:f>
      </x:c>
      <x:c r="C46" s="112" t="str">
        <x:f>IF($B$4="","",IFERROR(VLOOKUP($B$4&amp;"|"&amp;7,'11 Training Attendance'!$AA$6:$AM$155,4,FALSE),""))</x:f>
      </x:c>
      <x:c r="D46" s="113" t="str">
        <x:f>IF($B$4="","",IFERROR(VLOOKUP($B$4&amp;"|"&amp;7,'11 Training Attendance'!$AA$6:$AM$155,5,FALSE),""))</x:f>
      </x:c>
      <x:c r="E46" s="112" t="str">
        <x:f>IF($B$4="","",IFERROR(VLOOKUP($B$4&amp;"|"&amp;7,'11 Training Attendance'!$AA$6:$AM$155,6,FALSE),""))</x:f>
      </x:c>
      <x:c r="F46" s="112" t="str">
        <x:f>IF($B$4="","",IFERROR(VLOOKUP($B$4&amp;"|"&amp;7,'11 Training Attendance'!$AA$6:$AM$155,7,FALSE),""))</x:f>
      </x:c>
      <x:c r="G46" s="112" t="str">
        <x:f>IF($B$4="","",IFERROR(VLOOKUP($B$4&amp;"|"&amp;7,'11 Training Attendance'!$AA$6:$AM$155,8,FALSE),""))</x:f>
      </x:c>
      <x:c r="H46" s="112" t="str">
        <x:f>IF($B$4="","",IFERROR(VLOOKUP($B$4&amp;"|"&amp;7,'11 Training Attendance'!$AA$6:$AM$155,9,FALSE),""))</x:f>
      </x:c>
      <x:c r="I46" s="112" t="str">
        <x:f>IF($B$4="","",IFERROR(VLOOKUP($B$4&amp;"|"&amp;7,'11 Training Attendance'!$AA$6:$AM$155,10,FALSE),""))</x:f>
      </x:c>
      <x:c r="J46" s="112" t="str">
        <x:f>IF($B$4="","",IFERROR(VLOOKUP($B$4&amp;"|"&amp;7,'11 Training Attendance'!$AA$6:$AM$155,11,FALSE),""))</x:f>
      </x:c>
      <x:c r="K46" s="112" t="str">
        <x:f>IF($B$4="","",IFERROR(VLOOKUP($B$4&amp;"|"&amp;7,'11 Training Attendance'!$AA$6:$AM$155,12,FALSE),""))</x:f>
      </x:c>
      <x:c r="L46" s="112" t="str">
        <x:f>IF($B$4="","",IFERROR(VLOOKUP($B$4&amp;"|"&amp;7,'11 Training Attendance'!$AA$6:$AM$155,13,FALSE),""))</x:f>
      </x:c>
    </x:row>
    <x:row r="47">
      <x:c r="A47" s="112" t="str">
        <x:f>IF($B$4="","",IFERROR(VLOOKUP($B$4&amp;"|"&amp;8,'11 Training Attendance'!$AA$6:$AM$155,2,FALSE),""))</x:f>
      </x:c>
      <x:c r="B47" s="112" t="str">
        <x:f>IF($B$4="","",IFERROR(VLOOKUP($B$4&amp;"|"&amp;8,'11 Training Attendance'!$AA$6:$AM$155,3,FALSE),""))</x:f>
      </x:c>
      <x:c r="C47" s="112" t="str">
        <x:f>IF($B$4="","",IFERROR(VLOOKUP($B$4&amp;"|"&amp;8,'11 Training Attendance'!$AA$6:$AM$155,4,FALSE),""))</x:f>
      </x:c>
      <x:c r="D47" s="113" t="str">
        <x:f>IF($B$4="","",IFERROR(VLOOKUP($B$4&amp;"|"&amp;8,'11 Training Attendance'!$AA$6:$AM$155,5,FALSE),""))</x:f>
      </x:c>
      <x:c r="E47" s="112" t="str">
        <x:f>IF($B$4="","",IFERROR(VLOOKUP($B$4&amp;"|"&amp;8,'11 Training Attendance'!$AA$6:$AM$155,6,FALSE),""))</x:f>
      </x:c>
      <x:c r="F47" s="112" t="str">
        <x:f>IF($B$4="","",IFERROR(VLOOKUP($B$4&amp;"|"&amp;8,'11 Training Attendance'!$AA$6:$AM$155,7,FALSE),""))</x:f>
      </x:c>
      <x:c r="G47" s="112" t="str">
        <x:f>IF($B$4="","",IFERROR(VLOOKUP($B$4&amp;"|"&amp;8,'11 Training Attendance'!$AA$6:$AM$155,8,FALSE),""))</x:f>
      </x:c>
      <x:c r="H47" s="112" t="str">
        <x:f>IF($B$4="","",IFERROR(VLOOKUP($B$4&amp;"|"&amp;8,'11 Training Attendance'!$AA$6:$AM$155,9,FALSE),""))</x:f>
      </x:c>
      <x:c r="I47" s="112" t="str">
        <x:f>IF($B$4="","",IFERROR(VLOOKUP($B$4&amp;"|"&amp;8,'11 Training Attendance'!$AA$6:$AM$155,10,FALSE),""))</x:f>
      </x:c>
      <x:c r="J47" s="112" t="str">
        <x:f>IF($B$4="","",IFERROR(VLOOKUP($B$4&amp;"|"&amp;8,'11 Training Attendance'!$AA$6:$AM$155,11,FALSE),""))</x:f>
      </x:c>
      <x:c r="K47" s="112" t="str">
        <x:f>IF($B$4="","",IFERROR(VLOOKUP($B$4&amp;"|"&amp;8,'11 Training Attendance'!$AA$6:$AM$155,12,FALSE),""))</x:f>
      </x:c>
      <x:c r="L47" s="112" t="str">
        <x:f>IF($B$4="","",IFERROR(VLOOKUP($B$4&amp;"|"&amp;8,'11 Training Attendance'!$AA$6:$AM$155,13,FALSE),""))</x:f>
      </x:c>
    </x:row>
    <x:row r="48">
      <x:c r="A48" s="112" t="str">
        <x:f>IF($B$4="","",IFERROR(VLOOKUP($B$4&amp;"|"&amp;9,'11 Training Attendance'!$AA$6:$AM$155,2,FALSE),""))</x:f>
      </x:c>
      <x:c r="B48" s="112" t="str">
        <x:f>IF($B$4="","",IFERROR(VLOOKUP($B$4&amp;"|"&amp;9,'11 Training Attendance'!$AA$6:$AM$155,3,FALSE),""))</x:f>
      </x:c>
      <x:c r="C48" s="112" t="str">
        <x:f>IF($B$4="","",IFERROR(VLOOKUP($B$4&amp;"|"&amp;9,'11 Training Attendance'!$AA$6:$AM$155,4,FALSE),""))</x:f>
      </x:c>
      <x:c r="D48" s="113" t="str">
        <x:f>IF($B$4="","",IFERROR(VLOOKUP($B$4&amp;"|"&amp;9,'11 Training Attendance'!$AA$6:$AM$155,5,FALSE),""))</x:f>
      </x:c>
      <x:c r="E48" s="112" t="str">
        <x:f>IF($B$4="","",IFERROR(VLOOKUP($B$4&amp;"|"&amp;9,'11 Training Attendance'!$AA$6:$AM$155,6,FALSE),""))</x:f>
      </x:c>
      <x:c r="F48" s="112" t="str">
        <x:f>IF($B$4="","",IFERROR(VLOOKUP($B$4&amp;"|"&amp;9,'11 Training Attendance'!$AA$6:$AM$155,7,FALSE),""))</x:f>
      </x:c>
      <x:c r="G48" s="112" t="str">
        <x:f>IF($B$4="","",IFERROR(VLOOKUP($B$4&amp;"|"&amp;9,'11 Training Attendance'!$AA$6:$AM$155,8,FALSE),""))</x:f>
      </x:c>
      <x:c r="H48" s="112" t="str">
        <x:f>IF($B$4="","",IFERROR(VLOOKUP($B$4&amp;"|"&amp;9,'11 Training Attendance'!$AA$6:$AM$155,9,FALSE),""))</x:f>
      </x:c>
      <x:c r="I48" s="112" t="str">
        <x:f>IF($B$4="","",IFERROR(VLOOKUP($B$4&amp;"|"&amp;9,'11 Training Attendance'!$AA$6:$AM$155,10,FALSE),""))</x:f>
      </x:c>
      <x:c r="J48" s="112" t="str">
        <x:f>IF($B$4="","",IFERROR(VLOOKUP($B$4&amp;"|"&amp;9,'11 Training Attendance'!$AA$6:$AM$155,11,FALSE),""))</x:f>
      </x:c>
      <x:c r="K48" s="112" t="str">
        <x:f>IF($B$4="","",IFERROR(VLOOKUP($B$4&amp;"|"&amp;9,'11 Training Attendance'!$AA$6:$AM$155,12,FALSE),""))</x:f>
      </x:c>
      <x:c r="L48" s="112" t="str">
        <x:f>IF($B$4="","",IFERROR(VLOOKUP($B$4&amp;"|"&amp;9,'11 Training Attendance'!$AA$6:$AM$155,13,FALSE),""))</x:f>
      </x:c>
    </x:row>
    <x:row r="49">
      <x:c r="A49" s="112" t="str">
        <x:f>IF($B$4="","",IFERROR(VLOOKUP($B$4&amp;"|"&amp;10,'11 Training Attendance'!$AA$6:$AM$155,2,FALSE),""))</x:f>
      </x:c>
      <x:c r="B49" s="112" t="str">
        <x:f>IF($B$4="","",IFERROR(VLOOKUP($B$4&amp;"|"&amp;10,'11 Training Attendance'!$AA$6:$AM$155,3,FALSE),""))</x:f>
      </x:c>
      <x:c r="C49" s="112" t="str">
        <x:f>IF($B$4="","",IFERROR(VLOOKUP($B$4&amp;"|"&amp;10,'11 Training Attendance'!$AA$6:$AM$155,4,FALSE),""))</x:f>
      </x:c>
      <x:c r="D49" s="113" t="str">
        <x:f>IF($B$4="","",IFERROR(VLOOKUP($B$4&amp;"|"&amp;10,'11 Training Attendance'!$AA$6:$AM$155,5,FALSE),""))</x:f>
      </x:c>
      <x:c r="E49" s="112" t="str">
        <x:f>IF($B$4="","",IFERROR(VLOOKUP($B$4&amp;"|"&amp;10,'11 Training Attendance'!$AA$6:$AM$155,6,FALSE),""))</x:f>
      </x:c>
      <x:c r="F49" s="112" t="str">
        <x:f>IF($B$4="","",IFERROR(VLOOKUP($B$4&amp;"|"&amp;10,'11 Training Attendance'!$AA$6:$AM$155,7,FALSE),""))</x:f>
      </x:c>
      <x:c r="G49" s="112" t="str">
        <x:f>IF($B$4="","",IFERROR(VLOOKUP($B$4&amp;"|"&amp;10,'11 Training Attendance'!$AA$6:$AM$155,8,FALSE),""))</x:f>
      </x:c>
      <x:c r="H49" s="112" t="str">
        <x:f>IF($B$4="","",IFERROR(VLOOKUP($B$4&amp;"|"&amp;10,'11 Training Attendance'!$AA$6:$AM$155,9,FALSE),""))</x:f>
      </x:c>
      <x:c r="I49" s="112" t="str">
        <x:f>IF($B$4="","",IFERROR(VLOOKUP($B$4&amp;"|"&amp;10,'11 Training Attendance'!$AA$6:$AM$155,10,FALSE),""))</x:f>
      </x:c>
      <x:c r="J49" s="112" t="str">
        <x:f>IF($B$4="","",IFERROR(VLOOKUP($B$4&amp;"|"&amp;10,'11 Training Attendance'!$AA$6:$AM$155,11,FALSE),""))</x:f>
      </x:c>
      <x:c r="K49" s="112" t="str">
        <x:f>IF($B$4="","",IFERROR(VLOOKUP($B$4&amp;"|"&amp;10,'11 Training Attendance'!$AA$6:$AM$155,12,FALSE),""))</x:f>
      </x:c>
      <x:c r="L49" s="112" t="str">
        <x:f>IF($B$4="","",IFERROR(VLOOKUP($B$4&amp;"|"&amp;10,'11 Training Attendance'!$AA$6:$AM$155,13,FALSE),""))</x:f>
      </x:c>
    </x:row>
    <x:row r="50">
      <x:c r="A50" s="112" t="str">
        <x:f>IF($B$4="","",IFERROR(VLOOKUP($B$4&amp;"|"&amp;11,'11 Training Attendance'!$AA$6:$AM$155,2,FALSE),""))</x:f>
      </x:c>
      <x:c r="B50" s="112" t="str">
        <x:f>IF($B$4="","",IFERROR(VLOOKUP($B$4&amp;"|"&amp;11,'11 Training Attendance'!$AA$6:$AM$155,3,FALSE),""))</x:f>
      </x:c>
      <x:c r="C50" s="112" t="str">
        <x:f>IF($B$4="","",IFERROR(VLOOKUP($B$4&amp;"|"&amp;11,'11 Training Attendance'!$AA$6:$AM$155,4,FALSE),""))</x:f>
      </x:c>
      <x:c r="D50" s="113" t="str">
        <x:f>IF($B$4="","",IFERROR(VLOOKUP($B$4&amp;"|"&amp;11,'11 Training Attendance'!$AA$6:$AM$155,5,FALSE),""))</x:f>
      </x:c>
      <x:c r="E50" s="112" t="str">
        <x:f>IF($B$4="","",IFERROR(VLOOKUP($B$4&amp;"|"&amp;11,'11 Training Attendance'!$AA$6:$AM$155,6,FALSE),""))</x:f>
      </x:c>
      <x:c r="F50" s="112" t="str">
        <x:f>IF($B$4="","",IFERROR(VLOOKUP($B$4&amp;"|"&amp;11,'11 Training Attendance'!$AA$6:$AM$155,7,FALSE),""))</x:f>
      </x:c>
      <x:c r="G50" s="112" t="str">
        <x:f>IF($B$4="","",IFERROR(VLOOKUP($B$4&amp;"|"&amp;11,'11 Training Attendance'!$AA$6:$AM$155,8,FALSE),""))</x:f>
      </x:c>
      <x:c r="H50" s="112" t="str">
        <x:f>IF($B$4="","",IFERROR(VLOOKUP($B$4&amp;"|"&amp;11,'11 Training Attendance'!$AA$6:$AM$155,9,FALSE),""))</x:f>
      </x:c>
      <x:c r="I50" s="112" t="str">
        <x:f>IF($B$4="","",IFERROR(VLOOKUP($B$4&amp;"|"&amp;11,'11 Training Attendance'!$AA$6:$AM$155,10,FALSE),""))</x:f>
      </x:c>
      <x:c r="J50" s="112" t="str">
        <x:f>IF($B$4="","",IFERROR(VLOOKUP($B$4&amp;"|"&amp;11,'11 Training Attendance'!$AA$6:$AM$155,11,FALSE),""))</x:f>
      </x:c>
      <x:c r="K50" s="112" t="str">
        <x:f>IF($B$4="","",IFERROR(VLOOKUP($B$4&amp;"|"&amp;11,'11 Training Attendance'!$AA$6:$AM$155,12,FALSE),""))</x:f>
      </x:c>
      <x:c r="L50" s="112" t="str">
        <x:f>IF($B$4="","",IFERROR(VLOOKUP($B$4&amp;"|"&amp;11,'11 Training Attendance'!$AA$6:$AM$155,13,FALSE),""))</x:f>
      </x:c>
    </x:row>
    <x:row r="51">
      <x:c r="A51" s="112" t="str">
        <x:f>IF($B$4="","",IFERROR(VLOOKUP($B$4&amp;"|"&amp;12,'11 Training Attendance'!$AA$6:$AM$155,2,FALSE),""))</x:f>
      </x:c>
      <x:c r="B51" s="112" t="str">
        <x:f>IF($B$4="","",IFERROR(VLOOKUP($B$4&amp;"|"&amp;12,'11 Training Attendance'!$AA$6:$AM$155,3,FALSE),""))</x:f>
      </x:c>
      <x:c r="C51" s="112" t="str">
        <x:f>IF($B$4="","",IFERROR(VLOOKUP($B$4&amp;"|"&amp;12,'11 Training Attendance'!$AA$6:$AM$155,4,FALSE),""))</x:f>
      </x:c>
      <x:c r="D51" s="113" t="str">
        <x:f>IF($B$4="","",IFERROR(VLOOKUP($B$4&amp;"|"&amp;12,'11 Training Attendance'!$AA$6:$AM$155,5,FALSE),""))</x:f>
      </x:c>
      <x:c r="E51" s="112" t="str">
        <x:f>IF($B$4="","",IFERROR(VLOOKUP($B$4&amp;"|"&amp;12,'11 Training Attendance'!$AA$6:$AM$155,6,FALSE),""))</x:f>
      </x:c>
      <x:c r="F51" s="112" t="str">
        <x:f>IF($B$4="","",IFERROR(VLOOKUP($B$4&amp;"|"&amp;12,'11 Training Attendance'!$AA$6:$AM$155,7,FALSE),""))</x:f>
      </x:c>
      <x:c r="G51" s="112" t="str">
        <x:f>IF($B$4="","",IFERROR(VLOOKUP($B$4&amp;"|"&amp;12,'11 Training Attendance'!$AA$6:$AM$155,8,FALSE),""))</x:f>
      </x:c>
      <x:c r="H51" s="112" t="str">
        <x:f>IF($B$4="","",IFERROR(VLOOKUP($B$4&amp;"|"&amp;12,'11 Training Attendance'!$AA$6:$AM$155,9,FALSE),""))</x:f>
      </x:c>
      <x:c r="I51" s="112" t="str">
        <x:f>IF($B$4="","",IFERROR(VLOOKUP($B$4&amp;"|"&amp;12,'11 Training Attendance'!$AA$6:$AM$155,10,FALSE),""))</x:f>
      </x:c>
      <x:c r="J51" s="112" t="str">
        <x:f>IF($B$4="","",IFERROR(VLOOKUP($B$4&amp;"|"&amp;12,'11 Training Attendance'!$AA$6:$AM$155,11,FALSE),""))</x:f>
      </x:c>
      <x:c r="K51" s="112" t="str">
        <x:f>IF($B$4="","",IFERROR(VLOOKUP($B$4&amp;"|"&amp;12,'11 Training Attendance'!$AA$6:$AM$155,12,FALSE),""))</x:f>
      </x:c>
      <x:c r="L51" s="112" t="str">
        <x:f>IF($B$4="","",IFERROR(VLOOKUP($B$4&amp;"|"&amp;12,'11 Training Attendance'!$AA$6:$AM$155,13,FALSE),""))</x:f>
      </x:c>
    </x:row>
    <x:row r="52">
      <x:c r="A52" s="112" t="str">
        <x:f>IF($B$4="","",IFERROR(VLOOKUP($B$4&amp;"|"&amp;13,'11 Training Attendance'!$AA$6:$AM$155,2,FALSE),""))</x:f>
      </x:c>
      <x:c r="B52" s="112" t="str">
        <x:f>IF($B$4="","",IFERROR(VLOOKUP($B$4&amp;"|"&amp;13,'11 Training Attendance'!$AA$6:$AM$155,3,FALSE),""))</x:f>
      </x:c>
      <x:c r="C52" s="112" t="str">
        <x:f>IF($B$4="","",IFERROR(VLOOKUP($B$4&amp;"|"&amp;13,'11 Training Attendance'!$AA$6:$AM$155,4,FALSE),""))</x:f>
      </x:c>
      <x:c r="D52" s="113" t="str">
        <x:f>IF($B$4="","",IFERROR(VLOOKUP($B$4&amp;"|"&amp;13,'11 Training Attendance'!$AA$6:$AM$155,5,FALSE),""))</x:f>
      </x:c>
      <x:c r="E52" s="112" t="str">
        <x:f>IF($B$4="","",IFERROR(VLOOKUP($B$4&amp;"|"&amp;13,'11 Training Attendance'!$AA$6:$AM$155,6,FALSE),""))</x:f>
      </x:c>
      <x:c r="F52" s="112" t="str">
        <x:f>IF($B$4="","",IFERROR(VLOOKUP($B$4&amp;"|"&amp;13,'11 Training Attendance'!$AA$6:$AM$155,7,FALSE),""))</x:f>
      </x:c>
      <x:c r="G52" s="112" t="str">
        <x:f>IF($B$4="","",IFERROR(VLOOKUP($B$4&amp;"|"&amp;13,'11 Training Attendance'!$AA$6:$AM$155,8,FALSE),""))</x:f>
      </x:c>
      <x:c r="H52" s="112" t="str">
        <x:f>IF($B$4="","",IFERROR(VLOOKUP($B$4&amp;"|"&amp;13,'11 Training Attendance'!$AA$6:$AM$155,9,FALSE),""))</x:f>
      </x:c>
      <x:c r="I52" s="112" t="str">
        <x:f>IF($B$4="","",IFERROR(VLOOKUP($B$4&amp;"|"&amp;13,'11 Training Attendance'!$AA$6:$AM$155,10,FALSE),""))</x:f>
      </x:c>
      <x:c r="J52" s="112" t="str">
        <x:f>IF($B$4="","",IFERROR(VLOOKUP($B$4&amp;"|"&amp;13,'11 Training Attendance'!$AA$6:$AM$155,11,FALSE),""))</x:f>
      </x:c>
      <x:c r="K52" s="112" t="str">
        <x:f>IF($B$4="","",IFERROR(VLOOKUP($B$4&amp;"|"&amp;13,'11 Training Attendance'!$AA$6:$AM$155,12,FALSE),""))</x:f>
      </x:c>
      <x:c r="L52" s="112" t="str">
        <x:f>IF($B$4="","",IFERROR(VLOOKUP($B$4&amp;"|"&amp;13,'11 Training Attendance'!$AA$6:$AM$155,13,FALSE),""))</x:f>
      </x:c>
    </x:row>
    <x:row r="53">
      <x:c r="A53" s="112" t="str">
        <x:f>IF($B$4="","",IFERROR(VLOOKUP($B$4&amp;"|"&amp;14,'11 Training Attendance'!$AA$6:$AM$155,2,FALSE),""))</x:f>
      </x:c>
      <x:c r="B53" s="112" t="str">
        <x:f>IF($B$4="","",IFERROR(VLOOKUP($B$4&amp;"|"&amp;14,'11 Training Attendance'!$AA$6:$AM$155,3,FALSE),""))</x:f>
      </x:c>
      <x:c r="C53" s="112" t="str">
        <x:f>IF($B$4="","",IFERROR(VLOOKUP($B$4&amp;"|"&amp;14,'11 Training Attendance'!$AA$6:$AM$155,4,FALSE),""))</x:f>
      </x:c>
      <x:c r="D53" s="113" t="str">
        <x:f>IF($B$4="","",IFERROR(VLOOKUP($B$4&amp;"|"&amp;14,'11 Training Attendance'!$AA$6:$AM$155,5,FALSE),""))</x:f>
      </x:c>
      <x:c r="E53" s="112" t="str">
        <x:f>IF($B$4="","",IFERROR(VLOOKUP($B$4&amp;"|"&amp;14,'11 Training Attendance'!$AA$6:$AM$155,6,FALSE),""))</x:f>
      </x:c>
      <x:c r="F53" s="112" t="str">
        <x:f>IF($B$4="","",IFERROR(VLOOKUP($B$4&amp;"|"&amp;14,'11 Training Attendance'!$AA$6:$AM$155,7,FALSE),""))</x:f>
      </x:c>
      <x:c r="G53" s="112" t="str">
        <x:f>IF($B$4="","",IFERROR(VLOOKUP($B$4&amp;"|"&amp;14,'11 Training Attendance'!$AA$6:$AM$155,8,FALSE),""))</x:f>
      </x:c>
      <x:c r="H53" s="112" t="str">
        <x:f>IF($B$4="","",IFERROR(VLOOKUP($B$4&amp;"|"&amp;14,'11 Training Attendance'!$AA$6:$AM$155,9,FALSE),""))</x:f>
      </x:c>
      <x:c r="I53" s="112" t="str">
        <x:f>IF($B$4="","",IFERROR(VLOOKUP($B$4&amp;"|"&amp;14,'11 Training Attendance'!$AA$6:$AM$155,10,FALSE),""))</x:f>
      </x:c>
      <x:c r="J53" s="112" t="str">
        <x:f>IF($B$4="","",IFERROR(VLOOKUP($B$4&amp;"|"&amp;14,'11 Training Attendance'!$AA$6:$AM$155,11,FALSE),""))</x:f>
      </x:c>
      <x:c r="K53" s="112" t="str">
        <x:f>IF($B$4="","",IFERROR(VLOOKUP($B$4&amp;"|"&amp;14,'11 Training Attendance'!$AA$6:$AM$155,12,FALSE),""))</x:f>
      </x:c>
      <x:c r="L53" s="112" t="str">
        <x:f>IF($B$4="","",IFERROR(VLOOKUP($B$4&amp;"|"&amp;14,'11 Training Attendance'!$AA$6:$AM$155,13,FALSE),""))</x:f>
      </x:c>
    </x:row>
    <x:row r="54">
      <x:c r="A54" s="112" t="str">
        <x:f>IF($B$4="","",IFERROR(VLOOKUP($B$4&amp;"|"&amp;15,'11 Training Attendance'!$AA$6:$AM$155,2,FALSE),""))</x:f>
      </x:c>
      <x:c r="B54" s="112" t="str">
        <x:f>IF($B$4="","",IFERROR(VLOOKUP($B$4&amp;"|"&amp;15,'11 Training Attendance'!$AA$6:$AM$155,3,FALSE),""))</x:f>
      </x:c>
      <x:c r="C54" s="112" t="str">
        <x:f>IF($B$4="","",IFERROR(VLOOKUP($B$4&amp;"|"&amp;15,'11 Training Attendance'!$AA$6:$AM$155,4,FALSE),""))</x:f>
      </x:c>
      <x:c r="D54" s="113" t="str">
        <x:f>IF($B$4="","",IFERROR(VLOOKUP($B$4&amp;"|"&amp;15,'11 Training Attendance'!$AA$6:$AM$155,5,FALSE),""))</x:f>
      </x:c>
      <x:c r="E54" s="112" t="str">
        <x:f>IF($B$4="","",IFERROR(VLOOKUP($B$4&amp;"|"&amp;15,'11 Training Attendance'!$AA$6:$AM$155,6,FALSE),""))</x:f>
      </x:c>
      <x:c r="F54" s="112" t="str">
        <x:f>IF($B$4="","",IFERROR(VLOOKUP($B$4&amp;"|"&amp;15,'11 Training Attendance'!$AA$6:$AM$155,7,FALSE),""))</x:f>
      </x:c>
      <x:c r="G54" s="112" t="str">
        <x:f>IF($B$4="","",IFERROR(VLOOKUP($B$4&amp;"|"&amp;15,'11 Training Attendance'!$AA$6:$AM$155,8,FALSE),""))</x:f>
      </x:c>
      <x:c r="H54" s="112" t="str">
        <x:f>IF($B$4="","",IFERROR(VLOOKUP($B$4&amp;"|"&amp;15,'11 Training Attendance'!$AA$6:$AM$155,9,FALSE),""))</x:f>
      </x:c>
      <x:c r="I54" s="112" t="str">
        <x:f>IF($B$4="","",IFERROR(VLOOKUP($B$4&amp;"|"&amp;15,'11 Training Attendance'!$AA$6:$AM$155,10,FALSE),""))</x:f>
      </x:c>
      <x:c r="J54" s="112" t="str">
        <x:f>IF($B$4="","",IFERROR(VLOOKUP($B$4&amp;"|"&amp;15,'11 Training Attendance'!$AA$6:$AM$155,11,FALSE),""))</x:f>
      </x:c>
      <x:c r="K54" s="112" t="str">
        <x:f>IF($B$4="","",IFERROR(VLOOKUP($B$4&amp;"|"&amp;15,'11 Training Attendance'!$AA$6:$AM$155,12,FALSE),""))</x:f>
      </x:c>
      <x:c r="L54" s="112" t="str">
        <x:f>IF($B$4="","",IFERROR(VLOOKUP($B$4&amp;"|"&amp;15,'11 Training Attendance'!$AA$6:$AM$155,13,FALSE),""))</x:f>
      </x:c>
    </x:row>
    <x:row r="55">
      <x:c r="A55" s="112" t="str">
        <x:f>IF($B$4="","",IFERROR(VLOOKUP($B$4&amp;"|"&amp;16,'11 Training Attendance'!$AA$6:$AM$155,2,FALSE),""))</x:f>
      </x:c>
      <x:c r="B55" s="112" t="str">
        <x:f>IF($B$4="","",IFERROR(VLOOKUP($B$4&amp;"|"&amp;16,'11 Training Attendance'!$AA$6:$AM$155,3,FALSE),""))</x:f>
      </x:c>
      <x:c r="C55" s="112" t="str">
        <x:f>IF($B$4="","",IFERROR(VLOOKUP($B$4&amp;"|"&amp;16,'11 Training Attendance'!$AA$6:$AM$155,4,FALSE),""))</x:f>
      </x:c>
      <x:c r="D55" s="113" t="str">
        <x:f>IF($B$4="","",IFERROR(VLOOKUP($B$4&amp;"|"&amp;16,'11 Training Attendance'!$AA$6:$AM$155,5,FALSE),""))</x:f>
      </x:c>
      <x:c r="E55" s="112" t="str">
        <x:f>IF($B$4="","",IFERROR(VLOOKUP($B$4&amp;"|"&amp;16,'11 Training Attendance'!$AA$6:$AM$155,6,FALSE),""))</x:f>
      </x:c>
      <x:c r="F55" s="112" t="str">
        <x:f>IF($B$4="","",IFERROR(VLOOKUP($B$4&amp;"|"&amp;16,'11 Training Attendance'!$AA$6:$AM$155,7,FALSE),""))</x:f>
      </x:c>
      <x:c r="G55" s="112" t="str">
        <x:f>IF($B$4="","",IFERROR(VLOOKUP($B$4&amp;"|"&amp;16,'11 Training Attendance'!$AA$6:$AM$155,8,FALSE),""))</x:f>
      </x:c>
      <x:c r="H55" s="112" t="str">
        <x:f>IF($B$4="","",IFERROR(VLOOKUP($B$4&amp;"|"&amp;16,'11 Training Attendance'!$AA$6:$AM$155,9,FALSE),""))</x:f>
      </x:c>
      <x:c r="I55" s="112" t="str">
        <x:f>IF($B$4="","",IFERROR(VLOOKUP($B$4&amp;"|"&amp;16,'11 Training Attendance'!$AA$6:$AM$155,10,FALSE),""))</x:f>
      </x:c>
      <x:c r="J55" s="112" t="str">
        <x:f>IF($B$4="","",IFERROR(VLOOKUP($B$4&amp;"|"&amp;16,'11 Training Attendance'!$AA$6:$AM$155,11,FALSE),""))</x:f>
      </x:c>
      <x:c r="K55" s="112" t="str">
        <x:f>IF($B$4="","",IFERROR(VLOOKUP($B$4&amp;"|"&amp;16,'11 Training Attendance'!$AA$6:$AM$155,12,FALSE),""))</x:f>
      </x:c>
      <x:c r="L55" s="112" t="str">
        <x:f>IF($B$4="","",IFERROR(VLOOKUP($B$4&amp;"|"&amp;16,'11 Training Attendance'!$AA$6:$AM$155,13,FALSE),""))</x:f>
      </x:c>
    </x:row>
    <x:row r="56">
      <x:c r="A56" s="112" t="str">
        <x:f>IF($B$4="","",IFERROR(VLOOKUP($B$4&amp;"|"&amp;17,'11 Training Attendance'!$AA$6:$AM$155,2,FALSE),""))</x:f>
      </x:c>
      <x:c r="B56" s="112" t="str">
        <x:f>IF($B$4="","",IFERROR(VLOOKUP($B$4&amp;"|"&amp;17,'11 Training Attendance'!$AA$6:$AM$155,3,FALSE),""))</x:f>
      </x:c>
      <x:c r="C56" s="112" t="str">
        <x:f>IF($B$4="","",IFERROR(VLOOKUP($B$4&amp;"|"&amp;17,'11 Training Attendance'!$AA$6:$AM$155,4,FALSE),""))</x:f>
      </x:c>
      <x:c r="D56" s="113" t="str">
        <x:f>IF($B$4="","",IFERROR(VLOOKUP($B$4&amp;"|"&amp;17,'11 Training Attendance'!$AA$6:$AM$155,5,FALSE),""))</x:f>
      </x:c>
      <x:c r="E56" s="112" t="str">
        <x:f>IF($B$4="","",IFERROR(VLOOKUP($B$4&amp;"|"&amp;17,'11 Training Attendance'!$AA$6:$AM$155,6,FALSE),""))</x:f>
      </x:c>
      <x:c r="F56" s="112" t="str">
        <x:f>IF($B$4="","",IFERROR(VLOOKUP($B$4&amp;"|"&amp;17,'11 Training Attendance'!$AA$6:$AM$155,7,FALSE),""))</x:f>
      </x:c>
      <x:c r="G56" s="112" t="str">
        <x:f>IF($B$4="","",IFERROR(VLOOKUP($B$4&amp;"|"&amp;17,'11 Training Attendance'!$AA$6:$AM$155,8,FALSE),""))</x:f>
      </x:c>
      <x:c r="H56" s="112" t="str">
        <x:f>IF($B$4="","",IFERROR(VLOOKUP($B$4&amp;"|"&amp;17,'11 Training Attendance'!$AA$6:$AM$155,9,FALSE),""))</x:f>
      </x:c>
      <x:c r="I56" s="112" t="str">
        <x:f>IF($B$4="","",IFERROR(VLOOKUP($B$4&amp;"|"&amp;17,'11 Training Attendance'!$AA$6:$AM$155,10,FALSE),""))</x:f>
      </x:c>
      <x:c r="J56" s="112" t="str">
        <x:f>IF($B$4="","",IFERROR(VLOOKUP($B$4&amp;"|"&amp;17,'11 Training Attendance'!$AA$6:$AM$155,11,FALSE),""))</x:f>
      </x:c>
      <x:c r="K56" s="112" t="str">
        <x:f>IF($B$4="","",IFERROR(VLOOKUP($B$4&amp;"|"&amp;17,'11 Training Attendance'!$AA$6:$AM$155,12,FALSE),""))</x:f>
      </x:c>
      <x:c r="L56" s="112" t="str">
        <x:f>IF($B$4="","",IFERROR(VLOOKUP($B$4&amp;"|"&amp;17,'11 Training Attendance'!$AA$6:$AM$155,13,FALSE),""))</x:f>
      </x:c>
    </x:row>
    <x:row r="57">
      <x:c r="A57" s="112" t="str">
        <x:f>IF($B$4="","",IFERROR(VLOOKUP($B$4&amp;"|"&amp;18,'11 Training Attendance'!$AA$6:$AM$155,2,FALSE),""))</x:f>
      </x:c>
      <x:c r="B57" s="112" t="str">
        <x:f>IF($B$4="","",IFERROR(VLOOKUP($B$4&amp;"|"&amp;18,'11 Training Attendance'!$AA$6:$AM$155,3,FALSE),""))</x:f>
      </x:c>
      <x:c r="C57" s="112" t="str">
        <x:f>IF($B$4="","",IFERROR(VLOOKUP($B$4&amp;"|"&amp;18,'11 Training Attendance'!$AA$6:$AM$155,4,FALSE),""))</x:f>
      </x:c>
      <x:c r="D57" s="113" t="str">
        <x:f>IF($B$4="","",IFERROR(VLOOKUP($B$4&amp;"|"&amp;18,'11 Training Attendance'!$AA$6:$AM$155,5,FALSE),""))</x:f>
      </x:c>
      <x:c r="E57" s="112" t="str">
        <x:f>IF($B$4="","",IFERROR(VLOOKUP($B$4&amp;"|"&amp;18,'11 Training Attendance'!$AA$6:$AM$155,6,FALSE),""))</x:f>
      </x:c>
      <x:c r="F57" s="112" t="str">
        <x:f>IF($B$4="","",IFERROR(VLOOKUP($B$4&amp;"|"&amp;18,'11 Training Attendance'!$AA$6:$AM$155,7,FALSE),""))</x:f>
      </x:c>
      <x:c r="G57" s="112" t="str">
        <x:f>IF($B$4="","",IFERROR(VLOOKUP($B$4&amp;"|"&amp;18,'11 Training Attendance'!$AA$6:$AM$155,8,FALSE),""))</x:f>
      </x:c>
      <x:c r="H57" s="112" t="str">
        <x:f>IF($B$4="","",IFERROR(VLOOKUP($B$4&amp;"|"&amp;18,'11 Training Attendance'!$AA$6:$AM$155,9,FALSE),""))</x:f>
      </x:c>
      <x:c r="I57" s="112" t="str">
        <x:f>IF($B$4="","",IFERROR(VLOOKUP($B$4&amp;"|"&amp;18,'11 Training Attendance'!$AA$6:$AM$155,10,FALSE),""))</x:f>
      </x:c>
      <x:c r="J57" s="112" t="str">
        <x:f>IF($B$4="","",IFERROR(VLOOKUP($B$4&amp;"|"&amp;18,'11 Training Attendance'!$AA$6:$AM$155,11,FALSE),""))</x:f>
      </x:c>
      <x:c r="K57" s="112" t="str">
        <x:f>IF($B$4="","",IFERROR(VLOOKUP($B$4&amp;"|"&amp;18,'11 Training Attendance'!$AA$6:$AM$155,12,FALSE),""))</x:f>
      </x:c>
      <x:c r="L57" s="112" t="str">
        <x:f>IF($B$4="","",IFERROR(VLOOKUP($B$4&amp;"|"&amp;18,'11 Training Attendance'!$AA$6:$AM$155,13,FALSE),""))</x:f>
      </x:c>
    </x:row>
    <x:row r="58">
      <x:c r="A58" s="112" t="str">
        <x:f>IF($B$4="","",IFERROR(VLOOKUP($B$4&amp;"|"&amp;19,'11 Training Attendance'!$AA$6:$AM$155,2,FALSE),""))</x:f>
      </x:c>
      <x:c r="B58" s="112" t="str">
        <x:f>IF($B$4="","",IFERROR(VLOOKUP($B$4&amp;"|"&amp;19,'11 Training Attendance'!$AA$6:$AM$155,3,FALSE),""))</x:f>
      </x:c>
      <x:c r="C58" s="112" t="str">
        <x:f>IF($B$4="","",IFERROR(VLOOKUP($B$4&amp;"|"&amp;19,'11 Training Attendance'!$AA$6:$AM$155,4,FALSE),""))</x:f>
      </x:c>
      <x:c r="D58" s="113" t="str">
        <x:f>IF($B$4="","",IFERROR(VLOOKUP($B$4&amp;"|"&amp;19,'11 Training Attendance'!$AA$6:$AM$155,5,FALSE),""))</x:f>
      </x:c>
      <x:c r="E58" s="112" t="str">
        <x:f>IF($B$4="","",IFERROR(VLOOKUP($B$4&amp;"|"&amp;19,'11 Training Attendance'!$AA$6:$AM$155,6,FALSE),""))</x:f>
      </x:c>
      <x:c r="F58" s="112" t="str">
        <x:f>IF($B$4="","",IFERROR(VLOOKUP($B$4&amp;"|"&amp;19,'11 Training Attendance'!$AA$6:$AM$155,7,FALSE),""))</x:f>
      </x:c>
      <x:c r="G58" s="112" t="str">
        <x:f>IF($B$4="","",IFERROR(VLOOKUP($B$4&amp;"|"&amp;19,'11 Training Attendance'!$AA$6:$AM$155,8,FALSE),""))</x:f>
      </x:c>
      <x:c r="H58" s="112" t="str">
        <x:f>IF($B$4="","",IFERROR(VLOOKUP($B$4&amp;"|"&amp;19,'11 Training Attendance'!$AA$6:$AM$155,9,FALSE),""))</x:f>
      </x:c>
      <x:c r="I58" s="112" t="str">
        <x:f>IF($B$4="","",IFERROR(VLOOKUP($B$4&amp;"|"&amp;19,'11 Training Attendance'!$AA$6:$AM$155,10,FALSE),""))</x:f>
      </x:c>
      <x:c r="J58" s="112" t="str">
        <x:f>IF($B$4="","",IFERROR(VLOOKUP($B$4&amp;"|"&amp;19,'11 Training Attendance'!$AA$6:$AM$155,11,FALSE),""))</x:f>
      </x:c>
      <x:c r="K58" s="112" t="str">
        <x:f>IF($B$4="","",IFERROR(VLOOKUP($B$4&amp;"|"&amp;19,'11 Training Attendance'!$AA$6:$AM$155,12,FALSE),""))</x:f>
      </x:c>
      <x:c r="L58" s="112" t="str">
        <x:f>IF($B$4="","",IFERROR(VLOOKUP($B$4&amp;"|"&amp;19,'11 Training Attendance'!$AA$6:$AM$155,13,FALSE),""))</x:f>
      </x:c>
    </x:row>
    <x:row r="59">
      <x:c r="A59" s="112" t="str">
        <x:f>IF($B$4="","",IFERROR(VLOOKUP($B$4&amp;"|"&amp;20,'11 Training Attendance'!$AA$6:$AM$155,2,FALSE),""))</x:f>
      </x:c>
      <x:c r="B59" s="112" t="str">
        <x:f>IF($B$4="","",IFERROR(VLOOKUP($B$4&amp;"|"&amp;20,'11 Training Attendance'!$AA$6:$AM$155,3,FALSE),""))</x:f>
      </x:c>
      <x:c r="C59" s="112" t="str">
        <x:f>IF($B$4="","",IFERROR(VLOOKUP($B$4&amp;"|"&amp;20,'11 Training Attendance'!$AA$6:$AM$155,4,FALSE),""))</x:f>
      </x:c>
      <x:c r="D59" s="113" t="str">
        <x:f>IF($B$4="","",IFERROR(VLOOKUP($B$4&amp;"|"&amp;20,'11 Training Attendance'!$AA$6:$AM$155,5,FALSE),""))</x:f>
      </x:c>
      <x:c r="E59" s="112" t="str">
        <x:f>IF($B$4="","",IFERROR(VLOOKUP($B$4&amp;"|"&amp;20,'11 Training Attendance'!$AA$6:$AM$155,6,FALSE),""))</x:f>
      </x:c>
      <x:c r="F59" s="112" t="str">
        <x:f>IF($B$4="","",IFERROR(VLOOKUP($B$4&amp;"|"&amp;20,'11 Training Attendance'!$AA$6:$AM$155,7,FALSE),""))</x:f>
      </x:c>
      <x:c r="G59" s="112" t="str">
        <x:f>IF($B$4="","",IFERROR(VLOOKUP($B$4&amp;"|"&amp;20,'11 Training Attendance'!$AA$6:$AM$155,8,FALSE),""))</x:f>
      </x:c>
      <x:c r="H59" s="112" t="str">
        <x:f>IF($B$4="","",IFERROR(VLOOKUP($B$4&amp;"|"&amp;20,'11 Training Attendance'!$AA$6:$AM$155,9,FALSE),""))</x:f>
      </x:c>
      <x:c r="I59" s="112" t="str">
        <x:f>IF($B$4="","",IFERROR(VLOOKUP($B$4&amp;"|"&amp;20,'11 Training Attendance'!$AA$6:$AM$155,10,FALSE),""))</x:f>
      </x:c>
      <x:c r="J59" s="112" t="str">
        <x:f>IF($B$4="","",IFERROR(VLOOKUP($B$4&amp;"|"&amp;20,'11 Training Attendance'!$AA$6:$AM$155,11,FALSE),""))</x:f>
      </x:c>
      <x:c r="K59" s="112" t="str">
        <x:f>IF($B$4="","",IFERROR(VLOOKUP($B$4&amp;"|"&amp;20,'11 Training Attendance'!$AA$6:$AM$155,12,FALSE),""))</x:f>
      </x:c>
      <x:c r="L59" s="112" t="str">
        <x:f>IF($B$4="","",IFERROR(VLOOKUP($B$4&amp;"|"&amp;20,'11 Training Attendance'!$AA$6:$AM$155,13,FALSE),""))</x:f>
      </x:c>
    </x:row>
    <x:row r="60">
      <x:c r="A60" s="112" t="str">
        <x:f>IF($B$4="","",IFERROR(VLOOKUP($B$4&amp;"|"&amp;21,'11 Training Attendance'!$AA$6:$AM$155,2,FALSE),""))</x:f>
      </x:c>
      <x:c r="B60" s="112" t="str">
        <x:f>IF($B$4="","",IFERROR(VLOOKUP($B$4&amp;"|"&amp;21,'11 Training Attendance'!$AA$6:$AM$155,3,FALSE),""))</x:f>
      </x:c>
      <x:c r="C60" s="112" t="str">
        <x:f>IF($B$4="","",IFERROR(VLOOKUP($B$4&amp;"|"&amp;21,'11 Training Attendance'!$AA$6:$AM$155,4,FALSE),""))</x:f>
      </x:c>
      <x:c r="D60" s="113" t="str">
        <x:f>IF($B$4="","",IFERROR(VLOOKUP($B$4&amp;"|"&amp;21,'11 Training Attendance'!$AA$6:$AM$155,5,FALSE),""))</x:f>
      </x:c>
      <x:c r="E60" s="112" t="str">
        <x:f>IF($B$4="","",IFERROR(VLOOKUP($B$4&amp;"|"&amp;21,'11 Training Attendance'!$AA$6:$AM$155,6,FALSE),""))</x:f>
      </x:c>
      <x:c r="F60" s="112" t="str">
        <x:f>IF($B$4="","",IFERROR(VLOOKUP($B$4&amp;"|"&amp;21,'11 Training Attendance'!$AA$6:$AM$155,7,FALSE),""))</x:f>
      </x:c>
      <x:c r="G60" s="112" t="str">
        <x:f>IF($B$4="","",IFERROR(VLOOKUP($B$4&amp;"|"&amp;21,'11 Training Attendance'!$AA$6:$AM$155,8,FALSE),""))</x:f>
      </x:c>
      <x:c r="H60" s="112" t="str">
        <x:f>IF($B$4="","",IFERROR(VLOOKUP($B$4&amp;"|"&amp;21,'11 Training Attendance'!$AA$6:$AM$155,9,FALSE),""))</x:f>
      </x:c>
      <x:c r="I60" s="112" t="str">
        <x:f>IF($B$4="","",IFERROR(VLOOKUP($B$4&amp;"|"&amp;21,'11 Training Attendance'!$AA$6:$AM$155,10,FALSE),""))</x:f>
      </x:c>
      <x:c r="J60" s="112" t="str">
        <x:f>IF($B$4="","",IFERROR(VLOOKUP($B$4&amp;"|"&amp;21,'11 Training Attendance'!$AA$6:$AM$155,11,FALSE),""))</x:f>
      </x:c>
      <x:c r="K60" s="112" t="str">
        <x:f>IF($B$4="","",IFERROR(VLOOKUP($B$4&amp;"|"&amp;21,'11 Training Attendance'!$AA$6:$AM$155,12,FALSE),""))</x:f>
      </x:c>
      <x:c r="L60" s="112" t="str">
        <x:f>IF($B$4="","",IFERROR(VLOOKUP($B$4&amp;"|"&amp;21,'11 Training Attendance'!$AA$6:$AM$155,13,FALSE),""))</x:f>
      </x:c>
    </x:row>
    <x:row r="61">
      <x:c r="A61" s="112" t="str">
        <x:f>IF($B$4="","",IFERROR(VLOOKUP($B$4&amp;"|"&amp;22,'11 Training Attendance'!$AA$6:$AM$155,2,FALSE),""))</x:f>
      </x:c>
      <x:c r="B61" s="112" t="str">
        <x:f>IF($B$4="","",IFERROR(VLOOKUP($B$4&amp;"|"&amp;22,'11 Training Attendance'!$AA$6:$AM$155,3,FALSE),""))</x:f>
      </x:c>
      <x:c r="C61" s="112" t="str">
        <x:f>IF($B$4="","",IFERROR(VLOOKUP($B$4&amp;"|"&amp;22,'11 Training Attendance'!$AA$6:$AM$155,4,FALSE),""))</x:f>
      </x:c>
      <x:c r="D61" s="113" t="str">
        <x:f>IF($B$4="","",IFERROR(VLOOKUP($B$4&amp;"|"&amp;22,'11 Training Attendance'!$AA$6:$AM$155,5,FALSE),""))</x:f>
      </x:c>
      <x:c r="E61" s="112" t="str">
        <x:f>IF($B$4="","",IFERROR(VLOOKUP($B$4&amp;"|"&amp;22,'11 Training Attendance'!$AA$6:$AM$155,6,FALSE),""))</x:f>
      </x:c>
      <x:c r="F61" s="112" t="str">
        <x:f>IF($B$4="","",IFERROR(VLOOKUP($B$4&amp;"|"&amp;22,'11 Training Attendance'!$AA$6:$AM$155,7,FALSE),""))</x:f>
      </x:c>
      <x:c r="G61" s="112" t="str">
        <x:f>IF($B$4="","",IFERROR(VLOOKUP($B$4&amp;"|"&amp;22,'11 Training Attendance'!$AA$6:$AM$155,8,FALSE),""))</x:f>
      </x:c>
      <x:c r="H61" s="112" t="str">
        <x:f>IF($B$4="","",IFERROR(VLOOKUP($B$4&amp;"|"&amp;22,'11 Training Attendance'!$AA$6:$AM$155,9,FALSE),""))</x:f>
      </x:c>
      <x:c r="I61" s="112" t="str">
        <x:f>IF($B$4="","",IFERROR(VLOOKUP($B$4&amp;"|"&amp;22,'11 Training Attendance'!$AA$6:$AM$155,10,FALSE),""))</x:f>
      </x:c>
      <x:c r="J61" s="112" t="str">
        <x:f>IF($B$4="","",IFERROR(VLOOKUP($B$4&amp;"|"&amp;22,'11 Training Attendance'!$AA$6:$AM$155,11,FALSE),""))</x:f>
      </x:c>
      <x:c r="K61" s="112" t="str">
        <x:f>IF($B$4="","",IFERROR(VLOOKUP($B$4&amp;"|"&amp;22,'11 Training Attendance'!$AA$6:$AM$155,12,FALSE),""))</x:f>
      </x:c>
      <x:c r="L61" s="112" t="str">
        <x:f>IF($B$4="","",IFERROR(VLOOKUP($B$4&amp;"|"&amp;22,'11 Training Attendance'!$AA$6:$AM$155,13,FALSE),""))</x:f>
      </x:c>
    </x:row>
    <x:row r="62">
      <x:c r="A62" s="112" t="str">
        <x:f>IF($B$4="","",IFERROR(VLOOKUP($B$4&amp;"|"&amp;23,'11 Training Attendance'!$AA$6:$AM$155,2,FALSE),""))</x:f>
      </x:c>
      <x:c r="B62" s="112" t="str">
        <x:f>IF($B$4="","",IFERROR(VLOOKUP($B$4&amp;"|"&amp;23,'11 Training Attendance'!$AA$6:$AM$155,3,FALSE),""))</x:f>
      </x:c>
      <x:c r="C62" s="112" t="str">
        <x:f>IF($B$4="","",IFERROR(VLOOKUP($B$4&amp;"|"&amp;23,'11 Training Attendance'!$AA$6:$AM$155,4,FALSE),""))</x:f>
      </x:c>
      <x:c r="D62" s="113" t="str">
        <x:f>IF($B$4="","",IFERROR(VLOOKUP($B$4&amp;"|"&amp;23,'11 Training Attendance'!$AA$6:$AM$155,5,FALSE),""))</x:f>
      </x:c>
      <x:c r="E62" s="112" t="str">
        <x:f>IF($B$4="","",IFERROR(VLOOKUP($B$4&amp;"|"&amp;23,'11 Training Attendance'!$AA$6:$AM$155,6,FALSE),""))</x:f>
      </x:c>
      <x:c r="F62" s="112" t="str">
        <x:f>IF($B$4="","",IFERROR(VLOOKUP($B$4&amp;"|"&amp;23,'11 Training Attendance'!$AA$6:$AM$155,7,FALSE),""))</x:f>
      </x:c>
      <x:c r="G62" s="112" t="str">
        <x:f>IF($B$4="","",IFERROR(VLOOKUP($B$4&amp;"|"&amp;23,'11 Training Attendance'!$AA$6:$AM$155,8,FALSE),""))</x:f>
      </x:c>
      <x:c r="H62" s="112" t="str">
        <x:f>IF($B$4="","",IFERROR(VLOOKUP($B$4&amp;"|"&amp;23,'11 Training Attendance'!$AA$6:$AM$155,9,FALSE),""))</x:f>
      </x:c>
      <x:c r="I62" s="112" t="str">
        <x:f>IF($B$4="","",IFERROR(VLOOKUP($B$4&amp;"|"&amp;23,'11 Training Attendance'!$AA$6:$AM$155,10,FALSE),""))</x:f>
      </x:c>
      <x:c r="J62" s="112" t="str">
        <x:f>IF($B$4="","",IFERROR(VLOOKUP($B$4&amp;"|"&amp;23,'11 Training Attendance'!$AA$6:$AM$155,11,FALSE),""))</x:f>
      </x:c>
      <x:c r="K62" s="112" t="str">
        <x:f>IF($B$4="","",IFERROR(VLOOKUP($B$4&amp;"|"&amp;23,'11 Training Attendance'!$AA$6:$AM$155,12,FALSE),""))</x:f>
      </x:c>
      <x:c r="L62" s="112" t="str">
        <x:f>IF($B$4="","",IFERROR(VLOOKUP($B$4&amp;"|"&amp;23,'11 Training Attendance'!$AA$6:$AM$155,13,FALSE),""))</x:f>
      </x:c>
    </x:row>
    <x:row r="63">
      <x:c r="A63" s="112" t="str">
        <x:f>IF($B$4="","",IFERROR(VLOOKUP($B$4&amp;"|"&amp;24,'11 Training Attendance'!$AA$6:$AM$155,2,FALSE),""))</x:f>
      </x:c>
      <x:c r="B63" s="112" t="str">
        <x:f>IF($B$4="","",IFERROR(VLOOKUP($B$4&amp;"|"&amp;24,'11 Training Attendance'!$AA$6:$AM$155,3,FALSE),""))</x:f>
      </x:c>
      <x:c r="C63" s="112" t="str">
        <x:f>IF($B$4="","",IFERROR(VLOOKUP($B$4&amp;"|"&amp;24,'11 Training Attendance'!$AA$6:$AM$155,4,FALSE),""))</x:f>
      </x:c>
      <x:c r="D63" s="113" t="str">
        <x:f>IF($B$4="","",IFERROR(VLOOKUP($B$4&amp;"|"&amp;24,'11 Training Attendance'!$AA$6:$AM$155,5,FALSE),""))</x:f>
      </x:c>
      <x:c r="E63" s="112" t="str">
        <x:f>IF($B$4="","",IFERROR(VLOOKUP($B$4&amp;"|"&amp;24,'11 Training Attendance'!$AA$6:$AM$155,6,FALSE),""))</x:f>
      </x:c>
      <x:c r="F63" s="112" t="str">
        <x:f>IF($B$4="","",IFERROR(VLOOKUP($B$4&amp;"|"&amp;24,'11 Training Attendance'!$AA$6:$AM$155,7,FALSE),""))</x:f>
      </x:c>
      <x:c r="G63" s="112" t="str">
        <x:f>IF($B$4="","",IFERROR(VLOOKUP($B$4&amp;"|"&amp;24,'11 Training Attendance'!$AA$6:$AM$155,8,FALSE),""))</x:f>
      </x:c>
      <x:c r="H63" s="112" t="str">
        <x:f>IF($B$4="","",IFERROR(VLOOKUP($B$4&amp;"|"&amp;24,'11 Training Attendance'!$AA$6:$AM$155,9,FALSE),""))</x:f>
      </x:c>
      <x:c r="I63" s="112" t="str">
        <x:f>IF($B$4="","",IFERROR(VLOOKUP($B$4&amp;"|"&amp;24,'11 Training Attendance'!$AA$6:$AM$155,10,FALSE),""))</x:f>
      </x:c>
      <x:c r="J63" s="112" t="str">
        <x:f>IF($B$4="","",IFERROR(VLOOKUP($B$4&amp;"|"&amp;24,'11 Training Attendance'!$AA$6:$AM$155,11,FALSE),""))</x:f>
      </x:c>
      <x:c r="K63" s="112" t="str">
        <x:f>IF($B$4="","",IFERROR(VLOOKUP($B$4&amp;"|"&amp;24,'11 Training Attendance'!$AA$6:$AM$155,12,FALSE),""))</x:f>
      </x:c>
      <x:c r="L63" s="112" t="str">
        <x:f>IF($B$4="","",IFERROR(VLOOKUP($B$4&amp;"|"&amp;24,'11 Training Attendance'!$AA$6:$AM$155,13,FALSE),""))</x:f>
      </x:c>
    </x:row>
    <x:row r="64">
      <x:c r="A64" s="112" t="str">
        <x:f>IF($B$4="","",IFERROR(VLOOKUP($B$4&amp;"|"&amp;25,'11 Training Attendance'!$AA$6:$AM$155,2,FALSE),""))</x:f>
      </x:c>
      <x:c r="B64" s="112" t="str">
        <x:f>IF($B$4="","",IFERROR(VLOOKUP($B$4&amp;"|"&amp;25,'11 Training Attendance'!$AA$6:$AM$155,3,FALSE),""))</x:f>
      </x:c>
      <x:c r="C64" s="112" t="str">
        <x:f>IF($B$4="","",IFERROR(VLOOKUP($B$4&amp;"|"&amp;25,'11 Training Attendance'!$AA$6:$AM$155,4,FALSE),""))</x:f>
      </x:c>
      <x:c r="D64" s="113" t="str">
        <x:f>IF($B$4="","",IFERROR(VLOOKUP($B$4&amp;"|"&amp;25,'11 Training Attendance'!$AA$6:$AM$155,5,FALSE),""))</x:f>
      </x:c>
      <x:c r="E64" s="112" t="str">
        <x:f>IF($B$4="","",IFERROR(VLOOKUP($B$4&amp;"|"&amp;25,'11 Training Attendance'!$AA$6:$AM$155,6,FALSE),""))</x:f>
      </x:c>
      <x:c r="F64" s="112" t="str">
        <x:f>IF($B$4="","",IFERROR(VLOOKUP($B$4&amp;"|"&amp;25,'11 Training Attendance'!$AA$6:$AM$155,7,FALSE),""))</x:f>
      </x:c>
      <x:c r="G64" s="112" t="str">
        <x:f>IF($B$4="","",IFERROR(VLOOKUP($B$4&amp;"|"&amp;25,'11 Training Attendance'!$AA$6:$AM$155,8,FALSE),""))</x:f>
      </x:c>
      <x:c r="H64" s="112" t="str">
        <x:f>IF($B$4="","",IFERROR(VLOOKUP($B$4&amp;"|"&amp;25,'11 Training Attendance'!$AA$6:$AM$155,9,FALSE),""))</x:f>
      </x:c>
      <x:c r="I64" s="112" t="str">
        <x:f>IF($B$4="","",IFERROR(VLOOKUP($B$4&amp;"|"&amp;25,'11 Training Attendance'!$AA$6:$AM$155,10,FALSE),""))</x:f>
      </x:c>
      <x:c r="J64" s="112" t="str">
        <x:f>IF($B$4="","",IFERROR(VLOOKUP($B$4&amp;"|"&amp;25,'11 Training Attendance'!$AA$6:$AM$155,11,FALSE),""))</x:f>
      </x:c>
      <x:c r="K64" s="112" t="str">
        <x:f>IF($B$4="","",IFERROR(VLOOKUP($B$4&amp;"|"&amp;25,'11 Training Attendance'!$AA$6:$AM$155,12,FALSE),""))</x:f>
      </x:c>
      <x:c r="L64" s="112" t="str">
        <x:f>IF($B$4="","",IFERROR(VLOOKUP($B$4&amp;"|"&amp;25,'11 Training Attendance'!$AA$6:$AM$155,13,FALSE),""))</x:f>
      </x:c>
    </x:row>
    <x:row r="65">
      <x:c r="A65" s="112" t="str">
        <x:f>IF($B$4="","",IFERROR(VLOOKUP($B$4&amp;"|"&amp;26,'11 Training Attendance'!$AA$6:$AM$155,2,FALSE),""))</x:f>
      </x:c>
      <x:c r="B65" s="112" t="str">
        <x:f>IF($B$4="","",IFERROR(VLOOKUP($B$4&amp;"|"&amp;26,'11 Training Attendance'!$AA$6:$AM$155,3,FALSE),""))</x:f>
      </x:c>
      <x:c r="C65" s="112" t="str">
        <x:f>IF($B$4="","",IFERROR(VLOOKUP($B$4&amp;"|"&amp;26,'11 Training Attendance'!$AA$6:$AM$155,4,FALSE),""))</x:f>
      </x:c>
      <x:c r="D65" s="113" t="str">
        <x:f>IF($B$4="","",IFERROR(VLOOKUP($B$4&amp;"|"&amp;26,'11 Training Attendance'!$AA$6:$AM$155,5,FALSE),""))</x:f>
      </x:c>
      <x:c r="E65" s="112" t="str">
        <x:f>IF($B$4="","",IFERROR(VLOOKUP($B$4&amp;"|"&amp;26,'11 Training Attendance'!$AA$6:$AM$155,6,FALSE),""))</x:f>
      </x:c>
      <x:c r="F65" s="112" t="str">
        <x:f>IF($B$4="","",IFERROR(VLOOKUP($B$4&amp;"|"&amp;26,'11 Training Attendance'!$AA$6:$AM$155,7,FALSE),""))</x:f>
      </x:c>
      <x:c r="G65" s="112" t="str">
        <x:f>IF($B$4="","",IFERROR(VLOOKUP($B$4&amp;"|"&amp;26,'11 Training Attendance'!$AA$6:$AM$155,8,FALSE),""))</x:f>
      </x:c>
      <x:c r="H65" s="112" t="str">
        <x:f>IF($B$4="","",IFERROR(VLOOKUP($B$4&amp;"|"&amp;26,'11 Training Attendance'!$AA$6:$AM$155,9,FALSE),""))</x:f>
      </x:c>
      <x:c r="I65" s="112" t="str">
        <x:f>IF($B$4="","",IFERROR(VLOOKUP($B$4&amp;"|"&amp;26,'11 Training Attendance'!$AA$6:$AM$155,10,FALSE),""))</x:f>
      </x:c>
      <x:c r="J65" s="112" t="str">
        <x:f>IF($B$4="","",IFERROR(VLOOKUP($B$4&amp;"|"&amp;26,'11 Training Attendance'!$AA$6:$AM$155,11,FALSE),""))</x:f>
      </x:c>
      <x:c r="K65" s="112" t="str">
        <x:f>IF($B$4="","",IFERROR(VLOOKUP($B$4&amp;"|"&amp;26,'11 Training Attendance'!$AA$6:$AM$155,12,FALSE),""))</x:f>
      </x:c>
      <x:c r="L65" s="112" t="str">
        <x:f>IF($B$4="","",IFERROR(VLOOKUP($B$4&amp;"|"&amp;26,'11 Training Attendance'!$AA$6:$AM$155,13,FALSE),""))</x:f>
      </x:c>
    </x:row>
    <x:row r="68" ht="32" customHeight="1">
      <x:c r="A68" s="120" t="str">
        <x:v>Control: the complete record remains in 14 Employee Skill Register, 11 Training Attendance, 12 Training Evaluation and 13 Effectiveness Review. This passport is the staff-level review view.</x:v>
      </x:c>
      <x:c r="B68" s="120"/>
      <x:c r="C68" s="120"/>
      <x:c r="D68" s="120"/>
      <x:c r="E68" s="120"/>
      <x:c r="F68" s="120"/>
      <x:c r="G68" s="120"/>
      <x:c r="H68" s="120"/>
      <x:c r="I68" s="120"/>
      <x:c r="J68" s="120"/>
      <x:c r="K68" s="120"/>
      <x:c r="L68" s="120"/>
      <x:c r="M68" s="120"/>
      <x:c r="N68" s="120"/>
    </x:row>
  </x:sheetData>
  <x:mergeCells>
    <x:mergeCell ref="A1:N1"/>
    <x:mergeCell ref="A2:N2"/>
    <x:mergeCell ref="A9:N9"/>
    <x:mergeCell ref="A38:N38"/>
    <x:mergeCell ref="A68:N68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23" hidden="0" customWidth="1"/>
    <x:col min="4" max="4" width="16" hidden="0" customWidth="1"/>
    <x:col min="5" max="5" width="23" hidden="0" customWidth="1"/>
    <x:col min="6" max="6" width="16" hidden="0" customWidth="1"/>
    <x:col min="7" max="7" width="24" hidden="0" customWidth="1"/>
    <x:col min="8" max="8" width="30" hidden="0" customWidth="1"/>
  </x:cols>
  <x:sheetData>
    <x:row r="1" ht="30" customHeight="1">
      <x:c r="A1" s="70" t="str">
        <x:v>SBTG Training Forms — Printable Working Pack</x:v>
      </x:c>
      <x:c r="B1" s="70"/>
      <x:c r="C1" s="70"/>
      <x:c r="D1" s="70"/>
      <x:c r="E1" s="70"/>
      <x:c r="F1" s="70"/>
      <x:c r="G1" s="70"/>
      <x:c r="H1" s="70"/>
    </x:row>
    <x:row r="2" ht="36" customHeight="1">
      <x:c r="A2" s="74" t="str">
        <x:v>Use these forms for discussion, approval or paper capture. Transfer the approved/official record to sheets 10, 12 and 13 so that the dashboard and each staff passport update.</x:v>
      </x:c>
      <x:c r="B2" s="74"/>
      <x:c r="C2" s="74"/>
      <x:c r="D2" s="74"/>
      <x:c r="E2" s="74"/>
      <x:c r="F2" s="74"/>
      <x:c r="G2" s="74"/>
      <x:c r="H2" s="74"/>
    </x:row>
    <x:row r="4" ht="24" customHeight="1">
      <x:c r="A4" s="77" t="str">
        <x:v>FORM 1 — TRAINING NEED, REQUEST &amp; APPROVAL</x:v>
      </x:c>
      <x:c r="B4" s="77"/>
      <x:c r="C4" s="77"/>
      <x:c r="D4" s="77"/>
      <x:c r="E4" s="77"/>
      <x:c r="F4" s="77"/>
      <x:c r="G4" s="77"/>
      <x:c r="H4" s="77"/>
    </x:row>
    <x:row r="6">
      <x:c r="A6" s="81" t="str">
        <x:v>Request ID</x:v>
      </x:c>
      <x:c r="B6" s="108" t="str"/>
      <x:c r="C6" s="81" t="str">
        <x:v>Request Date</x:v>
      </x:c>
      <x:c r="D6" s="108" t="str"/>
      <x:c r="E6" s="81" t="str">
        <x:v>Department</x:v>
      </x:c>
      <x:c r="F6" s="108" t="str"/>
      <x:c r="G6" s="81" t="str">
        <x:v>Requestor</x:v>
      </x:c>
      <x:c r="H6" s="108" t="str"/>
    </x:row>
    <x:row r="7">
      <x:c r="A7" s="81" t="str">
        <x:v>Staff ID / Group</x:v>
      </x:c>
      <x:c r="B7" s="108" t="str"/>
      <x:c r="C7" s="81" t="str">
        <x:v>Position</x:v>
      </x:c>
      <x:c r="D7" s="108" t="str"/>
      <x:c r="E7" s="81" t="str">
        <x:v>Skill ID</x:v>
      </x:c>
      <x:c r="F7" s="108" t="str"/>
      <x:c r="G7" s="81" t="str">
        <x:v>Current → Target</x:v>
      </x:c>
      <x:c r="H7" s="108" t="str"/>
    </x:row>
    <x:row r="8">
      <x:c r="A8" s="81" t="str">
        <x:v>Need Source</x:v>
      </x:c>
      <x:c r="B8" s="108" t="str"/>
      <x:c r="C8" s="81" t="str">
        <x:v>Priority</x:v>
      </x:c>
      <x:c r="D8" s="108" t="str"/>
      <x:c r="E8" s="81" t="str">
        <x:v>Proposed Start</x:v>
      </x:c>
      <x:c r="F8" s="108" t="str"/>
      <x:c r="G8" s="81" t="str">
        <x:v>Estimated Cost</x:v>
      </x:c>
      <x:c r="H8" s="108" t="str"/>
    </x:row>
    <x:row r="9" ht="36" customHeight="1">
      <x:c r="A9" s="81" t="str">
        <x:v>Need / problem</x:v>
      </x:c>
      <x:c r="B9" s="108" t="str"/>
      <x:c r="C9" s="108" t="str"/>
      <x:c r="D9" s="108" t="str"/>
      <x:c r="E9" s="108" t="str"/>
      <x:c r="F9" s="108" t="str"/>
      <x:c r="G9" s="108" t="str"/>
      <x:c r="H9" s="108" t="str"/>
    </x:row>
    <x:row r="10" ht="36" customHeight="1">
      <x:c r="A10" s="81" t="str">
        <x:v>Learning objective</x:v>
      </x:c>
      <x:c r="B10" s="108" t="str"/>
      <x:c r="C10" s="108" t="str"/>
      <x:c r="D10" s="108" t="str"/>
      <x:c r="E10" s="108" t="str"/>
      <x:c r="F10" s="108" t="str"/>
      <x:c r="G10" s="108" t="str"/>
      <x:c r="H10" s="108" t="str"/>
    </x:row>
    <x:row r="11" ht="36" customHeight="1">
      <x:c r="A11" s="81" t="str">
        <x:v>Expected job / KPI result</x:v>
      </x:c>
      <x:c r="B11" s="108" t="str"/>
      <x:c r="C11" s="108" t="str"/>
      <x:c r="D11" s="108" t="str"/>
      <x:c r="E11" s="108" t="str"/>
      <x:c r="F11" s="108" t="str"/>
      <x:c r="G11" s="108" t="str"/>
      <x:c r="H11" s="108" t="str"/>
    </x:row>
    <x:row r="12">
      <x:c r="A12" s="81" t="str">
        <x:v>Delivery method</x:v>
      </x:c>
      <x:c r="B12" s="108" t="str"/>
      <x:c r="C12" s="81" t="str">
        <x:v>Trainer / provider</x:v>
      </x:c>
      <x:c r="D12" s="108" t="str"/>
      <x:c r="E12" s="81" t="str">
        <x:v>Duration</x:v>
      </x:c>
      <x:c r="F12" s="108" t="str"/>
      <x:c r="G12" s="81" t="str"/>
      <x:c r="H12" s="108" t="str"/>
    </x:row>
    <x:row r="13">
      <x:c r="A13" s="81" t="str">
        <x:v>HOD recommendation</x:v>
      </x:c>
      <x:c r="B13" s="108" t="str"/>
      <x:c r="C13" s="81" t="str">
        <x:v>HOD signature/date</x:v>
      </x:c>
      <x:c r="D13" s="108" t="str"/>
      <x:c r="E13" s="81" t="str">
        <x:v>HR review</x:v>
      </x:c>
      <x:c r="F13" s="108" t="str"/>
      <x:c r="G13" s="81" t="str"/>
      <x:c r="H13" s="108" t="str"/>
    </x:row>
    <x:row r="14">
      <x:c r="A14" s="81" t="str">
        <x:v>Approval decision</x:v>
      </x:c>
      <x:c r="B14" s="108" t="str"/>
      <x:c r="C14" s="81" t="str">
        <x:v>Approver/signature</x:v>
      </x:c>
      <x:c r="D14" s="108" t="str"/>
      <x:c r="E14" s="81" t="str">
        <x:v>Approved budget</x:v>
      </x:c>
      <x:c r="F14" s="108" t="str"/>
      <x:c r="G14" s="81" t="str">
        <x:v>Training ID</x:v>
      </x:c>
      <x:c r="H14" s="108" t="str"/>
    </x:row>
    <x:row r="17" ht="24" customHeight="1">
      <x:c r="A17" s="77" t="str">
        <x:v>FORM 2 — PARTICIPANT TRAINING EVALUATION (1 = POOR, 5 = EXCELLENT)</x:v>
      </x:c>
      <x:c r="B17" s="77"/>
      <x:c r="C17" s="77"/>
      <x:c r="D17" s="77"/>
      <x:c r="E17" s="77"/>
      <x:c r="F17" s="77"/>
      <x:c r="G17" s="77"/>
      <x:c r="H17" s="77"/>
    </x:row>
    <x:row r="19">
      <x:c r="A19" s="81" t="str">
        <x:v>Training ID</x:v>
      </x:c>
      <x:c r="B19" s="108" t="str"/>
      <x:c r="C19" s="81" t="str">
        <x:v>Training Title</x:v>
      </x:c>
      <x:c r="D19" s="108" t="str"/>
      <x:c r="E19" s="81" t="str">
        <x:v>Staff ID</x:v>
      </x:c>
      <x:c r="F19" s="108" t="str"/>
      <x:c r="G19" s="81" t="str">
        <x:v>Evaluation Date</x:v>
      </x:c>
      <x:c r="H19" s="108" t="str"/>
    </x:row>
    <x:row r="20">
      <x:c r="A20" s="81" t="str">
        <x:v>Trainer / Provider</x:v>
      </x:c>
      <x:c r="B20" s="108" t="str"/>
      <x:c r="C20" s="81" t="str">
        <x:v>Training Date</x:v>
      </x:c>
      <x:c r="D20" s="108" t="str"/>
      <x:c r="E20" s="81" t="str">
        <x:v>Department</x:v>
      </x:c>
      <x:c r="F20" s="108" t="str"/>
      <x:c r="G20" s="81" t="str">
        <x:v>Recommend?</x:v>
      </x:c>
      <x:c r="H20" s="108" t="str"/>
    </x:row>
    <x:row r="21">
      <x:c r="A21" s="14"/>
      <x:c r="B21" s="14"/>
      <x:c r="C21" s="14"/>
      <x:c r="D21" s="14"/>
      <x:c r="E21" s="14"/>
      <x:c r="F21" s="14"/>
      <x:c r="G21" s="14"/>
      <x:c r="H21" s="14"/>
    </x:row>
    <x:row r="22" ht="38" customHeight="1">
      <x:c r="A22" s="83" t="str">
        <x:v>Criteria</x:v>
      </x:c>
      <x:c r="B22" s="83" t="str">
        <x:v>1</x:v>
      </x:c>
      <x:c r="C22" s="83" t="str">
        <x:v>2</x:v>
      </x:c>
      <x:c r="D22" s="83" t="str">
        <x:v>3</x:v>
      </x:c>
      <x:c r="E22" s="83" t="str">
        <x:v>4</x:v>
      </x:c>
      <x:c r="F22" s="83" t="str">
        <x:v>5</x:v>
      </x:c>
      <x:c r="G22" s="83" t="str">
        <x:v>Rating</x:v>
      </x:c>
      <x:c r="H22" s="83" t="str">
        <x:v>Comment</x:v>
      </x:c>
    </x:row>
    <x:row r="23">
      <x:c r="A23" s="14" t="str">
        <x:v>Relevance</x:v>
      </x:c>
      <x:c r="B23" s="108" t="str"/>
      <x:c r="C23" s="108" t="str"/>
      <x:c r="D23" s="108" t="str"/>
      <x:c r="E23" s="108" t="str"/>
      <x:c r="F23" s="108" t="str"/>
      <x:c r="G23" s="108" t="str"/>
      <x:c r="H23" s="108" t="str"/>
    </x:row>
    <x:row r="24">
      <x:c r="A24" s="14" t="str">
        <x:v>Objectives met</x:v>
      </x:c>
      <x:c r="B24" s="108" t="str"/>
      <x:c r="C24" s="108" t="str"/>
      <x:c r="D24" s="108" t="str"/>
      <x:c r="E24" s="108" t="str"/>
      <x:c r="F24" s="108" t="str"/>
      <x:c r="G24" s="108" t="str"/>
      <x:c r="H24" s="108" t="str"/>
    </x:row>
    <x:row r="25">
      <x:c r="A25" s="14" t="str">
        <x:v>Content quality</x:v>
      </x:c>
      <x:c r="B25" s="108" t="str"/>
      <x:c r="C25" s="108" t="str"/>
      <x:c r="D25" s="108" t="str"/>
      <x:c r="E25" s="108" t="str"/>
      <x:c r="F25" s="108" t="str"/>
      <x:c r="G25" s="108" t="str"/>
      <x:c r="H25" s="108" t="str"/>
    </x:row>
    <x:row r="26">
      <x:c r="A26" s="14" t="str">
        <x:v>Trainer effectiveness</x:v>
      </x:c>
      <x:c r="B26" s="108" t="str"/>
      <x:c r="C26" s="108" t="str"/>
      <x:c r="D26" s="108" t="str"/>
      <x:c r="E26" s="108" t="str"/>
      <x:c r="F26" s="108" t="str"/>
      <x:c r="G26" s="108" t="str"/>
      <x:c r="H26" s="108" t="str"/>
    </x:row>
    <x:row r="27">
      <x:c r="A27" s="14" t="str">
        <x:v>Materials / exercises</x:v>
      </x:c>
      <x:c r="B27" s="108" t="str"/>
      <x:c r="C27" s="108" t="str"/>
      <x:c r="D27" s="108" t="str"/>
      <x:c r="E27" s="108" t="str"/>
      <x:c r="F27" s="108" t="str"/>
      <x:c r="G27" s="108" t="str"/>
      <x:c r="H27" s="108" t="str"/>
    </x:row>
    <x:row r="28">
      <x:c r="A28" s="14" t="str">
        <x:v>Pace / duration</x:v>
      </x:c>
      <x:c r="B28" s="108" t="str"/>
      <x:c r="C28" s="108" t="str"/>
      <x:c r="D28" s="108" t="str"/>
      <x:c r="E28" s="108" t="str"/>
      <x:c r="F28" s="108" t="str"/>
      <x:c r="G28" s="108" t="str"/>
      <x:c r="H28" s="108" t="str"/>
    </x:row>
    <x:row r="29">
      <x:c r="A29" s="14" t="str">
        <x:v>Practical usefulness</x:v>
      </x:c>
      <x:c r="B29" s="108" t="str"/>
      <x:c r="C29" s="108" t="str"/>
      <x:c r="D29" s="108" t="str"/>
      <x:c r="E29" s="108" t="str"/>
      <x:c r="F29" s="108" t="str"/>
      <x:c r="G29" s="108" t="str"/>
      <x:c r="H29" s="108" t="str"/>
    </x:row>
    <x:row r="30">
      <x:c r="A30" s="14" t="str">
        <x:v>Overall satisfaction</x:v>
      </x:c>
      <x:c r="B30" s="108" t="str"/>
      <x:c r="C30" s="108" t="str"/>
      <x:c r="D30" s="108" t="str"/>
      <x:c r="E30" s="108" t="str"/>
      <x:c r="F30" s="108" t="str"/>
      <x:c r="G30" s="108" t="str"/>
      <x:c r="H30" s="108" t="str"/>
    </x:row>
    <x:row r="32" ht="34" customHeight="1">
      <x:c r="A32" s="81" t="str">
        <x:v>Most useful learning</x:v>
      </x:c>
      <x:c r="B32" s="108" t="str"/>
      <x:c r="C32" s="108" t="str"/>
      <x:c r="D32" s="108" t="str"/>
      <x:c r="E32" s="108" t="str"/>
      <x:c r="F32" s="108" t="str"/>
      <x:c r="G32" s="108" t="str"/>
      <x:c r="H32" s="108" t="str"/>
    </x:row>
    <x:row r="33" ht="34" customHeight="1">
      <x:c r="A33" s="81" t="str">
        <x:v>How I will apply it</x:v>
      </x:c>
      <x:c r="B33" s="108" t="str"/>
      <x:c r="C33" s="108" t="str"/>
      <x:c r="D33" s="108" t="str"/>
      <x:c r="E33" s="108" t="str"/>
      <x:c r="F33" s="108" t="str"/>
      <x:c r="G33" s="108" t="str"/>
      <x:c r="H33" s="108" t="str"/>
    </x:row>
    <x:row r="34" ht="34" customHeight="1">
      <x:c r="A34" s="81" t="str">
        <x:v>Support I need</x:v>
      </x:c>
      <x:c r="B34" s="108" t="str"/>
      <x:c r="C34" s="108" t="str"/>
      <x:c r="D34" s="108" t="str"/>
      <x:c r="E34" s="108" t="str"/>
      <x:c r="F34" s="108" t="str"/>
      <x:c r="G34" s="108" t="str"/>
      <x:c r="H34" s="108" t="str"/>
    </x:row>
    <x:row r="37" ht="24" customHeight="1">
      <x:c r="A37" s="77" t="str">
        <x:v>FORM 3 — 30/60/90-DAY TRAINING EFFECTIVENESS REVIEW</x:v>
      </x:c>
      <x:c r="B37" s="77"/>
      <x:c r="C37" s="77"/>
      <x:c r="D37" s="77"/>
      <x:c r="E37" s="77"/>
      <x:c r="F37" s="77"/>
      <x:c r="G37" s="77"/>
      <x:c r="H37" s="77"/>
    </x:row>
    <x:row r="39">
      <x:c r="A39" s="81" t="str">
        <x:v>Review ID</x:v>
      </x:c>
      <x:c r="B39" s="108" t="str"/>
      <x:c r="C39" s="81" t="str">
        <x:v>Review Stage</x:v>
      </x:c>
      <x:c r="D39" s="108" t="str"/>
      <x:c r="E39" s="81" t="str">
        <x:v>Review Date</x:v>
      </x:c>
      <x:c r="F39" s="108" t="str"/>
      <x:c r="G39" s="81" t="str">
        <x:v>Reviewer</x:v>
      </x:c>
      <x:c r="H39" s="108" t="str"/>
    </x:row>
    <x:row r="40">
      <x:c r="A40" s="81" t="str">
        <x:v>Training ID</x:v>
      </x:c>
      <x:c r="B40" s="108" t="str"/>
      <x:c r="C40" s="81" t="str">
        <x:v>Staff ID</x:v>
      </x:c>
      <x:c r="D40" s="108" t="str"/>
      <x:c r="E40" s="81" t="str">
        <x:v>Skill ID</x:v>
      </x:c>
      <x:c r="F40" s="108" t="str"/>
      <x:c r="G40" s="81" t="str">
        <x:v>Post Assessment ID</x:v>
      </x:c>
      <x:c r="H40" s="108" t="str"/>
    </x:row>
    <x:row r="41">
      <x:c r="A41" s="81" t="str">
        <x:v>Pre Level</x:v>
      </x:c>
      <x:c r="B41" s="108" t="str"/>
      <x:c r="C41" s="81" t="str">
        <x:v>Target Level</x:v>
      </x:c>
      <x:c r="D41" s="108" t="str"/>
      <x:c r="E41" s="81" t="str">
        <x:v>Post Level</x:v>
      </x:c>
      <x:c r="F41" s="108" t="str"/>
      <x:c r="G41" s="81" t="str">
        <x:v>Skill Improvement</x:v>
      </x:c>
      <x:c r="H41" s="108" t="str"/>
    </x:row>
    <x:row r="42">
      <x:c r="A42" s="81" t="str">
        <x:v>Outcome</x:v>
      </x:c>
      <x:c r="B42" s="108" t="str"/>
      <x:c r="C42" s="81" t="str">
        <x:v>HOD Verification</x:v>
      </x:c>
      <x:c r="D42" s="108" t="str"/>
      <x:c r="E42" s="81" t="str">
        <x:v>Next Review Due</x:v>
      </x:c>
      <x:c r="F42" s="108" t="str"/>
      <x:c r="G42" s="81" t="str">
        <x:v>Closure Status</x:v>
      </x:c>
      <x:c r="H42" s="108" t="str"/>
    </x:row>
    <x:row r="43">
      <x:c r="A43" s="14"/>
      <x:c r="B43" s="14"/>
      <x:c r="C43" s="14"/>
      <x:c r="D43" s="14"/>
      <x:c r="E43" s="14"/>
      <x:c r="F43" s="14"/>
      <x:c r="G43" s="14"/>
      <x:c r="H43" s="14"/>
    </x:row>
    <x:row r="44" ht="38" customHeight="1">
      <x:c r="A44" s="83" t="str">
        <x:v>Effectiveness criterion</x:v>
      </x:c>
      <x:c r="B44" s="83" t="str">
        <x:v>1</x:v>
      </x:c>
      <x:c r="C44" s="83" t="str">
        <x:v>2</x:v>
      </x:c>
      <x:c r="D44" s="83" t="str">
        <x:v>3</x:v>
      </x:c>
      <x:c r="E44" s="83" t="str">
        <x:v>4</x:v>
      </x:c>
      <x:c r="F44" s="83" t="str">
        <x:v>5</x:v>
      </x:c>
      <x:c r="G44" s="83" t="str">
        <x:v>Rating</x:v>
      </x:c>
      <x:c r="H44" s="83" t="str">
        <x:v>Evidence</x:v>
      </x:c>
    </x:row>
    <x:row r="45">
      <x:c r="A45" s="14" t="str">
        <x:v>Applied at work</x:v>
      </x:c>
      <x:c r="B45" s="108" t="str"/>
      <x:c r="C45" s="108" t="str"/>
      <x:c r="D45" s="108" t="str"/>
      <x:c r="E45" s="108" t="str"/>
      <x:c r="F45" s="108" t="str"/>
      <x:c r="G45" s="108" t="str"/>
      <x:c r="H45" s="108" t="str"/>
    </x:row>
    <x:row r="46">
      <x:c r="A46" s="14" t="str">
        <x:v>Behavior / output improvement</x:v>
      </x:c>
      <x:c r="B46" s="108" t="str"/>
      <x:c r="C46" s="108" t="str"/>
      <x:c r="D46" s="108" t="str"/>
      <x:c r="E46" s="108" t="str"/>
      <x:c r="F46" s="108" t="str"/>
      <x:c r="G46" s="108" t="str"/>
      <x:c r="H46" s="108" t="str"/>
    </x:row>
    <x:row r="47">
      <x:c r="A47" s="14" t="str">
        <x:v>KPI / quality / safety impact</x:v>
      </x:c>
      <x:c r="B47" s="108" t="str"/>
      <x:c r="C47" s="108" t="str"/>
      <x:c r="D47" s="108" t="str"/>
      <x:c r="E47" s="108" t="str"/>
      <x:c r="F47" s="108" t="str"/>
      <x:c r="G47" s="108" t="str"/>
      <x:c r="H47" s="108" t="str"/>
    </x:row>
    <x:row r="48">
      <x:c r="A48" s="14"/>
      <x:c r="B48" s="14"/>
      <x:c r="C48" s="14"/>
      <x:c r="D48" s="14"/>
      <x:c r="E48" s="14"/>
      <x:c r="F48" s="14"/>
      <x:c r="G48" s="14"/>
      <x:c r="H48" s="14"/>
    </x:row>
    <x:row r="49" ht="36" customHeight="1">
      <x:c r="A49" s="81" t="str">
        <x:v>Verified evidence / result</x:v>
      </x:c>
      <x:c r="B49" s="108" t="str"/>
      <x:c r="C49" s="108" t="str"/>
      <x:c r="D49" s="108" t="str"/>
      <x:c r="E49" s="108" t="str"/>
      <x:c r="F49" s="108" t="str"/>
      <x:c r="G49" s="108" t="str"/>
      <x:c r="H49" s="108" t="str"/>
    </x:row>
    <x:row r="50" ht="36" customHeight="1">
      <x:c r="A50" s="81" t="str">
        <x:v>Further action</x:v>
      </x:c>
      <x:c r="B50" s="108" t="str"/>
      <x:c r="C50" s="108" t="str"/>
      <x:c r="D50" s="108" t="str"/>
      <x:c r="E50" s="108" t="str"/>
      <x:c r="F50" s="108" t="str"/>
      <x:c r="G50" s="108" t="str"/>
      <x:c r="H50" s="108" t="str"/>
    </x:row>
    <x:row r="51" ht="36" customHeight="1">
      <x:c r="A51" s="81" t="str">
        <x:v>Supervisor / HOD decision</x:v>
      </x:c>
      <x:c r="B51" s="108" t="str"/>
      <x:c r="C51" s="108" t="str"/>
      <x:c r="D51" s="108" t="str"/>
      <x:c r="E51" s="108" t="str"/>
      <x:c r="F51" s="108" t="str"/>
      <x:c r="G51" s="108" t="str"/>
      <x:c r="H51" s="108" t="str"/>
    </x:row>
    <x:row r="54" ht="40" customHeight="1">
      <x:c r="A54" s="123" t="str">
        <x:v>Control rule: training is not complete when the course ends. It is complete when the participant is evaluated, workplace effectiveness is reviewed, the skill is reassessed and the new score is recorded.</x:v>
      </x:c>
      <x:c r="B54" s="123"/>
      <x:c r="C54" s="123"/>
      <x:c r="D54" s="123"/>
      <x:c r="E54" s="123"/>
      <x:c r="F54" s="123"/>
      <x:c r="G54" s="123"/>
      <x:c r="H54" s="123"/>
    </x:row>
  </x:sheetData>
  <x:mergeCells>
    <x:mergeCell ref="A1:H1"/>
    <x:mergeCell ref="A2:H2"/>
    <x:mergeCell ref="A4:H4"/>
    <x:mergeCell ref="B9:H9"/>
    <x:mergeCell ref="B10:H10"/>
    <x:mergeCell ref="B11:H11"/>
    <x:mergeCell ref="A17:H17"/>
    <x:mergeCell ref="B32:H32"/>
    <x:mergeCell ref="B33:H33"/>
    <x:mergeCell ref="B34:H34"/>
    <x:mergeCell ref="A37:H37"/>
    <x:mergeCell ref="B49:H49"/>
    <x:mergeCell ref="B50:H50"/>
    <x:mergeCell ref="B51:H51"/>
    <x:mergeCell ref="A54:H54"/>
  </x:mergeCells>
  <x:pageMargins left="0.7" right="0.7" top="0.75" bottom="0.75" header="0.3" footer="0.3"/>
</x:worksheet>
</file>